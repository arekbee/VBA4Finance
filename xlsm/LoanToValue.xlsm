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60" yWindow="90" windowWidth="9555" windowHeight="7755"/>
  </bookViews>
  <sheets>
    <sheet name="LTV option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L11" i="1" l="1"/>
  <c r="C9" i="1" l="1"/>
  <c r="D9" i="1"/>
  <c r="E9" i="1"/>
  <c r="F9" i="1"/>
  <c r="G9" i="1"/>
  <c r="H9" i="1"/>
  <c r="I9" i="1"/>
  <c r="J9" i="1"/>
  <c r="K9" i="1"/>
  <c r="B9" i="1"/>
  <c r="C8" i="1"/>
  <c r="C13" i="1" s="1"/>
  <c r="C14" i="1" s="1"/>
  <c r="D8" i="1"/>
  <c r="D12" i="1" s="1"/>
  <c r="E8" i="1"/>
  <c r="E13" i="1" s="1"/>
  <c r="E14" i="1" s="1"/>
  <c r="F8" i="1"/>
  <c r="F12" i="1" s="1"/>
  <c r="G8" i="1"/>
  <c r="G13" i="1" s="1"/>
  <c r="G14" i="1" s="1"/>
  <c r="H8" i="1"/>
  <c r="H12" i="1" s="1"/>
  <c r="I8" i="1"/>
  <c r="I13" i="1" s="1"/>
  <c r="I14" i="1" s="1"/>
  <c r="J8" i="1"/>
  <c r="J12" i="1" s="1"/>
  <c r="K8" i="1"/>
  <c r="K13" i="1" s="1"/>
  <c r="K14" i="1" s="1"/>
  <c r="L8" i="1"/>
  <c r="L12" i="1" s="1"/>
  <c r="B8" i="1"/>
  <c r="B13" i="1" s="1"/>
  <c r="B14" i="1" s="1"/>
  <c r="G10" i="1"/>
  <c r="D10" i="1"/>
  <c r="H10" i="1"/>
  <c r="I10" i="1"/>
  <c r="E10" i="1"/>
  <c r="F10" i="1"/>
  <c r="J10" i="1"/>
  <c r="C10" i="1"/>
  <c r="K10" i="1"/>
  <c r="B10" i="1"/>
  <c r="B11" i="1" l="1"/>
  <c r="K11" i="1"/>
  <c r="C11" i="1"/>
  <c r="J11" i="1"/>
  <c r="F11" i="1"/>
  <c r="E11" i="1"/>
  <c r="I11" i="1"/>
  <c r="H11" i="1"/>
  <c r="D11" i="1"/>
  <c r="G11" i="1"/>
  <c r="I12" i="1"/>
  <c r="G12" i="1"/>
  <c r="B12" i="1"/>
  <c r="E12" i="1"/>
  <c r="K12" i="1"/>
  <c r="C12" i="1"/>
  <c r="L13" i="1"/>
  <c r="L14" i="1" s="1"/>
  <c r="L15" i="1" s="1"/>
  <c r="H13" i="1"/>
  <c r="H14" i="1" s="1"/>
  <c r="H15" i="1" s="1"/>
  <c r="D13" i="1"/>
  <c r="D14" i="1" s="1"/>
  <c r="D15" i="1" s="1"/>
  <c r="J13" i="1"/>
  <c r="J14" i="1" s="1"/>
  <c r="J15" i="1" s="1"/>
  <c r="F13" i="1"/>
  <c r="F14" i="1" s="1"/>
  <c r="F15" i="1" s="1"/>
  <c r="G15" i="1"/>
  <c r="B15" i="1"/>
  <c r="I15" i="1"/>
  <c r="E15" i="1"/>
  <c r="K15" i="1"/>
  <c r="C15" i="1"/>
</calcChain>
</file>

<file path=xl/sharedStrings.xml><?xml version="1.0" encoding="utf-8"?>
<sst xmlns="http://schemas.openxmlformats.org/spreadsheetml/2006/main" count="15" uniqueCount="15">
  <si>
    <t>LTV</t>
  </si>
  <si>
    <t>Loan payment</t>
  </si>
  <si>
    <t>Estate value</t>
  </si>
  <si>
    <t>Wibor</t>
  </si>
  <si>
    <t>Margine</t>
  </si>
  <si>
    <t>Load</t>
  </si>
  <si>
    <t>Interes rate</t>
  </si>
  <si>
    <t>Sum of payments of loan</t>
  </si>
  <si>
    <t>Own contribution</t>
  </si>
  <si>
    <t>Money to inwest</t>
  </si>
  <si>
    <t>Inwestment interst rate</t>
  </si>
  <si>
    <t>Invested money on end</t>
  </si>
  <si>
    <t>Diff betwen Load and invested money</t>
  </si>
  <si>
    <t>No loan</t>
  </si>
  <si>
    <t>Sum of interest payment of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</si>
</sst>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_z_ł"/>
  </numFmts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0" fontId="0" fillId="0" borderId="0" xfId="0"/>
    <xf numFmtId="0" fontId="0" fillId="2" borderId="0" xfId="0" applyFill="1"/>
    <xf numFmtId="164" fontId="0" fillId="0" borderId="0" xfId="0" applyNumberFormat="1"/>
    <xf numFmtId="10" fontId="0" fillId="0" borderId="0" xfId="0" applyNumberFormat="1"/>
    <xf numFmtId="10" fontId="0" fillId="2" borderId="0" xfId="0" applyNumberFormat="1" applyFill="1"/>
    <xf numFmtId="164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20"/>
  <sheetViews>
    <sheetView tabSelected="1" workbookViewId="0">
      <selection activeCell="H12" sqref="H12"/>
    </sheetView>
  </sheetViews>
  <sheetFormatPr defaultRowHeight="15" x14ac:dyDescent="0.25"/>
  <cols>
    <col min="1" max="1" width="32.7109375" customWidth="1"/>
    <col min="2" max="8" width="12" bestFit="1" customWidth="1"/>
    <col min="9" max="12" width="11.85546875" bestFit="1" customWidth="1"/>
  </cols>
  <sheetData>
    <row r="1" spans="1:12" x14ac:dyDescent="0.25">
      <c r="A1" s="2" t="s">
        <v>1</v>
      </c>
      <c r="B1" s="3">
        <v>10</v>
      </c>
    </row>
    <row r="2" spans="1:12" x14ac:dyDescent="0.25">
      <c r="A2" t="s">
        <v>2</v>
      </c>
      <c r="B2" s="7">
        <v>100000</v>
      </c>
    </row>
    <row r="3" spans="1:12" x14ac:dyDescent="0.25">
      <c r="A3" t="s">
        <v>3</v>
      </c>
      <c r="B3" s="6">
        <v>2.0500000000000001E-2</v>
      </c>
    </row>
    <row r="4" spans="1:12" s="2" customFormat="1" x14ac:dyDescent="0.25">
      <c r="A4" s="2" t="s">
        <v>10</v>
      </c>
      <c r="B4" s="6">
        <v>0.03</v>
      </c>
    </row>
    <row r="5" spans="1:12" s="2" customFormat="1" x14ac:dyDescent="0.25">
      <c r="L5" s="2" t="s">
        <v>13</v>
      </c>
    </row>
    <row r="6" spans="1:12" x14ac:dyDescent="0.25">
      <c r="A6" t="s">
        <v>0</v>
      </c>
      <c r="B6" s="1">
        <v>1</v>
      </c>
      <c r="C6" s="1">
        <v>0.9</v>
      </c>
      <c r="D6" s="1">
        <v>0.8</v>
      </c>
      <c r="E6" s="1">
        <v>0.7</v>
      </c>
      <c r="F6" s="1">
        <v>0.6</v>
      </c>
      <c r="G6" s="1">
        <v>0.5</v>
      </c>
      <c r="H6" s="1">
        <v>0.4</v>
      </c>
      <c r="I6" s="1">
        <v>0.3</v>
      </c>
      <c r="J6" s="1">
        <v>0.2</v>
      </c>
      <c r="K6" s="1">
        <v>0.1</v>
      </c>
      <c r="L6" s="1">
        <v>0</v>
      </c>
    </row>
    <row r="7" spans="1:12" x14ac:dyDescent="0.25">
      <c r="A7" t="s">
        <v>4</v>
      </c>
      <c r="B7" s="6">
        <v>1.9E-2</v>
      </c>
      <c r="C7" s="6">
        <v>1.7999999999999999E-2</v>
      </c>
      <c r="D7" s="6">
        <v>1.4999999999999999E-2</v>
      </c>
      <c r="E7" s="6">
        <v>1.2999999999999999E-2</v>
      </c>
      <c r="F7" s="6">
        <v>1.2E-2</v>
      </c>
      <c r="G7" s="6">
        <v>1.2E-2</v>
      </c>
      <c r="H7" s="6">
        <v>1.2E-2</v>
      </c>
      <c r="I7" s="6">
        <v>1.2E-2</v>
      </c>
      <c r="J7" s="6">
        <v>1.2E-2</v>
      </c>
      <c r="K7" s="6">
        <v>1.0999999999999999E-2</v>
      </c>
      <c r="L7" s="5">
        <v>0</v>
      </c>
    </row>
    <row r="8" spans="1:12" x14ac:dyDescent="0.25">
      <c r="A8" t="s">
        <v>5</v>
      </c>
      <c r="B8" s="4">
        <f>B6*$B$2</f>
        <v>100000</v>
      </c>
      <c r="C8" s="4">
        <f t="shared" ref="C8:L8" si="0">C6*$B$2</f>
        <v>90000</v>
      </c>
      <c r="D8" s="4">
        <f t="shared" si="0"/>
        <v>80000</v>
      </c>
      <c r="E8" s="4">
        <f t="shared" si="0"/>
        <v>70000</v>
      </c>
      <c r="F8" s="4">
        <f t="shared" si="0"/>
        <v>60000</v>
      </c>
      <c r="G8" s="4">
        <f t="shared" si="0"/>
        <v>50000</v>
      </c>
      <c r="H8" s="4">
        <f t="shared" si="0"/>
        <v>40000</v>
      </c>
      <c r="I8" s="4">
        <f t="shared" si="0"/>
        <v>30000</v>
      </c>
      <c r="J8" s="4">
        <f t="shared" si="0"/>
        <v>20000</v>
      </c>
      <c r="K8" s="4">
        <f t="shared" si="0"/>
        <v>10000</v>
      </c>
      <c r="L8" s="4">
        <f t="shared" si="0"/>
        <v>0</v>
      </c>
    </row>
    <row r="9" spans="1:12" x14ac:dyDescent="0.25">
      <c r="A9" t="s">
        <v>6</v>
      </c>
      <c r="B9" s="5">
        <f>B7+$B$3</f>
        <v>3.95E-2</v>
      </c>
      <c r="C9" s="5">
        <f t="shared" ref="C9:L9" si="1">C7+$B$3</f>
        <v>3.85E-2</v>
      </c>
      <c r="D9" s="5">
        <f t="shared" si="1"/>
        <v>3.5500000000000004E-2</v>
      </c>
      <c r="E9" s="5">
        <f t="shared" si="1"/>
        <v>3.3500000000000002E-2</v>
      </c>
      <c r="F9" s="5">
        <f t="shared" si="1"/>
        <v>3.2500000000000001E-2</v>
      </c>
      <c r="G9" s="5">
        <f t="shared" si="1"/>
        <v>3.2500000000000001E-2</v>
      </c>
      <c r="H9" s="5">
        <f t="shared" si="1"/>
        <v>3.2500000000000001E-2</v>
      </c>
      <c r="I9" s="5">
        <f t="shared" si="1"/>
        <v>3.2500000000000001E-2</v>
      </c>
      <c r="J9" s="5">
        <f t="shared" si="1"/>
        <v>3.2500000000000001E-2</v>
      </c>
      <c r="K9" s="5">
        <f t="shared" si="1"/>
        <v>3.15E-2</v>
      </c>
      <c r="L9" s="5">
        <v>0</v>
      </c>
    </row>
    <row r="10" spans="1:12" x14ac:dyDescent="0.25">
      <c r="A10" t="s">
        <v>7</v>
      </c>
      <c r="B10" s="4">
        <f>GetLeanPayments(B8,$B$1,B9)</f>
        <v>121209.21423696702</v>
      </c>
      <c r="C10" s="4">
        <f t="shared" ref="C10:L10" si="2">GetLeanPayments(C8,$B$1,C9)</f>
        <v>108576.4823118744</v>
      </c>
      <c r="D10" s="4">
        <f t="shared" si="2"/>
        <v>95155.449783819626</v>
      </c>
      <c r="E10" s="4">
        <f t="shared" si="2"/>
        <v>82475.180579401858</v>
      </c>
      <c r="F10" s="4">
        <f t="shared" si="2"/>
        <v>70357.700854933544</v>
      </c>
      <c r="G10" s="4">
        <f t="shared" si="2"/>
        <v>58631.417379111328</v>
      </c>
      <c r="H10" s="4">
        <f t="shared" si="2"/>
        <v>46905.13390328909</v>
      </c>
      <c r="I10" s="4">
        <f t="shared" si="2"/>
        <v>35178.850427466772</v>
      </c>
      <c r="J10" s="4">
        <f t="shared" si="2"/>
        <v>23452.566951644545</v>
      </c>
      <c r="K10" s="4">
        <f t="shared" si="2"/>
        <v>11670.562540032348</v>
      </c>
      <c r="L10" s="4">
        <v>0</v>
      </c>
    </row>
    <row r="11" spans="1:12" s="2" customFormat="1" x14ac:dyDescent="0.25">
      <c r="A11" s="2" t="s">
        <v>14</v>
      </c>
      <c r="B11" s="4">
        <f>B10-B8</f>
        <v>21209.214236967018</v>
      </c>
      <c r="C11" s="4">
        <f t="shared" ref="C11:L11" si="3">C10-C8</f>
        <v>18576.482311874395</v>
      </c>
      <c r="D11" s="4">
        <f t="shared" si="3"/>
        <v>15155.449783819626</v>
      </c>
      <c r="E11" s="4">
        <f t="shared" si="3"/>
        <v>12475.180579401858</v>
      </c>
      <c r="F11" s="4">
        <f t="shared" si="3"/>
        <v>10357.700854933544</v>
      </c>
      <c r="G11" s="4">
        <f t="shared" si="3"/>
        <v>8631.417379111328</v>
      </c>
      <c r="H11" s="4">
        <f t="shared" si="3"/>
        <v>6905.1339032890901</v>
      </c>
      <c r="I11" s="4">
        <f t="shared" si="3"/>
        <v>5178.8504274667721</v>
      </c>
      <c r="J11" s="4">
        <f t="shared" si="3"/>
        <v>3452.566951644545</v>
      </c>
      <c r="K11" s="4">
        <f t="shared" si="3"/>
        <v>1670.5625400323479</v>
      </c>
      <c r="L11" s="4">
        <f t="shared" si="3"/>
        <v>0</v>
      </c>
    </row>
    <row r="12" spans="1:12" x14ac:dyDescent="0.25">
      <c r="A12" t="s">
        <v>8</v>
      </c>
      <c r="B12" s="4">
        <f>$B$2-B8</f>
        <v>0</v>
      </c>
      <c r="C12" s="4">
        <f t="shared" ref="C12:L12" si="4">$B$2-C8</f>
        <v>10000</v>
      </c>
      <c r="D12" s="4">
        <f t="shared" si="4"/>
        <v>20000</v>
      </c>
      <c r="E12" s="4">
        <f t="shared" si="4"/>
        <v>30000</v>
      </c>
      <c r="F12" s="4">
        <f t="shared" si="4"/>
        <v>40000</v>
      </c>
      <c r="G12" s="4">
        <f t="shared" si="4"/>
        <v>50000</v>
      </c>
      <c r="H12" s="4">
        <f t="shared" si="4"/>
        <v>60000</v>
      </c>
      <c r="I12" s="4">
        <f t="shared" si="4"/>
        <v>70000</v>
      </c>
      <c r="J12" s="4">
        <f t="shared" si="4"/>
        <v>80000</v>
      </c>
      <c r="K12" s="4">
        <f t="shared" si="4"/>
        <v>90000</v>
      </c>
      <c r="L12" s="4">
        <f t="shared" si="4"/>
        <v>100000</v>
      </c>
    </row>
    <row r="13" spans="1:12" x14ac:dyDescent="0.25">
      <c r="A13" t="s">
        <v>9</v>
      </c>
      <c r="B13" s="4">
        <f>B8</f>
        <v>100000</v>
      </c>
      <c r="C13" s="4">
        <f t="shared" ref="C13:L13" si="5">C8</f>
        <v>90000</v>
      </c>
      <c r="D13" s="4">
        <f t="shared" si="5"/>
        <v>80000</v>
      </c>
      <c r="E13" s="4">
        <f t="shared" si="5"/>
        <v>70000</v>
      </c>
      <c r="F13" s="4">
        <f t="shared" si="5"/>
        <v>60000</v>
      </c>
      <c r="G13" s="4">
        <f t="shared" si="5"/>
        <v>50000</v>
      </c>
      <c r="H13" s="4">
        <f t="shared" si="5"/>
        <v>40000</v>
      </c>
      <c r="I13" s="4">
        <f t="shared" si="5"/>
        <v>30000</v>
      </c>
      <c r="J13" s="4">
        <f t="shared" si="5"/>
        <v>20000</v>
      </c>
      <c r="K13" s="4">
        <f t="shared" si="5"/>
        <v>10000</v>
      </c>
      <c r="L13" s="4">
        <f t="shared" si="5"/>
        <v>0</v>
      </c>
    </row>
    <row r="14" spans="1:12" x14ac:dyDescent="0.25">
      <c r="A14" t="s">
        <v>11</v>
      </c>
      <c r="B14" s="4">
        <f>B13*POWER(1+$B$4,$B$1)</f>
        <v>134391.63793441217</v>
      </c>
      <c r="C14" s="4">
        <f t="shared" ref="C14:L14" si="6">C13*POWER(1+$B$4,$B$1)</f>
        <v>120952.47414097095</v>
      </c>
      <c r="D14" s="4">
        <f t="shared" si="6"/>
        <v>107513.31034752974</v>
      </c>
      <c r="E14" s="4">
        <f t="shared" si="6"/>
        <v>94074.146554088526</v>
      </c>
      <c r="F14" s="4">
        <f t="shared" si="6"/>
        <v>80634.982760647312</v>
      </c>
      <c r="G14" s="4">
        <f t="shared" si="6"/>
        <v>67195.818967206083</v>
      </c>
      <c r="H14" s="4">
        <f t="shared" si="6"/>
        <v>53756.65517376487</v>
      </c>
      <c r="I14" s="4">
        <f t="shared" si="6"/>
        <v>40317.491380323656</v>
      </c>
      <c r="J14" s="4">
        <f t="shared" si="6"/>
        <v>26878.327586882435</v>
      </c>
      <c r="K14" s="4">
        <f t="shared" si="6"/>
        <v>13439.163793441217</v>
      </c>
      <c r="L14" s="4">
        <f t="shared" si="6"/>
        <v>0</v>
      </c>
    </row>
    <row r="15" spans="1:12" x14ac:dyDescent="0.25">
      <c r="A15" t="s">
        <v>12</v>
      </c>
      <c r="B15" s="4">
        <f>B14-B10</f>
        <v>13182.423697445149</v>
      </c>
      <c r="C15" s="4">
        <f t="shared" ref="C15:L15" si="7">C14-C10</f>
        <v>12375.991829096558</v>
      </c>
      <c r="D15" s="4">
        <f t="shared" si="7"/>
        <v>12357.860563710114</v>
      </c>
      <c r="E15" s="4">
        <f t="shared" si="7"/>
        <v>11598.965974686667</v>
      </c>
      <c r="F15" s="4">
        <f t="shared" si="7"/>
        <v>10277.281905713768</v>
      </c>
      <c r="G15" s="4">
        <f t="shared" si="7"/>
        <v>8564.4015880947554</v>
      </c>
      <c r="H15" s="4">
        <f t="shared" si="7"/>
        <v>6851.5212704757796</v>
      </c>
      <c r="I15" s="4">
        <f t="shared" si="7"/>
        <v>5138.6409528568838</v>
      </c>
      <c r="J15" s="4">
        <f t="shared" si="7"/>
        <v>3425.7606352378898</v>
      </c>
      <c r="K15" s="4">
        <f t="shared" si="7"/>
        <v>1768.6012534088695</v>
      </c>
      <c r="L15" s="4">
        <f t="shared" si="7"/>
        <v>0</v>
      </c>
    </row>
    <row r="19" spans="2:4" x14ac:dyDescent="0.25">
      <c r="D19" s="1"/>
    </row>
    <row r="20" spans="2:4" x14ac:dyDescent="0.25">
      <c r="B2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LTV options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2014-11-19T10:56:44Z</dcterms:created>
  <dcterms:modified xsi:type="dcterms:W3CDTF">2014-11-19T14:53:00Z</dcterms:modified>
</cp:coreProperties>
</file>