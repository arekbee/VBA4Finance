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45" windowWidth="18195" windowHeight="8520" activeTab="1"/>
  </bookViews>
  <sheets>
    <sheet name="Info" sheetId="1" r:id="rId1"/>
    <sheet name="Call_option" sheetId="4" r:id="rId2"/>
    <sheet name="Put_option" sheetId="5" r:id="rId3"/>
  </sheets>
  <calcPr calcId="145621"/>
</workbook>
</file>

<file path=xl/calcChain.xml><?xml version="1.0" encoding="utf-8"?>
<calcChain xmlns="http://schemas.openxmlformats.org/spreadsheetml/2006/main">
  <c r="E6" i="4" l="1"/>
  <c r="B12" i="1" l="1"/>
  <c r="B11" i="1"/>
  <c r="B3" i="1"/>
  <c r="B9" i="1" s="1"/>
  <c r="M4" i="4" s="1"/>
  <c r="B6" i="1"/>
  <c r="O6" i="4" s="1"/>
  <c r="Q4" i="4" l="1"/>
  <c r="G6" i="4"/>
  <c r="I4" i="4"/>
  <c r="L6" i="4"/>
  <c r="L4" i="4"/>
  <c r="E7" i="4"/>
  <c r="N6" i="4"/>
  <c r="J6" i="4"/>
  <c r="F6" i="4"/>
  <c r="Q6" i="4"/>
  <c r="M6" i="4"/>
  <c r="I6" i="4"/>
  <c r="H6" i="4"/>
  <c r="P6" i="4"/>
  <c r="O4" i="4"/>
  <c r="K4" i="4"/>
  <c r="G4" i="4"/>
  <c r="N4" i="4"/>
  <c r="J4" i="4"/>
  <c r="H4" i="4"/>
  <c r="P4" i="4"/>
  <c r="K6" i="4"/>
  <c r="B10" i="1"/>
  <c r="A6" i="4" l="1"/>
  <c r="D6" i="4" s="1"/>
  <c r="C6" i="4"/>
  <c r="B6" i="4"/>
  <c r="Q7" i="4"/>
  <c r="F7" i="4"/>
  <c r="E8" i="4"/>
  <c r="Q5" i="1"/>
  <c r="S5" i="1"/>
  <c r="R5" i="1"/>
  <c r="A7" i="4" l="1"/>
  <c r="D7" i="4" s="1"/>
  <c r="B7" i="4"/>
  <c r="C7" i="4"/>
  <c r="Q8" i="4"/>
  <c r="F8" i="4"/>
  <c r="E9" i="4"/>
  <c r="T5" i="1"/>
  <c r="Q6" i="1"/>
  <c r="S6" i="1"/>
  <c r="R6" i="1"/>
  <c r="C8" i="4" l="1"/>
  <c r="A8" i="4"/>
  <c r="B8" i="4"/>
  <c r="E10" i="4"/>
  <c r="F9" i="4"/>
  <c r="Q9" i="4"/>
  <c r="P7" i="4"/>
  <c r="R7" i="1"/>
  <c r="S7" i="1"/>
  <c r="Q7" i="1"/>
  <c r="T6" i="1"/>
  <c r="A9" i="4" l="1"/>
  <c r="D9" i="4" s="1"/>
  <c r="B9" i="4"/>
  <c r="C9" i="4"/>
  <c r="D8" i="4"/>
  <c r="P8" i="4"/>
  <c r="O7" i="4" s="1"/>
  <c r="E11" i="4"/>
  <c r="F10" i="4"/>
  <c r="Q10" i="4"/>
  <c r="T7" i="1"/>
  <c r="Q8" i="1"/>
  <c r="R8" i="1"/>
  <c r="S8" i="1"/>
  <c r="A10" i="4" l="1"/>
  <c r="D10" i="4" s="1"/>
  <c r="B10" i="4"/>
  <c r="C10" i="4"/>
  <c r="Q11" i="4"/>
  <c r="E12" i="4"/>
  <c r="F11" i="4"/>
  <c r="P9" i="4"/>
  <c r="T8" i="1"/>
  <c r="R9" i="1"/>
  <c r="S9" i="1"/>
  <c r="Q9" i="1"/>
  <c r="B11" i="4" l="1"/>
  <c r="C11" i="4"/>
  <c r="A11" i="4"/>
  <c r="D11" i="4" s="1"/>
  <c r="O8" i="4"/>
  <c r="P10" i="4"/>
  <c r="Q12" i="4"/>
  <c r="F12" i="4"/>
  <c r="E13" i="4"/>
  <c r="T9" i="1"/>
  <c r="R10" i="1"/>
  <c r="Q10" i="1"/>
  <c r="S10" i="1"/>
  <c r="A12" i="4" l="1"/>
  <c r="D12" i="4" s="1"/>
  <c r="B12" i="4"/>
  <c r="C12" i="4"/>
  <c r="P11" i="4"/>
  <c r="O10" i="4" s="1"/>
  <c r="Q13" i="4"/>
  <c r="E14" i="4"/>
  <c r="F13" i="4"/>
  <c r="O9" i="4"/>
  <c r="N7" i="4"/>
  <c r="R11" i="1"/>
  <c r="Q11" i="1"/>
  <c r="S11" i="1"/>
  <c r="T10" i="1"/>
  <c r="A13" i="4" l="1"/>
  <c r="D13" i="4" s="1"/>
  <c r="B13" i="4"/>
  <c r="C13" i="4"/>
  <c r="P12" i="4"/>
  <c r="O11" i="4" s="1"/>
  <c r="N10" i="4" s="1"/>
  <c r="N9" i="4"/>
  <c r="N8" i="4"/>
  <c r="E15" i="4"/>
  <c r="F14" i="4"/>
  <c r="Q14" i="4"/>
  <c r="Q12" i="1"/>
  <c r="S12" i="1"/>
  <c r="R12" i="1"/>
  <c r="T11" i="1"/>
  <c r="B14" i="4" l="1"/>
  <c r="C14" i="4"/>
  <c r="A14" i="4"/>
  <c r="D14" i="4" s="1"/>
  <c r="M8" i="4"/>
  <c r="M7" i="4"/>
  <c r="E16" i="4"/>
  <c r="F15" i="4"/>
  <c r="Q15" i="4"/>
  <c r="P13" i="4"/>
  <c r="M9" i="4"/>
  <c r="S13" i="1"/>
  <c r="Q13" i="1"/>
  <c r="R13" i="1"/>
  <c r="T12" i="1"/>
  <c r="B15" i="4" l="1"/>
  <c r="C15" i="4"/>
  <c r="A15" i="4"/>
  <c r="D15" i="4" s="1"/>
  <c r="L7" i="4"/>
  <c r="K7" i="4" s="1"/>
  <c r="L8" i="4"/>
  <c r="E17" i="4"/>
  <c r="F16" i="4"/>
  <c r="Q16" i="4"/>
  <c r="P14" i="4"/>
  <c r="O12" i="4"/>
  <c r="T13" i="1"/>
  <c r="Q14" i="1"/>
  <c r="R14" i="1"/>
  <c r="S14" i="1"/>
  <c r="A16" i="4" l="1"/>
  <c r="D16" i="4" s="1"/>
  <c r="B16" i="4"/>
  <c r="C16" i="4"/>
  <c r="Q17" i="4"/>
  <c r="E18" i="4"/>
  <c r="F17" i="4"/>
  <c r="O13" i="4"/>
  <c r="P15" i="4"/>
  <c r="N11" i="4"/>
  <c r="T14" i="1"/>
  <c r="R15" i="1"/>
  <c r="Q15" i="1"/>
  <c r="S15" i="1"/>
  <c r="A17" i="4" l="1"/>
  <c r="B17" i="4"/>
  <c r="C17" i="4"/>
  <c r="P16" i="4"/>
  <c r="O15" i="4" s="1"/>
  <c r="M10" i="4"/>
  <c r="N12" i="4"/>
  <c r="O14" i="4"/>
  <c r="E19" i="4"/>
  <c r="F18" i="4"/>
  <c r="Q18" i="4"/>
  <c r="T15" i="1"/>
  <c r="Q16" i="1"/>
  <c r="S16" i="1"/>
  <c r="R16" i="1"/>
  <c r="A18" i="4" l="1"/>
  <c r="B18" i="4"/>
  <c r="C18" i="4"/>
  <c r="D17" i="4"/>
  <c r="M11" i="4"/>
  <c r="L10" i="4" s="1"/>
  <c r="L9" i="4"/>
  <c r="P17" i="4"/>
  <c r="E20" i="4"/>
  <c r="F19" i="4"/>
  <c r="Q19" i="4"/>
  <c r="N13" i="4"/>
  <c r="N14" i="4"/>
  <c r="T16" i="1"/>
  <c r="Q17" i="1"/>
  <c r="S17" i="1"/>
  <c r="R17" i="1"/>
  <c r="C19" i="4" l="1"/>
  <c r="A19" i="4"/>
  <c r="B19" i="4"/>
  <c r="D18" i="4"/>
  <c r="K9" i="4"/>
  <c r="K8" i="4"/>
  <c r="M13" i="4"/>
  <c r="E21" i="4"/>
  <c r="F20" i="4"/>
  <c r="Q20" i="4"/>
  <c r="P18" i="4"/>
  <c r="O16" i="4"/>
  <c r="M12" i="4"/>
  <c r="T17" i="1"/>
  <c r="S18" i="1"/>
  <c r="R18" i="1"/>
  <c r="Q18" i="1"/>
  <c r="D19" i="4" l="1"/>
  <c r="A20" i="4"/>
  <c r="D20" i="4" s="1"/>
  <c r="B20" i="4"/>
  <c r="C20" i="4"/>
  <c r="P19" i="4"/>
  <c r="O17" i="4"/>
  <c r="L12" i="4"/>
  <c r="Q21" i="4"/>
  <c r="E22" i="4"/>
  <c r="F21" i="4"/>
  <c r="J7" i="4"/>
  <c r="J8" i="4"/>
  <c r="L11" i="4"/>
  <c r="N15" i="4"/>
  <c r="S19" i="1"/>
  <c r="R19" i="1"/>
  <c r="Q19" i="1"/>
  <c r="T18" i="1"/>
  <c r="A21" i="4" l="1"/>
  <c r="B21" i="4"/>
  <c r="C21" i="4"/>
  <c r="E23" i="4"/>
  <c r="F22" i="4"/>
  <c r="Q22" i="4"/>
  <c r="P20" i="4"/>
  <c r="M14" i="4"/>
  <c r="K10" i="4"/>
  <c r="K11" i="4"/>
  <c r="N16" i="4"/>
  <c r="M15" i="4" s="1"/>
  <c r="I7" i="4"/>
  <c r="O18" i="4"/>
  <c r="T19" i="1"/>
  <c r="Q20" i="1"/>
  <c r="R20" i="1"/>
  <c r="S20" i="1"/>
  <c r="D21" i="4" l="1"/>
  <c r="A22" i="4"/>
  <c r="B22" i="4"/>
  <c r="C22" i="4"/>
  <c r="J10" i="4"/>
  <c r="J9" i="4"/>
  <c r="N17" i="4"/>
  <c r="M16" i="4" s="1"/>
  <c r="O19" i="4"/>
  <c r="L13" i="4"/>
  <c r="L14" i="4"/>
  <c r="P21" i="4"/>
  <c r="O20" i="4" s="1"/>
  <c r="E24" i="4"/>
  <c r="F23" i="4"/>
  <c r="Q23" i="4"/>
  <c r="T20" i="1"/>
  <c r="Q21" i="1"/>
  <c r="R21" i="1"/>
  <c r="S21" i="1"/>
  <c r="D22" i="4" l="1"/>
  <c r="C23" i="4"/>
  <c r="A23" i="4"/>
  <c r="D23" i="4" s="1"/>
  <c r="B23" i="4"/>
  <c r="N19" i="4"/>
  <c r="L15" i="4"/>
  <c r="N18" i="4"/>
  <c r="I8" i="4"/>
  <c r="I9" i="4"/>
  <c r="P22" i="4"/>
  <c r="E25" i="4"/>
  <c r="F24" i="4"/>
  <c r="Q24" i="4"/>
  <c r="K14" i="4"/>
  <c r="K13" i="4"/>
  <c r="K12" i="4"/>
  <c r="O21" i="4"/>
  <c r="N20" i="4" s="1"/>
  <c r="T21" i="1"/>
  <c r="S22" i="1"/>
  <c r="R22" i="1"/>
  <c r="Q22" i="1"/>
  <c r="C24" i="4" l="1"/>
  <c r="A24" i="4"/>
  <c r="D24" i="4" s="1"/>
  <c r="B24" i="4"/>
  <c r="P23" i="4"/>
  <c r="O22" i="4" s="1"/>
  <c r="N21" i="4" s="1"/>
  <c r="H7" i="4"/>
  <c r="H8" i="4"/>
  <c r="M19" i="4"/>
  <c r="M17" i="4"/>
  <c r="Q25" i="4"/>
  <c r="E26" i="4"/>
  <c r="F25" i="4"/>
  <c r="J13" i="4"/>
  <c r="J11" i="4"/>
  <c r="J12" i="4"/>
  <c r="M18" i="4"/>
  <c r="T22" i="1"/>
  <c r="R23" i="1"/>
  <c r="Q23" i="1"/>
  <c r="S23" i="1"/>
  <c r="A25" i="4" l="1"/>
  <c r="B25" i="4"/>
  <c r="C25" i="4"/>
  <c r="L18" i="4"/>
  <c r="L16" i="4"/>
  <c r="L17" i="4"/>
  <c r="G7" i="4"/>
  <c r="I12" i="4"/>
  <c r="I10" i="4"/>
  <c r="I11" i="4"/>
  <c r="E27" i="4"/>
  <c r="F26" i="4"/>
  <c r="Q26" i="4"/>
  <c r="M20" i="4"/>
  <c r="L19" i="4" s="1"/>
  <c r="P24" i="4"/>
  <c r="T23" i="1"/>
  <c r="S24" i="1"/>
  <c r="R24" i="1"/>
  <c r="Q24" i="1"/>
  <c r="B26" i="4" l="1"/>
  <c r="C26" i="4"/>
  <c r="A26" i="4"/>
  <c r="D26" i="4" s="1"/>
  <c r="D25" i="4"/>
  <c r="P25" i="4"/>
  <c r="E28" i="4"/>
  <c r="F27" i="4"/>
  <c r="Q27" i="4"/>
  <c r="H11" i="4"/>
  <c r="H9" i="4"/>
  <c r="H10" i="4"/>
  <c r="O23" i="4"/>
  <c r="K18" i="4"/>
  <c r="K17" i="4"/>
  <c r="K15" i="4"/>
  <c r="K16" i="4"/>
  <c r="O24" i="4"/>
  <c r="Q25" i="1"/>
  <c r="R25" i="1"/>
  <c r="S25" i="1"/>
  <c r="T24" i="1"/>
  <c r="B27" i="4" l="1"/>
  <c r="C27" i="4"/>
  <c r="A27" i="4"/>
  <c r="D27" i="4" s="1"/>
  <c r="J17" i="4"/>
  <c r="G10" i="4"/>
  <c r="G8" i="4"/>
  <c r="G9" i="4"/>
  <c r="J16" i="4"/>
  <c r="J14" i="4"/>
  <c r="J15" i="4"/>
  <c r="N23" i="4"/>
  <c r="N22" i="4"/>
  <c r="P26" i="4"/>
  <c r="E29" i="4"/>
  <c r="F28" i="4"/>
  <c r="Q28" i="4"/>
  <c r="S26" i="1"/>
  <c r="Q26" i="1"/>
  <c r="R26" i="1"/>
  <c r="T25" i="1"/>
  <c r="A28" i="4" l="1"/>
  <c r="D28" i="4" s="1"/>
  <c r="B28" i="4"/>
  <c r="C28" i="4"/>
  <c r="P27" i="4"/>
  <c r="I16" i="4"/>
  <c r="Q29" i="4"/>
  <c r="E30" i="4"/>
  <c r="F29" i="4"/>
  <c r="O25" i="4"/>
  <c r="O26" i="4"/>
  <c r="M22" i="4"/>
  <c r="M21" i="4"/>
  <c r="I15" i="4"/>
  <c r="I13" i="4"/>
  <c r="I14" i="4"/>
  <c r="Q27" i="1"/>
  <c r="R27" i="1"/>
  <c r="S27" i="1"/>
  <c r="T26" i="1"/>
  <c r="A29" i="4" l="1"/>
  <c r="B29" i="4"/>
  <c r="D29" i="4" s="1"/>
  <c r="C29" i="4"/>
  <c r="H15" i="4"/>
  <c r="E31" i="4"/>
  <c r="F30" i="4"/>
  <c r="P28" i="4"/>
  <c r="H14" i="4"/>
  <c r="H12" i="4"/>
  <c r="H13" i="4"/>
  <c r="L21" i="4"/>
  <c r="L20" i="4"/>
  <c r="N24" i="4"/>
  <c r="N25" i="4"/>
  <c r="Q3" i="4"/>
  <c r="Q2" i="4"/>
  <c r="T27" i="1"/>
  <c r="S28" i="1"/>
  <c r="Q28" i="1"/>
  <c r="R28" i="1"/>
  <c r="B30" i="4" l="1"/>
  <c r="C30" i="4"/>
  <c r="A30" i="4"/>
  <c r="D30" i="4" s="1"/>
  <c r="F31" i="4"/>
  <c r="E32" i="4"/>
  <c r="G14" i="4"/>
  <c r="P29" i="4"/>
  <c r="O28" i="4" s="1"/>
  <c r="K20" i="4"/>
  <c r="K19" i="4"/>
  <c r="O27" i="4"/>
  <c r="G13" i="4"/>
  <c r="G11" i="4"/>
  <c r="G12" i="4"/>
  <c r="M24" i="4"/>
  <c r="M23" i="4"/>
  <c r="P2" i="4"/>
  <c r="T28" i="1"/>
  <c r="Q29" i="1"/>
  <c r="S29" i="1"/>
  <c r="R29" i="1"/>
  <c r="E33" i="4" l="1"/>
  <c r="F32" i="4"/>
  <c r="P3" i="4"/>
  <c r="O29" i="4"/>
  <c r="N28" i="4" s="1"/>
  <c r="L22" i="4"/>
  <c r="L23" i="4"/>
  <c r="J18" i="4"/>
  <c r="J19" i="4"/>
  <c r="N26" i="4"/>
  <c r="N27" i="4"/>
  <c r="T29" i="1"/>
  <c r="O2" i="4" l="1"/>
  <c r="E34" i="4"/>
  <c r="F33" i="4"/>
  <c r="N29" i="4"/>
  <c r="M29" i="4" s="1"/>
  <c r="O3" i="4"/>
  <c r="I17" i="4"/>
  <c r="I18" i="4"/>
  <c r="N2" i="4"/>
  <c r="M27" i="4"/>
  <c r="M25" i="4"/>
  <c r="M26" i="4"/>
  <c r="K21" i="4"/>
  <c r="K22" i="4"/>
  <c r="E35" i="4" l="1"/>
  <c r="F34" i="4"/>
  <c r="M28" i="4"/>
  <c r="L29" i="4" s="1"/>
  <c r="N3" i="4"/>
  <c r="L27" i="4"/>
  <c r="J20" i="4"/>
  <c r="J21" i="4"/>
  <c r="L26" i="4"/>
  <c r="L25" i="4"/>
  <c r="L24" i="4"/>
  <c r="H16" i="4"/>
  <c r="H17" i="4"/>
  <c r="M3" i="4" l="1"/>
  <c r="M2" i="4"/>
  <c r="E36" i="4"/>
  <c r="F35" i="4"/>
  <c r="L28" i="4"/>
  <c r="K28" i="4" s="1"/>
  <c r="K25" i="4"/>
  <c r="K24" i="4"/>
  <c r="K23" i="4"/>
  <c r="I20" i="4"/>
  <c r="I19" i="4"/>
  <c r="K26" i="4"/>
  <c r="G16" i="4"/>
  <c r="G15" i="4"/>
  <c r="K29" i="4" l="1"/>
  <c r="J29" i="4" s="1"/>
  <c r="L3" i="4"/>
  <c r="K27" i="4"/>
  <c r="J28" i="4" s="1"/>
  <c r="E37" i="4"/>
  <c r="F36" i="4"/>
  <c r="L2" i="4"/>
  <c r="H18" i="4"/>
  <c r="H19" i="4"/>
  <c r="J25" i="4"/>
  <c r="J24" i="4"/>
  <c r="K3" i="4"/>
  <c r="J23" i="4"/>
  <c r="J22" i="4"/>
  <c r="J26" i="4"/>
  <c r="K2" i="4" l="1"/>
  <c r="I29" i="4"/>
  <c r="E38" i="4"/>
  <c r="F37" i="4"/>
  <c r="J27" i="4"/>
  <c r="I28" i="4" s="1"/>
  <c r="I25" i="4"/>
  <c r="I24" i="4"/>
  <c r="I23" i="4"/>
  <c r="I22" i="4"/>
  <c r="I21" i="4"/>
  <c r="G17" i="4"/>
  <c r="G18" i="4"/>
  <c r="H29" i="4" l="1"/>
  <c r="J3" i="4"/>
  <c r="I26" i="4"/>
  <c r="E39" i="4"/>
  <c r="F38" i="4"/>
  <c r="H23" i="4"/>
  <c r="J2" i="4"/>
  <c r="I27" i="4"/>
  <c r="H28" i="4" s="1"/>
  <c r="H24" i="4"/>
  <c r="H22" i="4"/>
  <c r="H21" i="4"/>
  <c r="H20" i="4"/>
  <c r="G29" i="4" l="1"/>
  <c r="E40" i="4"/>
  <c r="F39" i="4"/>
  <c r="H27" i="4"/>
  <c r="G28" i="4" s="1"/>
  <c r="I2" i="4"/>
  <c r="H26" i="4"/>
  <c r="G27" i="4" s="1"/>
  <c r="H25" i="4"/>
  <c r="G24" i="4" s="1"/>
  <c r="I3" i="4"/>
  <c r="G23" i="4"/>
  <c r="G22" i="4"/>
  <c r="G21" i="4"/>
  <c r="G20" i="4"/>
  <c r="G19" i="4"/>
  <c r="H3" i="4" l="1"/>
  <c r="E41" i="4"/>
  <c r="F40" i="4"/>
  <c r="H2" i="4"/>
  <c r="G25" i="4"/>
  <c r="G26" i="4"/>
  <c r="G2" i="4"/>
  <c r="G3" i="4" l="1"/>
  <c r="E42" i="4"/>
  <c r="F41" i="4"/>
  <c r="E43" i="4" l="1"/>
  <c r="F42" i="4"/>
  <c r="E44" i="4" l="1"/>
  <c r="F43" i="4"/>
  <c r="F44" i="4" l="1"/>
</calcChain>
</file>

<file path=xl/sharedStrings.xml><?xml version="1.0" encoding="utf-8"?>
<sst xmlns="http://schemas.openxmlformats.org/spreadsheetml/2006/main" count="25" uniqueCount="22">
  <si>
    <t>S(0)</t>
  </si>
  <si>
    <t>K</t>
  </si>
  <si>
    <t>T</t>
  </si>
  <si>
    <t>r</t>
  </si>
  <si>
    <t>sigma</t>
  </si>
  <si>
    <t>N</t>
  </si>
  <si>
    <t>M</t>
  </si>
  <si>
    <t>delta_t</t>
  </si>
  <si>
    <t>delta_S</t>
  </si>
  <si>
    <t>S_max</t>
  </si>
  <si>
    <t>j</t>
  </si>
  <si>
    <t>aj</t>
  </si>
  <si>
    <t>bj</t>
  </si>
  <si>
    <t>cj</t>
  </si>
  <si>
    <t>sum</t>
  </si>
  <si>
    <t>avg</t>
  </si>
  <si>
    <t>var</t>
  </si>
  <si>
    <t>Price  S</t>
  </si>
  <si>
    <t>SUM</t>
  </si>
  <si>
    <t>t</t>
  </si>
  <si>
    <t>sigma^2</t>
  </si>
  <si>
    <t>2r*delta_t+2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</si>
</sst>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0" xfId="0" applyFill="1"/>
    <xf numFmtId="0" fontId="0" fillId="0" borderId="0" xfId="0" applyFill="1"/>
    <xf numFmtId="0" fontId="0" fillId="3" borderId="0" xfId="0" applyFill="1"/>
    <xf numFmtId="0" fontId="1" fillId="0" borderId="0" xfId="0" applyFont="1"/>
    <xf numFmtId="0" fontId="0" fillId="0" borderId="0" xfId="0" applyNumberFormat="1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29"/>
  <sheetViews>
    <sheetView workbookViewId="0">
      <selection activeCell="B6" sqref="B6"/>
    </sheetView>
  </sheetViews>
  <sheetFormatPr defaultRowHeight="15" x14ac:dyDescent="0.25"/>
  <cols>
    <col min="1" max="1" width="12" bestFit="1" customWidth="1"/>
    <col min="2" max="2" width="16" customWidth="1"/>
    <col min="4" max="4" width="14.5703125" bestFit="1" customWidth="1"/>
    <col min="5" max="5" width="12" bestFit="1" customWidth="1"/>
    <col min="6" max="6" width="11" bestFit="1" customWidth="1"/>
    <col min="7" max="14" width="10" bestFit="1" customWidth="1"/>
  </cols>
  <sheetData>
    <row r="1" spans="1:20" x14ac:dyDescent="0.25">
      <c r="A1" t="s">
        <v>0</v>
      </c>
      <c r="B1" s="1">
        <v>120</v>
      </c>
    </row>
    <row r="2" spans="1:20" x14ac:dyDescent="0.25">
      <c r="A2" t="s">
        <v>1</v>
      </c>
      <c r="B2" s="1">
        <v>125</v>
      </c>
    </row>
    <row r="3" spans="1:20" x14ac:dyDescent="0.25">
      <c r="A3" t="s">
        <v>2</v>
      </c>
      <c r="B3" s="1">
        <f>5/12</f>
        <v>0.41666666666666669</v>
      </c>
      <c r="Q3" t="s">
        <v>11</v>
      </c>
      <c r="R3" t="s">
        <v>12</v>
      </c>
      <c r="S3" t="s">
        <v>13</v>
      </c>
      <c r="T3" t="s">
        <v>18</v>
      </c>
    </row>
    <row r="4" spans="1:20" x14ac:dyDescent="0.25">
      <c r="A4" t="s">
        <v>3</v>
      </c>
      <c r="B4" s="1">
        <v>0.05</v>
      </c>
    </row>
    <row r="5" spans="1:20" x14ac:dyDescent="0.25">
      <c r="A5" t="s">
        <v>4</v>
      </c>
      <c r="B5" s="1">
        <v>0.39</v>
      </c>
      <c r="Q5">
        <f>($B$5^2*Call_option!F6^2*$B$9+$B$4*Call_option!F6*$B$9)/(2*$B$4*$B$9+2)</f>
        <v>1.8463534303534301</v>
      </c>
      <c r="R5">
        <f>(1-($B$5^2*Call_option!F6^2*$B$9))/($B$4*$B$9+1)</f>
        <v>-2.6448898128898128</v>
      </c>
      <c r="S5">
        <f>Call_option!F6*$B$9*($B$5^2*Call_option!F6-$B$4)/(2*($B$4*$B$9+1))</f>
        <v>1.7964573804573805</v>
      </c>
      <c r="T5">
        <f>SUM(Q5:S5)</f>
        <v>0.99792099792099775</v>
      </c>
    </row>
    <row r="6" spans="1:20" x14ac:dyDescent="0.25">
      <c r="A6" t="s">
        <v>9</v>
      </c>
      <c r="B6" s="2">
        <f>B1*2</f>
        <v>240</v>
      </c>
      <c r="Q6">
        <f>($B$5^2*Call_option!F7^2*$B$9+$B$4*Call_option!F7*$B$9)/(2*$B$4*$B$9+2)</f>
        <v>1.6966923076923079</v>
      </c>
      <c r="R6">
        <f>(1-($B$5^2*Call_option!F7^2*$B$9))/($B$4*$B$9+1)</f>
        <v>-2.34764656964657</v>
      </c>
      <c r="S6">
        <f>Call_option!F7*$B$9*($B$5^2*Call_option!F7-$B$4)/(2*($B$4*$B$9+1))</f>
        <v>1.6488752598752601</v>
      </c>
      <c r="T6">
        <f t="shared" ref="T6:T29" si="0">SUM(Q6:S6)</f>
        <v>0.99792099792099798</v>
      </c>
    </row>
    <row r="7" spans="1:20" x14ac:dyDescent="0.25">
      <c r="A7" t="s">
        <v>5</v>
      </c>
      <c r="B7" s="1">
        <v>10</v>
      </c>
      <c r="Q7">
        <f>($B$5^2*Call_option!F8^2*$B$9+$B$4*Call_option!F8*$B$9)/(2*$B$4*$B$9+2)</f>
        <v>1.5533555093555096</v>
      </c>
      <c r="R7">
        <f>(1-($B$5^2*Call_option!F8^2*$B$9))/($B$4*$B$9+1)</f>
        <v>-2.0630519750519754</v>
      </c>
      <c r="S7">
        <f>Call_option!F8*$B$9*($B$5^2*Call_option!F8-$B$4)/(2*($B$4*$B$9+1))</f>
        <v>1.507617463617464</v>
      </c>
      <c r="T7">
        <f t="shared" si="0"/>
        <v>0.9979209979209982</v>
      </c>
    </row>
    <row r="8" spans="1:20" x14ac:dyDescent="0.25">
      <c r="A8" t="s">
        <v>6</v>
      </c>
      <c r="B8" s="1">
        <v>24</v>
      </c>
      <c r="Q8">
        <f>($B$5^2*Call_option!F9^2*$B$9+$B$4*Call_option!F9*$B$9)/(2*$B$4*$B$9+2)</f>
        <v>1.4163430353430357</v>
      </c>
      <c r="R8">
        <f>(1-($B$5^2*Call_option!F9^2*$B$9))/($B$4*$B$9+1)</f>
        <v>-1.7911060291060297</v>
      </c>
      <c r="S8">
        <f>Call_option!F9*$B$9*($B$5^2*Call_option!F9-$B$4)/(2*($B$4*$B$9+1))</f>
        <v>1.3726839916839919</v>
      </c>
      <c r="T8">
        <f t="shared" si="0"/>
        <v>0.99792099792099798</v>
      </c>
    </row>
    <row r="9" spans="1:20" x14ac:dyDescent="0.25">
      <c r="A9" t="s">
        <v>7</v>
      </c>
      <c r="B9">
        <f>B3/B7</f>
        <v>4.1666666666666671E-2</v>
      </c>
      <c r="Q9">
        <f>($B$5^2*Call_option!F10^2*$B$9+$B$4*Call_option!F10*$B$9)/(2*$B$4*$B$9+2)</f>
        <v>1.2856548856548857</v>
      </c>
      <c r="R9">
        <f>(1-($B$5^2*Call_option!F10^2*$B$9))/($B$4*$B$9+1)</f>
        <v>-1.5318087318087323</v>
      </c>
      <c r="S9">
        <f>Call_option!F10*$B$9*($B$5^2*Call_option!F10-$B$4)/(2*($B$4*$B$9+1))</f>
        <v>1.2440748440748444</v>
      </c>
      <c r="T9">
        <f t="shared" si="0"/>
        <v>0.99792099792099775</v>
      </c>
    </row>
    <row r="10" spans="1:20" x14ac:dyDescent="0.25">
      <c r="A10" t="s">
        <v>8</v>
      </c>
      <c r="B10">
        <f>B6/B8</f>
        <v>10</v>
      </c>
      <c r="Q10">
        <f>($B$5^2*Call_option!F11^2*$B$9+$B$4*Call_option!F11*$B$9)/(2*$B$4*$B$9+2)</f>
        <v>1.1612910602910604</v>
      </c>
      <c r="R10">
        <f>(1-($B$5^2*Call_option!F11^2*$B$9))/($B$4*$B$9+1)</f>
        <v>-1.2851600831600836</v>
      </c>
      <c r="S10">
        <f>Call_option!F11*$B$9*($B$5^2*Call_option!F11-$B$4)/(2*($B$4*$B$9+1))</f>
        <v>1.1217900207900211</v>
      </c>
      <c r="T10">
        <f t="shared" si="0"/>
        <v>0.99792099792099798</v>
      </c>
    </row>
    <row r="11" spans="1:20" x14ac:dyDescent="0.25">
      <c r="A11" t="s">
        <v>20</v>
      </c>
      <c r="B11">
        <f>B5^2</f>
        <v>0.15210000000000001</v>
      </c>
      <c r="Q11">
        <f>($B$5^2*Call_option!F12^2*$B$9+$B$4*Call_option!F12*$B$9)/(2*$B$4*$B$9+2)</f>
        <v>1.0432515592515594</v>
      </c>
      <c r="R11">
        <f>(1-($B$5^2*Call_option!F12^2*$B$9))/($B$4*$B$9+1)</f>
        <v>-1.0511600831600836</v>
      </c>
      <c r="S11">
        <f>Call_option!F12*$B$9*($B$5^2*Call_option!F12-$B$4)/(2*($B$4*$B$9+1))</f>
        <v>1.0058295218295219</v>
      </c>
      <c r="T11">
        <f t="shared" si="0"/>
        <v>0.99792099792099775</v>
      </c>
    </row>
    <row r="12" spans="1:20" x14ac:dyDescent="0.25">
      <c r="A12" t="s">
        <v>21</v>
      </c>
      <c r="B12">
        <f>2*B4*B9+2</f>
        <v>2.0041666666666669</v>
      </c>
      <c r="Q12">
        <f>($B$5^2*Call_option!F13^2*$B$9+$B$4*Call_option!F13*$B$9)/(2*$B$4*$B$9+2)</f>
        <v>0.93153638253638271</v>
      </c>
      <c r="R12">
        <f>(1-($B$5^2*Call_option!F13^2*$B$9))/($B$4*$B$9+1)</f>
        <v>-0.82980873180873216</v>
      </c>
      <c r="S12">
        <f>Call_option!F13*$B$9*($B$5^2*Call_option!F13-$B$4)/(2*($B$4*$B$9+1))</f>
        <v>0.8961933471933472</v>
      </c>
      <c r="T12">
        <f t="shared" si="0"/>
        <v>0.99792099792099775</v>
      </c>
    </row>
    <row r="13" spans="1:20" x14ac:dyDescent="0.25">
      <c r="Q13">
        <f>($B$5^2*Call_option!F14^2*$B$9+$B$4*Call_option!F14*$B$9)/(2*$B$4*$B$9+2)</f>
        <v>0.82614553014553027</v>
      </c>
      <c r="R13">
        <f>(1-($B$5^2*Call_option!F14^2*$B$9))/($B$4*$B$9+1)</f>
        <v>-0.6211060291060293</v>
      </c>
      <c r="S13">
        <f>Call_option!F14*$B$9*($B$5^2*Call_option!F14-$B$4)/(2*($B$4*$B$9+1))</f>
        <v>0.79288149688149701</v>
      </c>
      <c r="T13">
        <f t="shared" si="0"/>
        <v>0.99792099792099798</v>
      </c>
    </row>
    <row r="14" spans="1:20" x14ac:dyDescent="0.25">
      <c r="Q14">
        <f>($B$5^2*Call_option!F15^2*$B$9+$B$4*Call_option!F15*$B$9)/(2*$B$4*$B$9+2)</f>
        <v>0.72707900207900211</v>
      </c>
      <c r="R14">
        <f>(1-($B$5^2*Call_option!F15^2*$B$9))/($B$4*$B$9+1)</f>
        <v>-0.42505197505197528</v>
      </c>
      <c r="S14">
        <f>Call_option!F15*$B$9*($B$5^2*Call_option!F15-$B$4)/(2*($B$4*$B$9+1))</f>
        <v>0.69589397089397109</v>
      </c>
      <c r="T14">
        <f t="shared" si="0"/>
        <v>0.99792099792099798</v>
      </c>
    </row>
    <row r="15" spans="1:20" x14ac:dyDescent="0.25">
      <c r="Q15">
        <f>($B$5^2*Call_option!F16^2*$B$9+$B$4*Call_option!F16*$B$9)/(2*$B$4*$B$9+2)</f>
        <v>0.63433679833679835</v>
      </c>
      <c r="R15">
        <f>(1-($B$5^2*Call_option!F16^2*$B$9))/($B$4*$B$9+1)</f>
        <v>-0.24164656964656994</v>
      </c>
      <c r="S15">
        <f>Call_option!F16*$B$9*($B$5^2*Call_option!F16-$B$4)/(2*($B$4*$B$9+1))</f>
        <v>0.60523076923076935</v>
      </c>
      <c r="T15">
        <f t="shared" si="0"/>
        <v>0.99792099792099775</v>
      </c>
    </row>
    <row r="16" spans="1:20" x14ac:dyDescent="0.25">
      <c r="Q16">
        <f>($B$5^2*Call_option!F17^2*$B$9+$B$4*Call_option!F17*$B$9)/(2*$B$4*$B$9+2)</f>
        <v>0.54791891891891897</v>
      </c>
      <c r="R16">
        <f>(1-($B$5^2*Call_option!F17^2*$B$9))/($B$4*$B$9+1)</f>
        <v>-7.0889812889813192E-2</v>
      </c>
      <c r="S16">
        <f>Call_option!F17*$B$9*($B$5^2*Call_option!F17-$B$4)/(2*($B$4*$B$9+1))</f>
        <v>0.52089189189189189</v>
      </c>
      <c r="T16">
        <f t="shared" si="0"/>
        <v>0.99792099792099764</v>
      </c>
    </row>
    <row r="17" spans="17:20" x14ac:dyDescent="0.25">
      <c r="Q17">
        <f>($B$5^2*Call_option!F18^2*$B$9+$B$4*Call_option!F18*$B$9)/(2*$B$4*$B$9+2)</f>
        <v>0.46782536382536383</v>
      </c>
      <c r="R17">
        <f>(1-($B$5^2*Call_option!F18^2*$B$9))/($B$4*$B$9+1)</f>
        <v>8.7218295218295133E-2</v>
      </c>
      <c r="S17">
        <f>Call_option!F18*$B$9*($B$5^2*Call_option!F18-$B$4)/(2*($B$4*$B$9+1))</f>
        <v>0.44287733887733888</v>
      </c>
      <c r="T17">
        <f t="shared" si="0"/>
        <v>0.99792099792099775</v>
      </c>
    </row>
    <row r="18" spans="17:20" x14ac:dyDescent="0.25">
      <c r="Q18">
        <f>($B$5^2*Call_option!F19^2*$B$9+$B$4*Call_option!F19*$B$9)/(2*$B$4*$B$9+2)</f>
        <v>0.39405613305613313</v>
      </c>
      <c r="R18">
        <f>(1-($B$5^2*Call_option!F19^2*$B$9))/($B$4*$B$9+1)</f>
        <v>0.23267775467775448</v>
      </c>
      <c r="S18">
        <f>Call_option!F19*$B$9*($B$5^2*Call_option!F19-$B$4)/(2*($B$4*$B$9+1))</f>
        <v>0.3711871101871102</v>
      </c>
      <c r="T18">
        <f t="shared" si="0"/>
        <v>0.99792099792099775</v>
      </c>
    </row>
    <row r="19" spans="17:20" x14ac:dyDescent="0.25">
      <c r="Q19">
        <f>($B$5^2*Call_option!F20^2*$B$9+$B$4*Call_option!F20*$B$9)/(2*$B$4*$B$9+2)</f>
        <v>0.32661122661122666</v>
      </c>
      <c r="R19">
        <f>(1-($B$5^2*Call_option!F20^2*$B$9))/($B$4*$B$9+1)</f>
        <v>0.36548856548856529</v>
      </c>
      <c r="S19">
        <f>Call_option!F20*$B$9*($B$5^2*Call_option!F20-$B$4)/(2*($B$4*$B$9+1))</f>
        <v>0.30582120582120587</v>
      </c>
      <c r="T19">
        <f t="shared" si="0"/>
        <v>0.99792099792099787</v>
      </c>
    </row>
    <row r="20" spans="17:20" x14ac:dyDescent="0.25">
      <c r="Q20">
        <f>($B$5^2*Call_option!F21^2*$B$9+$B$4*Call_option!F21*$B$9)/(2*$B$4*$B$9+2)</f>
        <v>0.26549064449064452</v>
      </c>
      <c r="R20">
        <f>(1-($B$5^2*Call_option!F21^2*$B$9))/($B$4*$B$9+1)</f>
        <v>0.48565072765072748</v>
      </c>
      <c r="S20">
        <f>Call_option!F21*$B$9*($B$5^2*Call_option!F21-$B$4)/(2*($B$4*$B$9+1))</f>
        <v>0.24677962577962578</v>
      </c>
      <c r="T20">
        <f t="shared" si="0"/>
        <v>0.99792099792099775</v>
      </c>
    </row>
    <row r="21" spans="17:20" x14ac:dyDescent="0.25">
      <c r="Q21">
        <f>($B$5^2*Call_option!F22^2*$B$9+$B$4*Call_option!F22*$B$9)/(2*$B$4*$B$9+2)</f>
        <v>0.2106943866943867</v>
      </c>
      <c r="R21">
        <f>(1-($B$5^2*Call_option!F22^2*$B$9))/($B$4*$B$9+1)</f>
        <v>0.59316424116424105</v>
      </c>
      <c r="S21">
        <f>Call_option!F22*$B$9*($B$5^2*Call_option!F22-$B$4)/(2*($B$4*$B$9+1))</f>
        <v>0.19406237006237009</v>
      </c>
      <c r="T21">
        <f t="shared" si="0"/>
        <v>0.99792099792099775</v>
      </c>
    </row>
    <row r="22" spans="17:20" x14ac:dyDescent="0.25">
      <c r="Q22">
        <f>($B$5^2*Call_option!F23^2*$B$9+$B$4*Call_option!F23*$B$9)/(2*$B$4*$B$9+2)</f>
        <v>0.16222245322245324</v>
      </c>
      <c r="R22">
        <f>(1-($B$5^2*Call_option!F23^2*$B$9))/($B$4*$B$9+1)</f>
        <v>0.68802910602910583</v>
      </c>
      <c r="S22">
        <f>Call_option!F23*$B$9*($B$5^2*Call_option!F23-$B$4)/(2*($B$4*$B$9+1))</f>
        <v>0.14766943866943869</v>
      </c>
      <c r="T22">
        <f t="shared" si="0"/>
        <v>0.99792099792099775</v>
      </c>
    </row>
    <row r="23" spans="17:20" x14ac:dyDescent="0.25">
      <c r="Q23">
        <f>($B$5^2*Call_option!F24^2*$B$9+$B$4*Call_option!F24*$B$9)/(2*$B$4*$B$9+2)</f>
        <v>0.12007484407484408</v>
      </c>
      <c r="R23">
        <f>(1-($B$5^2*Call_option!F24^2*$B$9))/($B$4*$B$9+1)</f>
        <v>0.77024532224532205</v>
      </c>
      <c r="S23">
        <f>Call_option!F24*$B$9*($B$5^2*Call_option!F24-$B$4)/(2*($B$4*$B$9+1))</f>
        <v>0.1076008316008316</v>
      </c>
      <c r="T23">
        <f t="shared" si="0"/>
        <v>0.99792099792099764</v>
      </c>
    </row>
    <row r="24" spans="17:20" x14ac:dyDescent="0.25">
      <c r="Q24">
        <f>($B$5^2*Call_option!F25^2*$B$9+$B$4*Call_option!F25*$B$9)/(2*$B$4*$B$9+2)</f>
        <v>8.4251559251559263E-2</v>
      </c>
      <c r="R24">
        <f>(1-($B$5^2*Call_option!F25^2*$B$9))/($B$4*$B$9+1)</f>
        <v>0.83981288981288971</v>
      </c>
      <c r="S24">
        <f>Call_option!F25*$B$9*($B$5^2*Call_option!F25-$B$4)/(2*($B$4*$B$9+1))</f>
        <v>7.3856548856548854E-2</v>
      </c>
      <c r="T24">
        <f t="shared" si="0"/>
        <v>0.99792099792099775</v>
      </c>
    </row>
    <row r="25" spans="17:20" x14ac:dyDescent="0.25">
      <c r="Q25">
        <f>($B$5^2*Call_option!F26^2*$B$9+$B$4*Call_option!F26*$B$9)/(2*$B$4*$B$9+2)</f>
        <v>5.4752598752598754E-2</v>
      </c>
      <c r="R25">
        <f>(1-($B$5^2*Call_option!F26^2*$B$9))/($B$4*$B$9+1)</f>
        <v>0.89673180873180858</v>
      </c>
      <c r="S25">
        <f>Call_option!F26*$B$9*($B$5^2*Call_option!F26-$B$4)/(2*($B$4*$B$9+1))</f>
        <v>4.6436590436590437E-2</v>
      </c>
      <c r="T25">
        <f t="shared" si="0"/>
        <v>0.99792099792099775</v>
      </c>
    </row>
    <row r="26" spans="17:20" x14ac:dyDescent="0.25">
      <c r="Q26">
        <f>($B$5^2*Call_option!F27^2*$B$9+$B$4*Call_option!F27*$B$9)/(2*$B$4*$B$9+2)</f>
        <v>3.1577962577962582E-2</v>
      </c>
      <c r="R26">
        <f>(1-($B$5^2*Call_option!F27^2*$B$9))/($B$4*$B$9+1)</f>
        <v>0.94100207900207899</v>
      </c>
      <c r="S26">
        <f>Call_option!F27*$B$9*($B$5^2*Call_option!F27-$B$4)/(2*($B$4*$B$9+1))</f>
        <v>2.5340956340956341E-2</v>
      </c>
      <c r="T26">
        <f t="shared" si="0"/>
        <v>0.99792099792099798</v>
      </c>
    </row>
    <row r="27" spans="17:20" x14ac:dyDescent="0.25">
      <c r="Q27">
        <f>($B$5^2*Call_option!F28^2*$B$9+$B$4*Call_option!F28*$B$9)/(2*$B$4*$B$9+2)</f>
        <v>1.4727650727650728E-2</v>
      </c>
      <c r="R27">
        <f>(1-($B$5^2*Call_option!F28^2*$B$9))/($B$4*$B$9+1)</f>
        <v>0.97262370062370052</v>
      </c>
      <c r="S27">
        <f>Call_option!F28*$B$9*($B$5^2*Call_option!F28-$B$4)/(2*($B$4*$B$9+1))</f>
        <v>1.0569646569646571E-2</v>
      </c>
      <c r="T27">
        <f t="shared" si="0"/>
        <v>0.99792099792099775</v>
      </c>
    </row>
    <row r="28" spans="17:20" x14ac:dyDescent="0.25">
      <c r="Q28">
        <f>($B$5^2*Call_option!F29^2*$B$9+$B$4*Call_option!F29*$B$9)/(2*$B$4*$B$9+2)</f>
        <v>4.2016632016632022E-3</v>
      </c>
      <c r="R28">
        <f>(1-($B$5^2*Call_option!F29^2*$B$9))/($B$4*$B$9+1)</f>
        <v>0.99159667359667347</v>
      </c>
      <c r="S28">
        <f>Call_option!F29*$B$9*($B$5^2*Call_option!F29-$B$4)/(2*($B$4*$B$9+1))</f>
        <v>2.1226611226611227E-3</v>
      </c>
      <c r="T28">
        <f t="shared" si="0"/>
        <v>0.99792099792099775</v>
      </c>
    </row>
    <row r="29" spans="17:20" x14ac:dyDescent="0.25">
      <c r="Q29">
        <f>($B$5^2*Call_option!F30^2*$B$9+$B$4*Call_option!F30*$B$9)/(2*$B$4*$B$9+2)</f>
        <v>0</v>
      </c>
      <c r="R29">
        <f>(1-($B$5^2*Call_option!F30^2*$B$9))/($B$4*$B$9+1)</f>
        <v>0.99792099792099787</v>
      </c>
      <c r="S29">
        <f>Call_option!F30*$B$9*(B29^2*Call_option!F30-$B$4)/(2*($B$4*$B$9+1))</f>
        <v>0</v>
      </c>
      <c r="T29">
        <f t="shared" si="0"/>
        <v>0.99792099792099787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Q44"/>
  <sheetViews>
    <sheetView tabSelected="1" workbookViewId="0">
      <selection activeCell="H10" sqref="H10"/>
    </sheetView>
  </sheetViews>
  <sheetFormatPr defaultRowHeight="15" x14ac:dyDescent="0.25"/>
  <sheetData>
    <row r="2" spans="1:17" x14ac:dyDescent="0.25">
      <c r="F2" t="s">
        <v>16</v>
      </c>
      <c r="G2" s="5">
        <f t="shared" ref="G2:Q2" si="0">VAR(G6:G30)</f>
        <v>17907019.513047103</v>
      </c>
      <c r="H2" s="5">
        <f t="shared" si="0"/>
        <v>928364.57550325303</v>
      </c>
      <c r="I2" s="5">
        <f t="shared" si="0"/>
        <v>47533.709324804739</v>
      </c>
      <c r="J2" s="5">
        <f t="shared" si="0"/>
        <v>4315.524696246187</v>
      </c>
      <c r="K2" s="5">
        <f t="shared" si="0"/>
        <v>1555.7654343616007</v>
      </c>
      <c r="L2" s="5">
        <f t="shared" si="0"/>
        <v>1541.4215344823963</v>
      </c>
      <c r="M2" s="5">
        <f t="shared" si="0"/>
        <v>1510.3479997577224</v>
      </c>
      <c r="N2" s="5">
        <f t="shared" si="0"/>
        <v>1520.9431445849611</v>
      </c>
      <c r="O2" s="5">
        <f t="shared" si="0"/>
        <v>1522.4392901127151</v>
      </c>
      <c r="P2" s="5">
        <f t="shared" si="0"/>
        <v>1527.7917675870719</v>
      </c>
      <c r="Q2" s="5">
        <f t="shared" si="0"/>
        <v>1531.8333333333333</v>
      </c>
    </row>
    <row r="3" spans="1:17" x14ac:dyDescent="0.25">
      <c r="F3" t="s">
        <v>15</v>
      </c>
      <c r="G3" s="5">
        <f t="shared" ref="G3:Q3" si="1">AVERAGE(G6:G30)</f>
        <v>-119.32149935268316</v>
      </c>
      <c r="H3" s="5">
        <f t="shared" si="1"/>
        <v>66.485463284228516</v>
      </c>
      <c r="I3" s="5">
        <f t="shared" si="1"/>
        <v>22.877796106428956</v>
      </c>
      <c r="J3" s="5">
        <f t="shared" si="1"/>
        <v>32.814386047072361</v>
      </c>
      <c r="K3" s="5">
        <f t="shared" si="1"/>
        <v>30.082039101452843</v>
      </c>
      <c r="L3" s="5">
        <f t="shared" si="1"/>
        <v>30.403198911136272</v>
      </c>
      <c r="M3" s="5">
        <f t="shared" si="1"/>
        <v>29.961037028071463</v>
      </c>
      <c r="N3" s="5">
        <f t="shared" si="1"/>
        <v>29.713955562171751</v>
      </c>
      <c r="O3" s="5">
        <f t="shared" si="1"/>
        <v>29.406179021586173</v>
      </c>
      <c r="P3" s="5">
        <f t="shared" si="1"/>
        <v>29.112088565488563</v>
      </c>
      <c r="Q3" s="5">
        <f t="shared" si="1"/>
        <v>28.8</v>
      </c>
    </row>
    <row r="4" spans="1:17" x14ac:dyDescent="0.25">
      <c r="F4" t="s">
        <v>19</v>
      </c>
      <c r="G4">
        <f>G31*Info!$B$9</f>
        <v>0</v>
      </c>
      <c r="H4">
        <f>H31*Info!$B$9</f>
        <v>4.1666666666666671E-2</v>
      </c>
      <c r="I4">
        <f>I31*Info!$B$9</f>
        <v>8.3333333333333343E-2</v>
      </c>
      <c r="J4">
        <f>J31*Info!$B$9</f>
        <v>0.125</v>
      </c>
      <c r="K4">
        <f>K31*Info!$B$9</f>
        <v>0.16666666666666669</v>
      </c>
      <c r="L4">
        <f>L31*Info!$B$9</f>
        <v>0.20833333333333337</v>
      </c>
      <c r="M4">
        <f>M31*Info!$B$9</f>
        <v>0.25</v>
      </c>
      <c r="N4">
        <f>N31*Info!$B$9</f>
        <v>0.29166666666666669</v>
      </c>
      <c r="O4">
        <f>O31*Info!$B$9</f>
        <v>0.33333333333333337</v>
      </c>
      <c r="P4">
        <f>P31*Info!$B$9</f>
        <v>0.37500000000000006</v>
      </c>
      <c r="Q4">
        <f>Q31*Info!$B$9</f>
        <v>0.41666666666666674</v>
      </c>
    </row>
    <row r="5" spans="1:17" x14ac:dyDescent="0.25">
      <c r="A5" t="s">
        <v>11</v>
      </c>
      <c r="B5" t="s">
        <v>12</v>
      </c>
      <c r="C5" t="s">
        <v>13</v>
      </c>
      <c r="D5" t="s">
        <v>14</v>
      </c>
      <c r="E5" t="s">
        <v>17</v>
      </c>
      <c r="F5" t="s">
        <v>10</v>
      </c>
    </row>
    <row r="6" spans="1:17" x14ac:dyDescent="0.25">
      <c r="A6">
        <f>(Info!$B$11*Call_option!F6^2*Info!$B$9+Info!$B$4*Call_option!F6*Info!$B$9)/Info!$B$12</f>
        <v>1.8463534303534301</v>
      </c>
      <c r="B6">
        <f>(2*(1-Info!$B$5^2*Call_option!F6^2*Info!$B$9)/Info!$B$12)</f>
        <v>-2.6448898128898128</v>
      </c>
      <c r="C6">
        <f>F6*Info!$B$9*(Info!B11*Call_option!F6-Info!$B$4)/Info!$B$12</f>
        <v>1.7964573804573805</v>
      </c>
      <c r="D6">
        <f>SUM(A6:C6)</f>
        <v>0.99792099792099775</v>
      </c>
      <c r="E6">
        <f>Info!B6</f>
        <v>240</v>
      </c>
      <c r="F6">
        <f>E6/Info!$B$7</f>
        <v>24</v>
      </c>
      <c r="G6" s="3">
        <f>MAX($E$6-Info!$B$2,0)</f>
        <v>115</v>
      </c>
      <c r="H6" s="3">
        <f>MAX($E$6-Info!$B$2,0)</f>
        <v>115</v>
      </c>
      <c r="I6" s="3">
        <f>MAX($E$6-Info!$B$2,0)</f>
        <v>115</v>
      </c>
      <c r="J6" s="3">
        <f>MAX($E$6-Info!$B$2,0)</f>
        <v>115</v>
      </c>
      <c r="K6" s="3">
        <f>MAX($E$6-Info!$B$2,0)</f>
        <v>115</v>
      </c>
      <c r="L6" s="3">
        <f>MAX($E$6-Info!$B$2,0)</f>
        <v>115</v>
      </c>
      <c r="M6" s="3">
        <f>MAX($E$6-Info!$B$2,0)</f>
        <v>115</v>
      </c>
      <c r="N6" s="3">
        <f>MAX($E$6-Info!$B$2,0)</f>
        <v>115</v>
      </c>
      <c r="O6" s="3">
        <f>MAX($E$6-Info!$B$2,0)</f>
        <v>115</v>
      </c>
      <c r="P6" s="3">
        <f>MAX($E$6-Info!$B$2,0)</f>
        <v>115</v>
      </c>
      <c r="Q6" s="3">
        <f>MAX(E6-Info!$B$2,0)</f>
        <v>115</v>
      </c>
    </row>
    <row r="7" spans="1:17" x14ac:dyDescent="0.25">
      <c r="A7">
        <f>(Info!$B$11*Call_option!F7^2*Info!$B$9+Info!$B$4*Call_option!F7*Info!$B$9)/Info!$B$12</f>
        <v>1.6966923076923079</v>
      </c>
      <c r="B7">
        <f>(2*(1-Info!$B$5^2*Call_option!F7^2*Info!$B$9)/Info!$B$12)</f>
        <v>-2.34764656964657</v>
      </c>
      <c r="C7">
        <f>F7*Info!$B$9*(Info!B12*Call_option!F7-Info!$B$4)/Info!$B$12</f>
        <v>22.017758142758147</v>
      </c>
      <c r="D7">
        <f t="shared" ref="D7:D30" si="2">SUM(A7:C7)</f>
        <v>21.366803880803886</v>
      </c>
      <c r="E7">
        <f>IF(E6&gt;Info!B7,E6-Info!$B$7,"")</f>
        <v>230</v>
      </c>
      <c r="F7">
        <f>IF(E7&lt;&gt;"",E7/Info!$B$7,"")</f>
        <v>23</v>
      </c>
      <c r="G7">
        <f>H6*Info!$Q6+H7*Info!$R6+H8*Info!$S6</f>
        <v>-11114.233175032552</v>
      </c>
      <c r="H7">
        <f>I6*Info!$Q6+I7*Info!$R6+I8*Info!$S6</f>
        <v>2696.2205322411128</v>
      </c>
      <c r="I7">
        <f>J6*Info!$Q6+J7*Info!$R6+J8*Info!$S6</f>
        <v>-497.69183774079181</v>
      </c>
      <c r="J7">
        <f>K6*Info!$Q6+K7*Info!$R6+K8*Info!$S6</f>
        <v>247.74447954019354</v>
      </c>
      <c r="K7">
        <f>L6*Info!$Q6+L7*Info!$R6+L8*Info!$S6</f>
        <v>71.357661761561474</v>
      </c>
      <c r="L7">
        <f>M6*Info!$Q6+M7*Info!$R6+M8*Info!$S6</f>
        <v>113.86079213776981</v>
      </c>
      <c r="M7">
        <f>N6*Info!$Q6+N7*Info!$R6+N8*Info!$S6</f>
        <v>103.22486549032391</v>
      </c>
      <c r="N7">
        <f>O6*Info!$Q6+O7*Info!$R6+O8*Info!$S6</f>
        <v>105.93220998008371</v>
      </c>
      <c r="O7">
        <f>P6*Info!$Q6+P7*Info!$R6+P8*Info!$S6</f>
        <v>105.0782818841551</v>
      </c>
      <c r="P7">
        <f>Q6*Info!$Q6+Q7*Info!$R6+Q8*Info!$S6</f>
        <v>105.25987525987526</v>
      </c>
      <c r="Q7" s="3">
        <f>MAX(E7-Info!$B$2,0)</f>
        <v>105</v>
      </c>
    </row>
    <row r="8" spans="1:17" x14ac:dyDescent="0.25">
      <c r="A8">
        <f>(Info!$B$11*Call_option!F8^2*Info!$B$9+Info!$B$4*Call_option!F8*Info!$B$9)/Info!$B$12</f>
        <v>1.5533555093555096</v>
      </c>
      <c r="B8">
        <f>(2*(1-Info!$B$5^2*Call_option!F8^2*Info!$B$9)/Info!$B$12)</f>
        <v>-2.0630519750519754</v>
      </c>
      <c r="C8">
        <f>F8*Info!$B$9*(Info!B13*Call_option!F8-Info!$B$4)/Info!$B$12</f>
        <v>-2.2869022869022867E-2</v>
      </c>
      <c r="D8">
        <f t="shared" si="2"/>
        <v>-0.53256548856548858</v>
      </c>
      <c r="E8">
        <f>IF(E7&gt;Info!B8,E7-Info!$B$7,"")</f>
        <v>220</v>
      </c>
      <c r="F8">
        <f>IF(E8&lt;&gt;"",E8/Info!$B$7,"")</f>
        <v>22</v>
      </c>
      <c r="G8">
        <f>H7*Info!$Q7+H8*Info!$R7+H9*Info!$S7</f>
        <v>13771.460120319773</v>
      </c>
      <c r="H8">
        <f>I7*Info!$Q7+I8*Info!$R7+I9*Info!$S7</f>
        <v>-3019.9858218913314</v>
      </c>
      <c r="I8">
        <f>J7*Info!$Q7+J8*Info!$R7+J9*Info!$S7</f>
        <v>808.24572584347652</v>
      </c>
      <c r="J8">
        <f>K7*Info!$Q7+K8*Info!$R7+K9*Info!$S7</f>
        <v>-67.436863351572782</v>
      </c>
      <c r="K8">
        <f>L7*Info!$Q7+L8*Info!$R7+L9*Info!$S7</f>
        <v>133.51369831624658</v>
      </c>
      <c r="L8">
        <f>M7*Info!$Q7+M8*Info!$R7+M9*Info!$S7</f>
        <v>87.055065928566222</v>
      </c>
      <c r="M8">
        <f>N7*Info!$Q7+N8*Info!$R7+N9*Info!$S7</f>
        <v>97.688819793395197</v>
      </c>
      <c r="N8">
        <f>O7*Info!$Q7+O8*Info!$R7+O9*Info!$S7</f>
        <v>95.093087570732365</v>
      </c>
      <c r="O8">
        <f>P7*Info!$Q7+P8*Info!$R7+P9*Info!$S7</f>
        <v>95.519210238544929</v>
      </c>
      <c r="P8">
        <f>Q7*Info!$Q7+Q8*Info!$R7+Q9*Info!$S7</f>
        <v>95.259875259875287</v>
      </c>
      <c r="Q8" s="3">
        <f>MAX(E8-Info!$B$2,0)</f>
        <v>95</v>
      </c>
    </row>
    <row r="9" spans="1:17" x14ac:dyDescent="0.25">
      <c r="A9">
        <f>(Info!$B$11*Call_option!F9^2*Info!$B$9+Info!$B$4*Call_option!F9*Info!$B$9)/Info!$B$12</f>
        <v>1.4163430353430357</v>
      </c>
      <c r="B9">
        <f>(2*(1-Info!$B$5^2*Call_option!F9^2*Info!$B$9)/Info!$B$12)</f>
        <v>-1.7911060291060297</v>
      </c>
      <c r="C9">
        <f>F9*Info!$B$9*(Info!B14*Call_option!F9-Info!$B$4)/Info!$B$12</f>
        <v>-2.1829521829521834E-2</v>
      </c>
      <c r="D9">
        <f t="shared" si="2"/>
        <v>-0.39659251559251579</v>
      </c>
      <c r="E9">
        <f>IF(E8&gt;Info!B9,E8-Info!$B$7,"")</f>
        <v>210</v>
      </c>
      <c r="F9">
        <f>IF(E9&lt;&gt;"",E9/Info!$B$7,"")</f>
        <v>21</v>
      </c>
      <c r="G9">
        <f>H8*Info!$Q8+H9*Info!$R8+H10*Info!$S8</f>
        <v>-9534.6319777421395</v>
      </c>
      <c r="H9">
        <f>I8*Info!$Q8+I9*Info!$R8+I10*Info!$S8</f>
        <v>2223.9616272410512</v>
      </c>
      <c r="I9">
        <f>J8*Info!$Q8+J9*Info!$R8+J10*Info!$S8</f>
        <v>-384.34187499815721</v>
      </c>
      <c r="J9">
        <f>K8*Info!$Q8+K9*Info!$R8+K10*Info!$S8</f>
        <v>188.56555218351076</v>
      </c>
      <c r="K9">
        <f>L8*Info!$Q8+L9*Info!$R8+L10*Info!$S8</f>
        <v>64.449385184927138</v>
      </c>
      <c r="L9">
        <f>M8*Info!$Q8+M9*Info!$R8+M10*Info!$S8</f>
        <v>90.372086115764446</v>
      </c>
      <c r="M9">
        <f>N8*Info!$Q8+N9*Info!$R8+N10*Info!$S8</f>
        <v>85.066184311918747</v>
      </c>
      <c r="N9">
        <f>O8*Info!$Q8+O9*Info!$R8+O10*Info!$S8</f>
        <v>85.778006059254892</v>
      </c>
      <c r="O9">
        <f>P8*Info!$Q8+P9*Info!$R8+P10*Info!$S8</f>
        <v>85.519210238544943</v>
      </c>
      <c r="P9">
        <f>Q8*Info!$Q8+Q9*Info!$R8+Q10*Info!$S8</f>
        <v>85.259875259875272</v>
      </c>
      <c r="Q9" s="3">
        <f>MAX(E9-Info!$B$2,0)</f>
        <v>85</v>
      </c>
    </row>
    <row r="10" spans="1:17" x14ac:dyDescent="0.25">
      <c r="A10">
        <f>(Info!$B$11*Call_option!F10^2*Info!$B$9+Info!$B$4*Call_option!F10*Info!$B$9)/Info!$B$12</f>
        <v>1.2856548856548857</v>
      </c>
      <c r="B10">
        <f>(2*(1-Info!$B$5^2*Call_option!F10^2*Info!$B$9)/Info!$B$12)</f>
        <v>-1.5318087318087323</v>
      </c>
      <c r="C10">
        <f>F10*Info!$B$9*(Info!B15*Call_option!F10-Info!$B$4)/Info!$B$12</f>
        <v>-2.0790020790020795E-2</v>
      </c>
      <c r="D10">
        <f t="shared" si="2"/>
        <v>-0.2669438669438674</v>
      </c>
      <c r="E10">
        <f>IF(E9&gt;Info!B10,E9-Info!$B$7,"")</f>
        <v>200</v>
      </c>
      <c r="F10">
        <f>IF(E10&lt;&gt;"",E10/Info!$B$7,"")</f>
        <v>20</v>
      </c>
      <c r="G10">
        <f>H9*Info!$Q9+H10*Info!$R9+H11*Info!$S9</f>
        <v>4794.5275498721003</v>
      </c>
      <c r="H10">
        <f>I9*Info!$Q9+I10*Info!$R9+I11*Info!$S9</f>
        <v>-928.06867475512342</v>
      </c>
      <c r="I10">
        <f>J9*Info!$Q9+J10*Info!$R9+J11*Info!$S9</f>
        <v>284.70600328798804</v>
      </c>
      <c r="J10">
        <f>K9*Info!$Q9+K10*Info!$R9+K11*Info!$S9</f>
        <v>35.632931125547032</v>
      </c>
      <c r="K10">
        <f>L9*Info!$Q9+L10*Info!$R9+L11*Info!$S9</f>
        <v>83.704653455123051</v>
      </c>
      <c r="L10">
        <f>M9*Info!$Q9+M10*Info!$R9+M11*Info!$S9</f>
        <v>75.046797219606518</v>
      </c>
      <c r="M10">
        <f>N9*Info!$Q9+N10*Info!$R9+N11*Info!$S9</f>
        <v>76.036263842915687</v>
      </c>
      <c r="N10">
        <f>O9*Info!$Q9+O10*Info!$R9+O11*Info!$S9</f>
        <v>75.77800605925475</v>
      </c>
      <c r="O10">
        <f>P9*Info!$Q9+P10*Info!$R9+P11*Info!$S9</f>
        <v>75.519210238544986</v>
      </c>
      <c r="P10">
        <f>Q9*Info!$Q9+Q10*Info!$R9+Q11*Info!$S9</f>
        <v>75.259875259875244</v>
      </c>
      <c r="Q10" s="3">
        <f>MAX(E10-Info!$B$2,0)</f>
        <v>75</v>
      </c>
    </row>
    <row r="11" spans="1:17" x14ac:dyDescent="0.25">
      <c r="A11">
        <f>(Info!$B$11*Call_option!F11^2*Info!$B$9+Info!$B$4*Call_option!F11*Info!$B$9)/Info!$B$12</f>
        <v>1.1612910602910604</v>
      </c>
      <c r="B11">
        <f>(2*(1-Info!$B$5^2*Call_option!F11^2*Info!$B$9)/Info!$B$12)</f>
        <v>-1.2851600831600836</v>
      </c>
      <c r="C11">
        <f>F11*Info!$B$9*(Info!B16*Call_option!F11-Info!$B$4)/Info!$B$12</f>
        <v>-1.9750519750519752E-2</v>
      </c>
      <c r="D11">
        <f t="shared" si="2"/>
        <v>-0.14361954261954288</v>
      </c>
      <c r="E11">
        <f>IF(E10&gt;Info!B11,E10-Info!$B$7,"")</f>
        <v>190</v>
      </c>
      <c r="F11">
        <f>IF(E11&lt;&gt;"",E11/Info!$B$7,"")</f>
        <v>19</v>
      </c>
      <c r="G11">
        <f>H10*Info!$Q10+H11*Info!$R10+H12*Info!$S10</f>
        <v>-1649.9450015244367</v>
      </c>
      <c r="H11">
        <f>I10*Info!$Q10+I11*Info!$R10+I12*Info!$S10</f>
        <v>412.88248937673575</v>
      </c>
      <c r="I11">
        <f>J10*Info!$Q10+J11*Info!$R10+J12*Info!$S10</f>
        <v>1.7502776808752287</v>
      </c>
      <c r="J11">
        <f>K10*Info!$Q10+K11*Info!$R10+K12*Info!$S10</f>
        <v>77.855938777644113</v>
      </c>
      <c r="K11">
        <f>L10*Info!$Q10+L11*Info!$R10+L12*Info!$S10</f>
        <v>65.102822090180226</v>
      </c>
      <c r="L11">
        <f>M10*Info!$Q10+M11*Info!$R10+M12*Info!$S10</f>
        <v>66.29398470810753</v>
      </c>
      <c r="M11">
        <f>N10*Info!$Q10+N11*Info!$R10+N12*Info!$S10</f>
        <v>66.036263842915218</v>
      </c>
      <c r="N11">
        <f>O10*Info!$Q10+O11*Info!$R10+O12*Info!$S10</f>
        <v>65.778006059254892</v>
      </c>
      <c r="O11">
        <f>P10*Info!$Q10+P11*Info!$R10+P12*Info!$S10</f>
        <v>65.519210238544943</v>
      </c>
      <c r="P11">
        <f>Q10*Info!$Q10+Q11*Info!$R10+Q12*Info!$S10</f>
        <v>65.259875259875258</v>
      </c>
      <c r="Q11" s="3">
        <f>MAX(E11-Info!$B$2,0)</f>
        <v>65</v>
      </c>
    </row>
    <row r="12" spans="1:17" x14ac:dyDescent="0.25">
      <c r="A12">
        <f>(Info!$B$11*Call_option!F12^2*Info!$B$9+Info!$B$4*Call_option!F12*Info!$B$9)/Info!$B$12</f>
        <v>1.0432515592515594</v>
      </c>
      <c r="B12">
        <f>(2*(1-Info!$B$5^2*Call_option!F12^2*Info!$B$9)/Info!$B$12)</f>
        <v>-1.0511600831600836</v>
      </c>
      <c r="C12">
        <f>F12*Info!$B$9*(Info!B17*Call_option!F12-Info!$B$4)/Info!$B$12</f>
        <v>-1.8711018711018712E-2</v>
      </c>
      <c r="D12">
        <f t="shared" si="2"/>
        <v>-2.6619542619542857E-2</v>
      </c>
      <c r="E12">
        <f>IF(E11&gt;Info!B12,E11-Info!$B$7,"")</f>
        <v>180</v>
      </c>
      <c r="F12">
        <f>IF(E12&lt;&gt;"",E12/Info!$B$7,"")</f>
        <v>18</v>
      </c>
      <c r="G12">
        <f>H11*Info!$Q11+H12*Info!$R11+H13*Info!$S11</f>
        <v>547.30423951897296</v>
      </c>
      <c r="H12">
        <f>I11*Info!$Q11+I12*Info!$R11+I13*Info!$S11</f>
        <v>-37.054217850073762</v>
      </c>
      <c r="I12">
        <f>J11*Info!$Q11+J12*Info!$R11+J13*Info!$S11</f>
        <v>75.330800230859481</v>
      </c>
      <c r="J12">
        <f>K11*Info!$Q11+K12*Info!$R11+K13*Info!$S11</f>
        <v>53.866959900604066</v>
      </c>
      <c r="K12">
        <f>L11*Info!$Q11+L12*Info!$R11+L13*Info!$S11</f>
        <v>57.335169750863564</v>
      </c>
      <c r="L12">
        <f>M11*Info!$Q11+M12*Info!$R11+M13*Info!$S11</f>
        <v>56.293984708106528</v>
      </c>
      <c r="M12">
        <f>N11*Info!$Q11+N12*Info!$R11+N13*Info!$S11</f>
        <v>56.03626384291551</v>
      </c>
      <c r="N12">
        <f>O11*Info!$Q11+O12*Info!$R11+O13*Info!$S11</f>
        <v>55.778006059254814</v>
      </c>
      <c r="O12">
        <f>P11*Info!$Q11+P12*Info!$R11+P13*Info!$S11</f>
        <v>55.51921023854495</v>
      </c>
      <c r="P12">
        <f>Q11*Info!$Q11+Q12*Info!$R11+Q13*Info!$S11</f>
        <v>55.259875259875251</v>
      </c>
      <c r="Q12" s="3">
        <f>MAX(E12-Info!$B$2,0)</f>
        <v>55</v>
      </c>
    </row>
    <row r="13" spans="1:17" x14ac:dyDescent="0.25">
      <c r="A13">
        <f>(Info!$B$11*Call_option!F13^2*Info!$B$9+Info!$B$4*Call_option!F13*Info!$B$9)/Info!$B$12</f>
        <v>0.93153638253638271</v>
      </c>
      <c r="B13">
        <f>(2*(1-Info!$B$5^2*Call_option!F13^2*Info!$B$9)/Info!$B$12)</f>
        <v>-0.82980873180873216</v>
      </c>
      <c r="C13">
        <f>F13*Info!$B$9*(Info!B18*Call_option!F13-Info!$B$4)/Info!$B$12</f>
        <v>-1.7671517671517672E-2</v>
      </c>
      <c r="D13">
        <f t="shared" si="2"/>
        <v>8.4056133056132881E-2</v>
      </c>
      <c r="E13">
        <f>IF(E12&gt;Info!B13,E12-Info!$B$7,"")</f>
        <v>170</v>
      </c>
      <c r="F13">
        <f>IF(E13&lt;&gt;"",E13/Info!$B$7,"")</f>
        <v>17</v>
      </c>
      <c r="G13">
        <f>H12*Info!$Q12+H13*Info!$R12+H14*Info!$S12</f>
        <v>-75.164755559569898</v>
      </c>
      <c r="H13">
        <f>I12*Info!$Q12+I13*Info!$R12+I14*Info!$S12</f>
        <v>77.16419362114064</v>
      </c>
      <c r="I13">
        <f>J12*Info!$Q12+J13*Info!$R12+J14*Info!$S12</f>
        <v>40.070938057281509</v>
      </c>
      <c r="J13">
        <f>K12*Info!$Q12+K13*Info!$R12+K14*Info!$S12</f>
        <v>50.436249535123949</v>
      </c>
      <c r="K13">
        <f>L12*Info!$Q12+L13*Info!$R12+L14*Info!$S12</f>
        <v>45.948920809758469</v>
      </c>
      <c r="L13">
        <f>M12*Info!$Q12+M13*Info!$R12+M14*Info!$S12</f>
        <v>47.073440831399722</v>
      </c>
      <c r="M13">
        <f>N12*Info!$Q12+N13*Info!$R12+N14*Info!$S12</f>
        <v>46.036263842915389</v>
      </c>
      <c r="N13">
        <f>O12*Info!$Q12+O13*Info!$R12+O14*Info!$S12</f>
        <v>45.778006059254842</v>
      </c>
      <c r="O13">
        <f>P12*Info!$Q12+P13*Info!$R12+P14*Info!$S12</f>
        <v>45.519210238544943</v>
      </c>
      <c r="P13">
        <f>Q12*Info!$Q12+Q13*Info!$R12+Q14*Info!$S12</f>
        <v>45.259875259875258</v>
      </c>
      <c r="Q13" s="3">
        <f>MAX(E13-Info!$B$2,0)</f>
        <v>45</v>
      </c>
    </row>
    <row r="14" spans="1:17" x14ac:dyDescent="0.25">
      <c r="A14">
        <f>(Info!$B$11*Call_option!F14^2*Info!$B$9+Info!$B$4*Call_option!F14*Info!$B$9)/Info!$B$12</f>
        <v>0.82614553014553027</v>
      </c>
      <c r="B14">
        <f>(2*(1-Info!$B$5^2*Call_option!F14^2*Info!$B$9)/Info!$B$12)</f>
        <v>-0.6211060291060293</v>
      </c>
      <c r="C14">
        <f>F14*Info!$B$9*(Info!B19*Call_option!F14-Info!$B$4)/Info!$B$12</f>
        <v>-1.6632016632016633E-2</v>
      </c>
      <c r="D14">
        <f t="shared" si="2"/>
        <v>0.18840748440748434</v>
      </c>
      <c r="E14">
        <f>IF(E13&gt;Info!B14,E13-Info!$B$7,"")</f>
        <v>160</v>
      </c>
      <c r="F14">
        <f>IF(E14&lt;&gt;"",E14/Info!$B$7,"")</f>
        <v>16</v>
      </c>
      <c r="G14">
        <f>H13*Info!$Q13+H14*Info!$R13+H15*Info!$S13</f>
        <v>78.042724178548809</v>
      </c>
      <c r="H14">
        <f>I13*Info!$Q13+I14*Info!$R13+I15*Info!$S13</f>
        <v>26.092715614591697</v>
      </c>
      <c r="I14">
        <f>J13*Info!$Q13+J14*Info!$R13+J15*Info!$S13</f>
        <v>44.903286660453183</v>
      </c>
      <c r="J14">
        <f>K13*Info!$Q13+K14*Info!$R13+K15*Info!$S13</f>
        <v>35.421313332201919</v>
      </c>
      <c r="K14">
        <f>L13*Info!$Q13+L14*Info!$R13+L15*Info!$S13</f>
        <v>39.227326032399247</v>
      </c>
      <c r="L14">
        <f>M13*Info!$Q13+M14*Info!$R13+M15*Info!$S13</f>
        <v>36.343695561222134</v>
      </c>
      <c r="M14">
        <f>N13*Info!$Q13+N14*Info!$R13+N15*Info!$S13</f>
        <v>36.906004871158736</v>
      </c>
      <c r="N14">
        <f>O13*Info!$Q13+O14*Info!$R13+O15*Info!$S13</f>
        <v>35.778006059254828</v>
      </c>
      <c r="O14">
        <f>P13*Info!$Q13+P14*Info!$R13+P15*Info!$S13</f>
        <v>35.519210238544957</v>
      </c>
      <c r="P14">
        <f>Q13*Info!$Q13+Q14*Info!$R13+Q15*Info!$S13</f>
        <v>35.259875259875258</v>
      </c>
      <c r="Q14" s="3">
        <f>MAX(E14-Info!$B$2,0)</f>
        <v>35</v>
      </c>
    </row>
    <row r="15" spans="1:17" x14ac:dyDescent="0.25">
      <c r="A15">
        <f>(Info!$B$11*Call_option!F15^2*Info!$B$9+Info!$B$4*Call_option!F15*Info!$B$9)/Info!$B$12</f>
        <v>0.72707900207900211</v>
      </c>
      <c r="B15">
        <f>(2*(1-Info!$B$5^2*Call_option!F15^2*Info!$B$9)/Info!$B$12)</f>
        <v>-0.42505197505197528</v>
      </c>
      <c r="C15">
        <f>F15*Info!$B$9*(Info!B20*Call_option!F15-Info!$B$4)/Info!$B$12</f>
        <v>-1.5592515592515595E-2</v>
      </c>
      <c r="D15">
        <f t="shared" si="2"/>
        <v>0.28643451143451121</v>
      </c>
      <c r="E15">
        <f>IF(E14&gt;Info!B15,E14-Info!$B$7,"")</f>
        <v>150</v>
      </c>
      <c r="F15">
        <f>IF(E15&lt;&gt;"",E15/Info!$B$7,"")</f>
        <v>15</v>
      </c>
      <c r="G15">
        <f>H14*Info!$Q14+H15*Info!$R14+H16*Info!$S14</f>
        <v>16.25687106498097</v>
      </c>
      <c r="H15">
        <f>I14*Info!$Q14+I15*Info!$R14+I16*Info!$S14</f>
        <v>38.467556167084688</v>
      </c>
      <c r="I15">
        <f>J14*Info!$Q14+J15*Info!$R14+J16*Info!$S14</f>
        <v>26.331792838437707</v>
      </c>
      <c r="J15">
        <f>K14*Info!$Q14+K15*Info!$R14+K16*Info!$S14</f>
        <v>31.828206255848698</v>
      </c>
      <c r="K15">
        <f>L14*Info!$Q14+L15*Info!$R14+L16*Info!$S14</f>
        <v>27.526366273498802</v>
      </c>
      <c r="L15">
        <f>M14*Info!$Q14+M15*Info!$R14+M16*Info!$S14</f>
        <v>28.895997477743677</v>
      </c>
      <c r="M15">
        <f>N14*Info!$Q14+N15*Info!$R14+N16*Info!$S14</f>
        <v>26.780274457160161</v>
      </c>
      <c r="N15">
        <f>O14*Info!$Q14+O15*Info!$R14+O16*Info!$S14</f>
        <v>26.874943031127803</v>
      </c>
      <c r="O15">
        <f>P14*Info!$Q14+P15*Info!$R14+P16*Info!$S14</f>
        <v>25.519210238544954</v>
      </c>
      <c r="P15">
        <f>Q14*Info!$Q14+Q15*Info!$R14+Q16*Info!$S14</f>
        <v>25.259875259875258</v>
      </c>
      <c r="Q15" s="3">
        <f>MAX(E15-Info!$B$2,0)</f>
        <v>25</v>
      </c>
    </row>
    <row r="16" spans="1:17" x14ac:dyDescent="0.25">
      <c r="A16">
        <f>(Info!$B$11*Call_option!F16^2*Info!$B$9+Info!$B$4*Call_option!F16*Info!$B$9)/Info!$B$12</f>
        <v>0.63433679833679835</v>
      </c>
      <c r="B16">
        <f>(2*(1-Info!$B$5^2*Call_option!F16^2*Info!$B$9)/Info!$B$12)</f>
        <v>-0.24164656964656994</v>
      </c>
      <c r="C16">
        <f>F16*Info!$B$9*(Info!B21*Call_option!F16-Info!$B$4)/Info!$B$12</f>
        <v>-1.4553014553014554E-2</v>
      </c>
      <c r="D16">
        <f t="shared" si="2"/>
        <v>0.37813721413721385</v>
      </c>
      <c r="E16">
        <f>IF(E15&gt;Info!B16,E15-Info!$B$7,"")</f>
        <v>140</v>
      </c>
      <c r="F16">
        <f>IF(E16&lt;&gt;"",E16/Info!$B$7,"")</f>
        <v>14</v>
      </c>
      <c r="G16">
        <f>H15*Info!$Q15+H16*Info!$R15+H17*Info!$S15</f>
        <v>30.273391595994809</v>
      </c>
      <c r="H16">
        <f>I15*Info!$Q15+I16*Info!$R15+I17*Info!$S15</f>
        <v>19.595106049154474</v>
      </c>
      <c r="I16">
        <f>J15*Info!$Q15+J16*Info!$R15+J17*Info!$S15</f>
        <v>24.445821599400507</v>
      </c>
      <c r="J16">
        <f>K15*Info!$Q15+K16*Info!$R15+K17*Info!$S15</f>
        <v>20.270820282896373</v>
      </c>
      <c r="K16">
        <f>L15*Info!$Q15+L16*Info!$R15+L17*Info!$S15</f>
        <v>21.565034571660998</v>
      </c>
      <c r="L16">
        <f>M15*Info!$Q15+M16*Info!$R15+M17*Info!$S15</f>
        <v>19.232713217504543</v>
      </c>
      <c r="M16">
        <f>N15*Info!$Q15+N16*Info!$R15+N17*Info!$S15</f>
        <v>19.321082518470732</v>
      </c>
      <c r="N16">
        <f>O15*Info!$Q15+O16*Info!$R15+O17*Info!$S15</f>
        <v>17.517158705012243</v>
      </c>
      <c r="O16">
        <f>P15*Info!$Q15+P16*Info!$R15+P17*Info!$S15</f>
        <v>17.095509240623958</v>
      </c>
      <c r="P16">
        <f>Q15*Info!$Q15+Q16*Info!$R15+Q17*Info!$S15</f>
        <v>15.259875259875255</v>
      </c>
      <c r="Q16" s="3">
        <f>MAX(E16-Info!$B$2,0)</f>
        <v>15</v>
      </c>
    </row>
    <row r="17" spans="1:17" x14ac:dyDescent="0.25">
      <c r="A17">
        <f>(Info!$B$11*Call_option!F17^2*Info!$B$9+Info!$B$4*Call_option!F17*Info!$B$9)/Info!$B$12</f>
        <v>0.54791891891891897</v>
      </c>
      <c r="B17">
        <f>(2*(1-Info!$B$5^2*Call_option!F17^2*Info!$B$9)/Info!$B$12)</f>
        <v>-7.0889812889813192E-2</v>
      </c>
      <c r="C17">
        <f>F17*Info!$B$9*(Info!B22*Call_option!F17-Info!$B$4)/Info!$B$12</f>
        <v>-1.3513513513513514E-2</v>
      </c>
      <c r="D17">
        <f t="shared" si="2"/>
        <v>0.46351559251559227</v>
      </c>
      <c r="E17">
        <f>IF(E16&gt;Info!B17,E16-Info!$B$7,"")</f>
        <v>130</v>
      </c>
      <c r="F17">
        <f>IF(E17&lt;&gt;"",E17/Info!$B$7,"")</f>
        <v>13</v>
      </c>
      <c r="G17">
        <f>H16*Info!$Q16+H17*Info!$R16+H18*Info!$S16</f>
        <v>14.693311326819355</v>
      </c>
      <c r="H17">
        <f>I16*Info!$Q16+I17*Info!$R16+I18*Info!$S16</f>
        <v>17.525704037231261</v>
      </c>
      <c r="I17">
        <f>J16*Info!$Q16+J17*Info!$R16+J18*Info!$S16</f>
        <v>14.538470719891952</v>
      </c>
      <c r="J17">
        <f>K16*Info!$Q16+K17*Info!$R16+K18*Info!$S16</f>
        <v>15.125459241243096</v>
      </c>
      <c r="K17">
        <f>L16*Info!$Q16+L17*Info!$R16+L18*Info!$S16</f>
        <v>13.25271329127083</v>
      </c>
      <c r="L17">
        <f>M16*Info!$Q16+M17*Info!$R16+M18*Info!$S16</f>
        <v>13.024386104668551</v>
      </c>
      <c r="M17">
        <f>N16*Info!$Q16+N17*Info!$R16+N18*Info!$S16</f>
        <v>11.423531855465511</v>
      </c>
      <c r="N17">
        <f>O16*Info!$Q16+O17*Info!$R16+O18*Info!$S16</f>
        <v>10.750078882987589</v>
      </c>
      <c r="O17">
        <f>P16*Info!$Q16+P17*Info!$R16+P18*Info!$S16</f>
        <v>9.0221053326619387</v>
      </c>
      <c r="P17">
        <f>Q16*Info!$Q16+Q17*Info!$R16+Q18*Info!$S16</f>
        <v>7.8643347193347184</v>
      </c>
      <c r="Q17" s="3">
        <f>MAX(E17-Info!$B$2,0)</f>
        <v>5</v>
      </c>
    </row>
    <row r="18" spans="1:17" x14ac:dyDescent="0.25">
      <c r="A18">
        <f>(Info!$B$11*Call_option!F18^2*Info!$B$9+Info!$B$4*Call_option!F18*Info!$B$9)/Info!$B$12</f>
        <v>0.46782536382536383</v>
      </c>
      <c r="B18">
        <f>(2*(1-Info!$B$5^2*Call_option!F18^2*Info!$B$9)/Info!$B$12)</f>
        <v>8.7218295218295133E-2</v>
      </c>
      <c r="C18">
        <f>F18*Info!$B$9*(Info!B23*Call_option!F18-Info!$B$4)/Info!$B$12</f>
        <v>-1.2474012474012473E-2</v>
      </c>
      <c r="D18">
        <f t="shared" si="2"/>
        <v>0.54256964656964646</v>
      </c>
      <c r="E18">
        <f>IF(E17&gt;Info!B18,E17-Info!$B$7,"")</f>
        <v>120</v>
      </c>
      <c r="F18">
        <f>IF(E18&lt;&gt;"",E18/Info!$B$7,"")</f>
        <v>12</v>
      </c>
      <c r="G18" s="4">
        <f>H17*Info!$Q17+H18*Info!$R17+H19*Info!$S17</f>
        <v>11.738695629799729</v>
      </c>
      <c r="H18">
        <f>I17*Info!$Q17+I18*Info!$R17+I19*Info!$S17</f>
        <v>9.9812954763859025</v>
      </c>
      <c r="I18">
        <f>J17*Info!$Q17+J18*Info!$R17+J19*Info!$S17</f>
        <v>9.909936099584149</v>
      </c>
      <c r="J18">
        <f>K17*Info!$Q17+K18*Info!$R17+K19*Info!$S17</f>
        <v>8.6466037012276296</v>
      </c>
      <c r="K18">
        <f>L17*Info!$Q17+L18*Info!$R17+L19*Info!$S17</f>
        <v>8.1572611206470569</v>
      </c>
      <c r="L18">
        <f>M17*Info!$Q17+M18*Info!$R17+M19*Info!$S17</f>
        <v>6.9842556734936236</v>
      </c>
      <c r="M18">
        <f>N17*Info!$Q17+N18*Info!$R17+N19*Info!$S17</f>
        <v>6.2350970424659193</v>
      </c>
      <c r="N18">
        <f>O17*Info!$Q17+O18*Info!$R17+O19*Info!$S17</f>
        <v>4.9676724021399048</v>
      </c>
      <c r="O18">
        <f>P17*Info!$Q17+P18*Info!$R17+P19*Info!$S17</f>
        <v>3.88314990478084</v>
      </c>
      <c r="P18">
        <f>Q17*Info!$Q17+Q18*Info!$R17+Q19*Info!$S17</f>
        <v>2.3391268191268191</v>
      </c>
      <c r="Q18" s="3">
        <f>MAX(E18-Info!$B$2,0)</f>
        <v>0</v>
      </c>
    </row>
    <row r="19" spans="1:17" x14ac:dyDescent="0.25">
      <c r="A19">
        <f>(Info!$B$11*Call_option!F19^2*Info!$B$9+Info!$B$4*Call_option!F19*Info!$B$9)/Info!$B$12</f>
        <v>0.39405613305613313</v>
      </c>
      <c r="B19">
        <f>(2*(1-Info!$B$5^2*Call_option!F19^2*Info!$B$9)/Info!$B$12)</f>
        <v>0.23267775467775448</v>
      </c>
      <c r="C19">
        <f>F19*Info!$B$9*(Info!B24*Call_option!F19-Info!$B$4)/Info!$B$12</f>
        <v>-1.1434511434511433E-2</v>
      </c>
      <c r="D19">
        <f t="shared" si="2"/>
        <v>0.61529937629937614</v>
      </c>
      <c r="E19">
        <f>IF(E18&gt;Info!B19,E18-Info!$B$7,"")</f>
        <v>110</v>
      </c>
      <c r="F19">
        <f>IF(E19&lt;&gt;"",E19/Info!$B$7,"")</f>
        <v>11</v>
      </c>
      <c r="G19">
        <f>H18*Info!$Q18+H19*Info!$R18+H20*Info!$S18</f>
        <v>6.3965695368933098</v>
      </c>
      <c r="H19">
        <f>I18*Info!$Q18+I19*Info!$R18+I20*Info!$S18</f>
        <v>6.0268949265547604</v>
      </c>
      <c r="I19">
        <f>J18*Info!$Q18+J19*Info!$R18+J20*Info!$S18</f>
        <v>5.2283153523494965</v>
      </c>
      <c r="J19">
        <f>K18*Info!$Q18+K19*Info!$R18+K20*Info!$S18</f>
        <v>4.6959291212473158</v>
      </c>
      <c r="K19">
        <f>L18*Info!$Q18+L19*Info!$R18+L20*Info!$S18</f>
        <v>3.9179829789233991</v>
      </c>
      <c r="L19">
        <f>M18*Info!$Q18+M19*Info!$R18+M20*Info!$S18</f>
        <v>3.285261971420562</v>
      </c>
      <c r="M19">
        <f>N18*Info!$Q18+N19*Info!$R18+N20*Info!$S18</f>
        <v>2.4752298125123557</v>
      </c>
      <c r="N19">
        <f>O18*Info!$Q18+O19*Info!$R18+O20*Info!$S18</f>
        <v>1.7446491205034886</v>
      </c>
      <c r="O19">
        <f>P18*Info!$Q18+P19*Info!$R18+P20*Info!$S18</f>
        <v>0.9217472690730073</v>
      </c>
      <c r="P19">
        <f>Q18*Info!$Q18+Q19*Info!$R18+Q20*Info!$S18</f>
        <v>0</v>
      </c>
      <c r="Q19" s="3">
        <f>MAX(E19-Info!$B$2,0)</f>
        <v>0</v>
      </c>
    </row>
    <row r="20" spans="1:17" x14ac:dyDescent="0.25">
      <c r="A20">
        <f>(Info!$B$11*Call_option!F20^2*Info!$B$9+Info!$B$4*Call_option!F20*Info!$B$9)/Info!$B$12</f>
        <v>0.32661122661122666</v>
      </c>
      <c r="B20">
        <f>(2*(1-Info!$B$5^2*Call_option!F20^2*Info!$B$9)/Info!$B$12)</f>
        <v>0.36548856548856529</v>
      </c>
      <c r="C20">
        <f>F20*Info!$B$9*(Info!B25*Call_option!F20-Info!$B$4)/Info!$B$12</f>
        <v>-1.0395010395010397E-2</v>
      </c>
      <c r="D20">
        <f t="shared" si="2"/>
        <v>0.68170478170478155</v>
      </c>
      <c r="E20">
        <f>IF(E19&gt;Info!B20,E19-Info!$B$7,"")</f>
        <v>100</v>
      </c>
      <c r="F20">
        <f>IF(E20&lt;&gt;"",E20/Info!$B$7,"")</f>
        <v>10</v>
      </c>
      <c r="G20">
        <f>H19*Info!$Q19+H20*Info!$R19+H21*Info!$S19</f>
        <v>3.3524729722363524</v>
      </c>
      <c r="H20">
        <f>I19*Info!$Q19+I20*Info!$R19+I21*Info!$S19</f>
        <v>2.8585433876020963</v>
      </c>
      <c r="I20">
        <f>J19*Info!$Q19+J20*Info!$R19+J21*Info!$S19</f>
        <v>2.4389617164534192</v>
      </c>
      <c r="J20">
        <f>K19*Info!$Q19+K20*Info!$R19+K21*Info!$S19</f>
        <v>1.9624331495508873</v>
      </c>
      <c r="K20">
        <f>L19*Info!$Q19+L20*Info!$R19+L21*Info!$S19</f>
        <v>1.5352981008073561</v>
      </c>
      <c r="L20">
        <f>M19*Info!$Q19+M20*Info!$R19+M21*Info!$S19</f>
        <v>1.0813597937451549</v>
      </c>
      <c r="M20">
        <f>N19*Info!$Q19+N20*Info!$R19+N21*Info!$S19</f>
        <v>0.67985342061767073</v>
      </c>
      <c r="N20">
        <f>O19*Info!$Q19+O20*Info!$R19+O21*Info!$S19</f>
        <v>0.30105300617748332</v>
      </c>
      <c r="O20">
        <f>P19*Info!$Q19+P20*Info!$R19+P21*Info!$S19</f>
        <v>0</v>
      </c>
      <c r="P20">
        <f>Q19*Info!$Q19+Q20*Info!$R19+Q21*Info!$S19</f>
        <v>0</v>
      </c>
      <c r="Q20" s="3">
        <f>MAX(E20-Info!$B$2,0)</f>
        <v>0</v>
      </c>
    </row>
    <row r="21" spans="1:17" x14ac:dyDescent="0.25">
      <c r="A21">
        <f>(Info!$B$11*Call_option!F21^2*Info!$B$9+Info!$B$4*Call_option!F21*Info!$B$9)/Info!$B$12</f>
        <v>0.26549064449064452</v>
      </c>
      <c r="B21">
        <f>(2*(1-Info!$B$5^2*Call_option!F21^2*Info!$B$9)/Info!$B$12)</f>
        <v>0.48565072765072748</v>
      </c>
      <c r="C21">
        <f>F21*Info!$B$9*(Info!B26*Call_option!F21-Info!$B$4)/Info!$B$12</f>
        <v>-9.355509355509356E-3</v>
      </c>
      <c r="D21">
        <f t="shared" si="2"/>
        <v>0.74178586278586267</v>
      </c>
      <c r="E21">
        <f>IF(E20&gt;Info!B21,E20-Info!$B$7,"")</f>
        <v>90</v>
      </c>
      <c r="F21">
        <f>IF(E21&lt;&gt;"",E21/Info!$B$7,"")</f>
        <v>9</v>
      </c>
      <c r="G21">
        <f>H20*Info!$Q20+H21*Info!$R20+H22*Info!$S20</f>
        <v>1.3725483733133399</v>
      </c>
      <c r="H21">
        <f>I20*Info!$Q20+I21*Info!$R20+I22*Info!$S20</f>
        <v>1.1093295658972417</v>
      </c>
      <c r="I21">
        <f>J20*Info!$Q20+J21*Info!$R20+J22*Info!$S20</f>
        <v>0.84854899952407425</v>
      </c>
      <c r="J21">
        <f>K20*Info!$Q20+K21*Info!$R20+K22*Info!$S20</f>
        <v>0.61464563545272122</v>
      </c>
      <c r="K21">
        <f>L20*Info!$Q20+L21*Info!$R20+L22*Info!$S20</f>
        <v>0.39775535569801318</v>
      </c>
      <c r="L21">
        <f>M20*Info!$Q20+M21*Info!$R20+M22*Info!$S20</f>
        <v>0.21931121031794504</v>
      </c>
      <c r="M21">
        <f>N20*Info!$Q20+N21*Info!$R20+N22*Info!$S20</f>
        <v>7.9926756635906038E-2</v>
      </c>
      <c r="N21">
        <f>O20*Info!$Q20+O21*Info!$R20+O22*Info!$S20</f>
        <v>0</v>
      </c>
      <c r="O21">
        <f>P20*Info!$Q20+P21*Info!$R20+P22*Info!$S20</f>
        <v>0</v>
      </c>
      <c r="P21">
        <f>Q20*Info!$Q20+Q21*Info!$R20+Q22*Info!$S20</f>
        <v>0</v>
      </c>
      <c r="Q21" s="3">
        <f>MAX(E21-Info!$B$2,0)</f>
        <v>0</v>
      </c>
    </row>
    <row r="22" spans="1:17" x14ac:dyDescent="0.25">
      <c r="A22">
        <f>(Info!$B$11*Call_option!F22^2*Info!$B$9+Info!$B$4*Call_option!F22*Info!$B$9)/Info!$B$12</f>
        <v>0.2106943866943867</v>
      </c>
      <c r="B22">
        <f>(2*(1-Info!$B$5^2*Call_option!F22^2*Info!$B$9)/Info!$B$12)</f>
        <v>0.59316424116424105</v>
      </c>
      <c r="C22">
        <f>F22*Info!$B$9*(Info!B27*Call_option!F22-Info!$B$4)/Info!$B$12</f>
        <v>-8.3160083160083165E-3</v>
      </c>
      <c r="D22">
        <f t="shared" si="2"/>
        <v>0.7955426195426194</v>
      </c>
      <c r="E22">
        <f>IF(E21&gt;Info!B22,E21-Info!$B$7,"")</f>
        <v>80</v>
      </c>
      <c r="F22">
        <f>IF(E22&lt;&gt;"",E22/Info!$B$7,"")</f>
        <v>8</v>
      </c>
      <c r="G22">
        <f>H21*Info!$Q21+H22*Info!$R21+H23*Info!$S21</f>
        <v>0.4236766435477563</v>
      </c>
      <c r="H22">
        <f>I21*Info!$Q21+I22*Info!$R21+I23*Info!$S21</f>
        <v>0.30344942746124665</v>
      </c>
      <c r="I22">
        <f>J21*Info!$Q21+J22*Info!$R21+J23*Info!$S21</f>
        <v>0.20143319645942781</v>
      </c>
      <c r="J22">
        <f>K21*Info!$Q21+K22*Info!$R21+K23*Info!$S21</f>
        <v>0.11766878113745541</v>
      </c>
      <c r="K22">
        <f>L21*Info!$Q21+L22*Info!$R21+L23*Info!$S21</f>
        <v>5.619659734302377E-2</v>
      </c>
      <c r="L22">
        <f>M21*Info!$Q21+M22*Info!$R21+M23*Info!$S21</f>
        <v>1.6840118969873724E-2</v>
      </c>
      <c r="M22">
        <f>N21*Info!$Q21+N22*Info!$R21+N23*Info!$S21</f>
        <v>0</v>
      </c>
      <c r="N22">
        <f>O21*Info!$Q21+O22*Info!$R21+O23*Info!$S21</f>
        <v>0</v>
      </c>
      <c r="O22">
        <f>P21*Info!$Q21+P22*Info!$R21+P23*Info!$S21</f>
        <v>0</v>
      </c>
      <c r="P22">
        <f>Q21*Info!$Q21+Q22*Info!$R21+Q23*Info!$S21</f>
        <v>0</v>
      </c>
      <c r="Q22" s="3">
        <f>MAX(E22-Info!$B$2,0)</f>
        <v>0</v>
      </c>
    </row>
    <row r="23" spans="1:17" x14ac:dyDescent="0.25">
      <c r="A23">
        <f>(Info!$B$11*Call_option!F23^2*Info!$B$9+Info!$B$4*Call_option!F23*Info!$B$9)/Info!$B$12</f>
        <v>0.16222245322245324</v>
      </c>
      <c r="B23">
        <f>(2*(1-Info!$B$5^2*Call_option!F23^2*Info!$B$9)/Info!$B$12)</f>
        <v>0.68802910602910583</v>
      </c>
      <c r="C23">
        <f>F23*Info!$B$9*(Info!B28*Call_option!F23-Info!$B$4)/Info!$B$12</f>
        <v>-7.2765072765072769E-3</v>
      </c>
      <c r="D23">
        <f t="shared" si="2"/>
        <v>0.84297505197505174</v>
      </c>
      <c r="E23">
        <f>IF(E22&gt;Info!B23,E22-Info!$B$7,"")</f>
        <v>70</v>
      </c>
      <c r="F23">
        <f>IF(E23&lt;&gt;"",E23/Info!$B$7,"")</f>
        <v>7</v>
      </c>
      <c r="G23">
        <f>H22*Info!$Q22+H23*Info!$R22+H24*Info!$S22</f>
        <v>8.5162203037180903E-2</v>
      </c>
      <c r="H23">
        <f>I22*Info!$Q22+I23*Info!$R22+I24*Info!$S22</f>
        <v>5.1281356834478153E-2</v>
      </c>
      <c r="I23">
        <f>J22*Info!$Q22+J23*Info!$R22+J24*Info!$S22</f>
        <v>2.6702483853912225E-2</v>
      </c>
      <c r="J23">
        <f>K22*Info!$Q22+K23*Info!$R22+K24*Info!$S22</f>
        <v>1.0995939040265194E-2</v>
      </c>
      <c r="K23">
        <f>L22*Info!$Q22+L23*Info!$R22+L24*Info!$S22</f>
        <v>2.7318454118508877E-3</v>
      </c>
      <c r="L23">
        <f>M22*Info!$Q22+M23*Info!$R22+M24*Info!$S22</f>
        <v>0</v>
      </c>
      <c r="M23">
        <f>N22*Info!$Q22+N23*Info!$R22+N24*Info!$S22</f>
        <v>0</v>
      </c>
      <c r="N23">
        <f>O22*Info!$Q22+O23*Info!$R22+O24*Info!$S22</f>
        <v>0</v>
      </c>
      <c r="O23">
        <f>P22*Info!$Q22+P23*Info!$R22+P24*Info!$S22</f>
        <v>0</v>
      </c>
      <c r="P23">
        <f>Q22*Info!$Q22+Q23*Info!$R22+Q24*Info!$S22</f>
        <v>0</v>
      </c>
      <c r="Q23" s="3">
        <f>MAX(E23-Info!$B$2,0)</f>
        <v>0</v>
      </c>
    </row>
    <row r="24" spans="1:17" x14ac:dyDescent="0.25">
      <c r="A24">
        <f>(Info!$B$11*Call_option!F24^2*Info!$B$9+Info!$B$4*Call_option!F24*Info!$B$9)/Info!$B$12</f>
        <v>0.12007484407484408</v>
      </c>
      <c r="B24">
        <f>(2*(1-Info!$B$5^2*Call_option!F24^2*Info!$B$9)/Info!$B$12)</f>
        <v>0.77024532224532205</v>
      </c>
      <c r="C24">
        <f>F24*Info!$B$9*(Info!B29*Call_option!F24-Info!$B$4)/Info!$B$12</f>
        <v>-6.2370062370062365E-3</v>
      </c>
      <c r="D24">
        <f t="shared" si="2"/>
        <v>0.8840831600831599</v>
      </c>
      <c r="E24">
        <f>IF(E23&gt;Info!B24,E23-Info!$B$7,"")</f>
        <v>60</v>
      </c>
      <c r="F24">
        <f>IF(E24&lt;&gt;"",E24/Info!$B$7,"")</f>
        <v>6</v>
      </c>
      <c r="G24">
        <f>H23*Info!$Q23+H24*Info!$R23+H25*Info!$S23</f>
        <v>9.5795075568131521E-3</v>
      </c>
      <c r="H24">
        <f>I23*Info!$Q23+I24*Info!$R23+I25*Info!$S23</f>
        <v>4.4208631966454991E-3</v>
      </c>
      <c r="I24">
        <f>J23*Info!$Q23+J24*Info!$R23+J25*Info!$S23</f>
        <v>1.5729960899052778E-3</v>
      </c>
      <c r="J24">
        <f>K23*Info!$Q23+K24*Info!$R23+K25*Info!$S23</f>
        <v>3.2802591186457356E-4</v>
      </c>
      <c r="K24">
        <f>L23*Info!$Q23+L24*Info!$R23+L25*Info!$S23</f>
        <v>0</v>
      </c>
      <c r="L24">
        <f>M23*Info!$Q23+M24*Info!$R23+M25*Info!$S23</f>
        <v>0</v>
      </c>
      <c r="M24">
        <f>N23*Info!$Q23+N24*Info!$R23+N25*Info!$S23</f>
        <v>0</v>
      </c>
      <c r="N24">
        <f>O23*Info!$Q23+O24*Info!$R23+O25*Info!$S23</f>
        <v>0</v>
      </c>
      <c r="O24">
        <f>P23*Info!$Q23+P24*Info!$R23+P25*Info!$S23</f>
        <v>0</v>
      </c>
      <c r="P24">
        <f>Q23*Info!$Q23+Q24*Info!$R23+Q25*Info!$S23</f>
        <v>0</v>
      </c>
      <c r="Q24" s="3">
        <f>MAX(E24-Info!$B$2,0)</f>
        <v>0</v>
      </c>
    </row>
    <row r="25" spans="1:17" x14ac:dyDescent="0.25">
      <c r="A25">
        <f>(Info!$B$11*Call_option!F25^2*Info!$B$9+Info!$B$4*Call_option!F25*Info!$B$9)/Info!$B$12</f>
        <v>8.4251559251559263E-2</v>
      </c>
      <c r="B25">
        <f>(2*(1-Info!$B$5^2*Call_option!F25^2*Info!$B$9)/Info!$B$12)</f>
        <v>0.83981288981288971</v>
      </c>
      <c r="C25">
        <f>F25*Info!$B$9*(Info!B30*Call_option!F25-Info!$B$4)/Info!$B$12</f>
        <v>-5.1975051975051987E-3</v>
      </c>
      <c r="D25">
        <f t="shared" si="2"/>
        <v>0.91886694386694379</v>
      </c>
      <c r="E25">
        <f>IF(E24&gt;Info!B25,E24-Info!$B$7,"")</f>
        <v>50</v>
      </c>
      <c r="F25">
        <f>IF(E25&lt;&gt;"",E25/Info!$B$7,"")</f>
        <v>5</v>
      </c>
      <c r="G25">
        <f>H24*Info!$Q24+H25*Info!$R24+H26*Info!$S24</f>
        <v>5.0336633737833403E-4</v>
      </c>
      <c r="H25">
        <f>I24*Info!$Q24+I25*Info!$R24+I26*Info!$S24</f>
        <v>1.5573702558562138E-4</v>
      </c>
      <c r="I25">
        <f>J24*Info!$Q24+J25*Info!$R24+J26*Info!$S24</f>
        <v>2.7636694549504875E-5</v>
      </c>
      <c r="J25">
        <f>K24*Info!$Q24+K25*Info!$R24+K26*Info!$S24</f>
        <v>0</v>
      </c>
      <c r="K25">
        <f>L24*Info!$Q24+L25*Info!$R24+L26*Info!$S24</f>
        <v>0</v>
      </c>
      <c r="L25">
        <f>M24*Info!$Q24+M25*Info!$R24+M26*Info!$S24</f>
        <v>0</v>
      </c>
      <c r="M25">
        <f>N24*Info!$Q24+N25*Info!$R24+N26*Info!$S24</f>
        <v>0</v>
      </c>
      <c r="N25">
        <f>O24*Info!$Q24+O25*Info!$R24+O26*Info!$S24</f>
        <v>0</v>
      </c>
      <c r="O25">
        <f>P24*Info!$Q24+P25*Info!$R24+P26*Info!$S24</f>
        <v>0</v>
      </c>
      <c r="P25">
        <f>Q24*Info!$Q24+Q25*Info!$R24+Q26*Info!$S24</f>
        <v>0</v>
      </c>
      <c r="Q25" s="3">
        <f>MAX(E25-Info!$B$2,0)</f>
        <v>0</v>
      </c>
    </row>
    <row r="26" spans="1:17" x14ac:dyDescent="0.25">
      <c r="A26">
        <f>(Info!$B$11*Call_option!F26^2*Info!$B$9+Info!$B$4*Call_option!F26*Info!$B$9)/Info!$B$12</f>
        <v>5.4752598752598754E-2</v>
      </c>
      <c r="B26">
        <f>(2*(1-Info!$B$5^2*Call_option!F26^2*Info!$B$9)/Info!$B$12)</f>
        <v>0.89673180873180858</v>
      </c>
      <c r="C26">
        <f>F26*Info!$B$9*(Info!B31*Call_option!F26-Info!$B$4)/Info!$B$12</f>
        <v>-4.1580041580041582E-3</v>
      </c>
      <c r="D26">
        <f t="shared" si="2"/>
        <v>0.94732640332640317</v>
      </c>
      <c r="E26">
        <f>IF(E25&gt;Info!B26,E25-Info!$B$7,"")</f>
        <v>40</v>
      </c>
      <c r="F26">
        <f>IF(E26&lt;&gt;"",E26/Info!$B$7,"")</f>
        <v>4</v>
      </c>
      <c r="G26">
        <f>H25*Info!$Q25+H26*Info!$R25+H27*Info!$S25</f>
        <v>9.8839242711451391E-6</v>
      </c>
      <c r="H26">
        <f>I25*Info!$Q25+I26*Info!$R25+I27*Info!$S25</f>
        <v>1.5131808475171734E-6</v>
      </c>
      <c r="I26">
        <f>J25*Info!$Q25+J26*Info!$R25+J27*Info!$S25</f>
        <v>0</v>
      </c>
      <c r="J26">
        <f>K25*Info!$Q25+K26*Info!$R25+K27*Info!$S25</f>
        <v>0</v>
      </c>
      <c r="K26">
        <f>L25*Info!$Q25+L26*Info!$R25+L27*Info!$S25</f>
        <v>0</v>
      </c>
      <c r="L26">
        <f>M25*Info!$Q25+M26*Info!$R25+M27*Info!$S25</f>
        <v>0</v>
      </c>
      <c r="M26">
        <f>N25*Info!$Q25+N26*Info!$R25+N27*Info!$S25</f>
        <v>0</v>
      </c>
      <c r="N26">
        <f>O25*Info!$Q25+O26*Info!$R25+O27*Info!$S25</f>
        <v>0</v>
      </c>
      <c r="O26">
        <f>P25*Info!$Q25+P26*Info!$R25+P27*Info!$S25</f>
        <v>0</v>
      </c>
      <c r="P26">
        <f>Q25*Info!$Q25+Q26*Info!$R25+Q27*Info!$S25</f>
        <v>0</v>
      </c>
      <c r="Q26" s="3">
        <f>MAX(E26-Info!$B$2,0)</f>
        <v>0</v>
      </c>
    </row>
    <row r="27" spans="1:17" x14ac:dyDescent="0.25">
      <c r="A27">
        <f>(Info!$B$11*Call_option!F27^2*Info!$B$9+Info!$B$4*Call_option!F27*Info!$B$9)/Info!$B$12</f>
        <v>3.1577962577962582E-2</v>
      </c>
      <c r="B27">
        <f>(2*(1-Info!$B$5^2*Call_option!F27^2*Info!$B$9)/Info!$B$12)</f>
        <v>0.94100207900207899</v>
      </c>
      <c r="C27">
        <f>F27*Info!$B$9*(Info!B32*Call_option!F27-Info!$B$4)/Info!$B$12</f>
        <v>-3.1185031185031182E-3</v>
      </c>
      <c r="D27">
        <f t="shared" si="2"/>
        <v>0.96946153846153849</v>
      </c>
      <c r="E27">
        <f>IF(E26&gt;Info!B27,E26-Info!$B$7,"")</f>
        <v>30</v>
      </c>
      <c r="F27">
        <f>IF(E27&lt;&gt;"",E27/Info!$B$7,"")</f>
        <v>3</v>
      </c>
      <c r="G27">
        <f>H26*Info!$Q26+H27*Info!$R26+H28*Info!$S26</f>
        <v>4.7783168176587006E-8</v>
      </c>
      <c r="H27">
        <f>I26*Info!$Q26+I27*Info!$R26+I28*Info!$S26</f>
        <v>0</v>
      </c>
      <c r="I27">
        <f>J26*Info!$Q26+J27*Info!$R26+J28*Info!$S26</f>
        <v>0</v>
      </c>
      <c r="J27">
        <f>K26*Info!$Q26+K27*Info!$R26+K28*Info!$S26</f>
        <v>0</v>
      </c>
      <c r="K27">
        <f>L26*Info!$Q26+L27*Info!$R26+L28*Info!$S26</f>
        <v>0</v>
      </c>
      <c r="L27">
        <f>M26*Info!$Q26+M27*Info!$R26+M28*Info!$S26</f>
        <v>0</v>
      </c>
      <c r="M27">
        <f>N26*Info!$Q26+N27*Info!$R26+N28*Info!$S26</f>
        <v>0</v>
      </c>
      <c r="N27">
        <f>O26*Info!$Q26+O27*Info!$R26+O28*Info!$S26</f>
        <v>0</v>
      </c>
      <c r="O27">
        <f>P26*Info!$Q26+P27*Info!$R26+P28*Info!$S26</f>
        <v>0</v>
      </c>
      <c r="P27">
        <f>Q26*Info!$Q26+Q27*Info!$R26+Q28*Info!$S26</f>
        <v>0</v>
      </c>
      <c r="Q27" s="3">
        <f>MAX(E27-Info!$B$2,0)</f>
        <v>0</v>
      </c>
    </row>
    <row r="28" spans="1:17" x14ac:dyDescent="0.25">
      <c r="A28">
        <f>(Info!$B$11*Call_option!F28^2*Info!$B$9+Info!$B$4*Call_option!F28*Info!$B$9)/Info!$B$12</f>
        <v>1.4727650727650728E-2</v>
      </c>
      <c r="B28">
        <f>(2*(1-Info!$B$5^2*Call_option!F28^2*Info!$B$9)/Info!$B$12)</f>
        <v>0.97262370062370052</v>
      </c>
      <c r="C28">
        <f>F28*Info!$B$9*(Info!B33*Call_option!F28-Info!$B$4)/Info!$B$12</f>
        <v>-2.0790020790020791E-3</v>
      </c>
      <c r="D28">
        <f t="shared" si="2"/>
        <v>0.98527234927234919</v>
      </c>
      <c r="E28">
        <f>IF(E27&gt;Info!B28,E27-Info!$B$7,"")</f>
        <v>20</v>
      </c>
      <c r="F28">
        <f>IF(E28&lt;&gt;"",E28/Info!$B$7,"")</f>
        <v>2</v>
      </c>
      <c r="G28">
        <f>H27*Info!$Q27+H28*Info!$R27+H29*Info!$S27</f>
        <v>0</v>
      </c>
      <c r="H28">
        <f>I27*Info!$Q27+I28*Info!$R27+I29*Info!$S27</f>
        <v>0</v>
      </c>
      <c r="I28">
        <f>J27*Info!$Q27+J28*Info!$R27+J29*Info!$S27</f>
        <v>0</v>
      </c>
      <c r="J28">
        <f>K27*Info!$Q27+K28*Info!$R27+K29*Info!$S27</f>
        <v>0</v>
      </c>
      <c r="K28">
        <f>L27*Info!$Q27+L28*Info!$R27+L29*Info!$S27</f>
        <v>0</v>
      </c>
      <c r="L28">
        <f>M27*Info!$Q27+M28*Info!$R27+M29*Info!$S27</f>
        <v>0</v>
      </c>
      <c r="M28">
        <f>N27*Info!$Q27+N28*Info!$R27+N29*Info!$S27</f>
        <v>0</v>
      </c>
      <c r="N28">
        <f>O27*Info!$Q27+O28*Info!$R27+O29*Info!$S27</f>
        <v>0</v>
      </c>
      <c r="O28">
        <f>P27*Info!$Q27+P28*Info!$R27+P29*Info!$S27</f>
        <v>0</v>
      </c>
      <c r="P28">
        <f>Q27*Info!$Q27+Q28*Info!$R27+Q29*Info!$S27</f>
        <v>0</v>
      </c>
      <c r="Q28" s="3">
        <f>MAX(E28-Info!$B$2,0)</f>
        <v>0</v>
      </c>
    </row>
    <row r="29" spans="1:17" x14ac:dyDescent="0.25">
      <c r="A29">
        <f>(Info!$B$11*Call_option!F29^2*Info!$B$9+Info!$B$4*Call_option!F29*Info!$B$9)/Info!$B$12</f>
        <v>4.2016632016632022E-3</v>
      </c>
      <c r="B29">
        <f>(2*(1-Info!$B$5^2*Call_option!F29^2*Info!$B$9)/Info!$B$12)</f>
        <v>0.99159667359667347</v>
      </c>
      <c r="C29">
        <f>F29*Info!$B$9*(Info!B34*Call_option!F29-Info!$B$4)/Info!$B$12</f>
        <v>-1.0395010395010396E-3</v>
      </c>
      <c r="D29">
        <f t="shared" si="2"/>
        <v>0.99475883575883561</v>
      </c>
      <c r="E29">
        <f>IF(E28&gt;Info!B29,E28-Info!$B$7,"")</f>
        <v>10</v>
      </c>
      <c r="F29">
        <f>IF(E29&lt;&gt;"",E29/Info!$B$7,"")</f>
        <v>1</v>
      </c>
      <c r="G29">
        <f>H28*Info!$Q28+H29*Info!$R28+H30*Info!$S28</f>
        <v>0</v>
      </c>
      <c r="H29">
        <f>I28*Info!$Q28+I29*Info!$R28+I30*Info!$S28</f>
        <v>0</v>
      </c>
      <c r="I29">
        <f>J28*Info!$Q28+J29*Info!$R28+J30*Info!$S28</f>
        <v>0</v>
      </c>
      <c r="J29">
        <f>K28*Info!$Q28+K29*Info!$R28+K30*Info!$S28</f>
        <v>0</v>
      </c>
      <c r="K29">
        <f>L28*Info!$Q28+L29*Info!$R28+L30*Info!$S28</f>
        <v>0</v>
      </c>
      <c r="L29">
        <f>M28*Info!$Q28+M29*Info!$R28+M30*Info!$S28</f>
        <v>0</v>
      </c>
      <c r="M29">
        <f>N28*Info!$Q28+N29*Info!$R28+N30*Info!$S28</f>
        <v>0</v>
      </c>
      <c r="N29">
        <f>O28*Info!$Q28+O29*Info!$R28+O30*Info!$S28</f>
        <v>0</v>
      </c>
      <c r="O29">
        <f>P28*Info!$Q28+P29*Info!$R28+P30*Info!$S28</f>
        <v>0</v>
      </c>
      <c r="P29">
        <f>Q28*Info!$Q28+Q29*Info!$R28+Q30*Info!$S28</f>
        <v>0</v>
      </c>
      <c r="Q29" s="3">
        <f>MAX(E29-Info!$B$2,0)</f>
        <v>0</v>
      </c>
    </row>
    <row r="30" spans="1:17" x14ac:dyDescent="0.25">
      <c r="A30">
        <f>(Info!$B$11*Call_option!F30^2*Info!$B$9+Info!$B$4*Call_option!F30*Info!$B$9)/Info!$B$12</f>
        <v>0</v>
      </c>
      <c r="B30">
        <f>(2*(1-Info!$B$5^2*Call_option!F30^2*Info!$B$9)/Info!$B$12)</f>
        <v>0.99792099792099787</v>
      </c>
      <c r="C30">
        <f>F30*Info!$B$9*(Info!B35*Call_option!F30-Info!$B$4)/Info!$B$12</f>
        <v>0</v>
      </c>
      <c r="D30">
        <f t="shared" si="2"/>
        <v>0.99792099792099787</v>
      </c>
      <c r="E30">
        <f>IF(E29&gt;Info!B30,E29-Info!$B$7,"")</f>
        <v>0</v>
      </c>
      <c r="F30">
        <f>IF(E30&lt;&gt;"",E30/Info!$B$7,"")</f>
        <v>0</v>
      </c>
      <c r="G30" s="3">
        <v>0</v>
      </c>
      <c r="H30" s="3">
        <v>0</v>
      </c>
      <c r="I30" s="3">
        <v>0</v>
      </c>
      <c r="J30" s="3">
        <v>0</v>
      </c>
      <c r="K30" s="3">
        <v>0</v>
      </c>
      <c r="L30" s="3">
        <v>0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</row>
    <row r="31" spans="1:17" x14ac:dyDescent="0.25">
      <c r="E31" t="str">
        <f>IF(E30&gt;Info!B31,E30-Info!$B$7,"")</f>
        <v/>
      </c>
      <c r="F31" t="str">
        <f>IF(E31&lt;&gt;"",E31/Info!$B$7,"")</f>
        <v/>
      </c>
      <c r="G31">
        <v>0</v>
      </c>
      <c r="H31">
        <v>1</v>
      </c>
      <c r="I31">
        <v>2</v>
      </c>
      <c r="J31">
        <v>3</v>
      </c>
      <c r="K31">
        <v>4</v>
      </c>
      <c r="L31">
        <v>5</v>
      </c>
      <c r="M31">
        <v>6</v>
      </c>
      <c r="N31">
        <v>7</v>
      </c>
      <c r="O31">
        <v>8</v>
      </c>
      <c r="P31">
        <v>9</v>
      </c>
      <c r="Q31">
        <v>10</v>
      </c>
    </row>
    <row r="32" spans="1:17" x14ac:dyDescent="0.25">
      <c r="E32" t="str">
        <f>IF(E31&gt;Info!B32,E31-Info!$B$7,"")</f>
        <v/>
      </c>
      <c r="F32" t="str">
        <f>IF(E32&lt;&gt;"",E32/Info!$B$7,"")</f>
        <v/>
      </c>
    </row>
    <row r="33" spans="5:6" x14ac:dyDescent="0.25">
      <c r="E33" t="str">
        <f>IF(E32&gt;Info!B33,E32-Info!$B$7,"")</f>
        <v/>
      </c>
      <c r="F33" t="str">
        <f>IF(E33&lt;&gt;"",E33/Info!$B$7,"")</f>
        <v/>
      </c>
    </row>
    <row r="34" spans="5:6" x14ac:dyDescent="0.25">
      <c r="E34" t="str">
        <f>IF(E33&gt;Info!B34,E33-Info!$B$7,"")</f>
        <v/>
      </c>
      <c r="F34" t="str">
        <f>IF(E34&lt;&gt;"",E34/Info!$B$7,"")</f>
        <v/>
      </c>
    </row>
    <row r="35" spans="5:6" x14ac:dyDescent="0.25">
      <c r="E35" t="str">
        <f>IF(E34&gt;Info!B35,E34-Info!$B$7,"")</f>
        <v/>
      </c>
      <c r="F35" t="str">
        <f>IF(E35&lt;&gt;"",E35/Info!$B$7,"")</f>
        <v/>
      </c>
    </row>
    <row r="36" spans="5:6" x14ac:dyDescent="0.25">
      <c r="E36" t="str">
        <f>IF(E35&gt;Info!B36,E35-Info!$B$7,"")</f>
        <v/>
      </c>
      <c r="F36" t="str">
        <f>IF(E36&lt;&gt;"",E36/Info!$B$7,"")</f>
        <v/>
      </c>
    </row>
    <row r="37" spans="5:6" x14ac:dyDescent="0.25">
      <c r="E37" t="str">
        <f>IF(E36&gt;Info!B37,E36-Info!$B$7,"")</f>
        <v/>
      </c>
      <c r="F37" t="str">
        <f>IF(E37&lt;&gt;"",E37/Info!$B$7,"")</f>
        <v/>
      </c>
    </row>
    <row r="38" spans="5:6" x14ac:dyDescent="0.25">
      <c r="E38" t="str">
        <f>IF(E37&gt;Info!B38,E37-Info!$B$7,"")</f>
        <v/>
      </c>
      <c r="F38" t="str">
        <f>IF(E38&lt;&gt;"",E38/Info!$B$7,"")</f>
        <v/>
      </c>
    </row>
    <row r="39" spans="5:6" x14ac:dyDescent="0.25">
      <c r="E39" t="str">
        <f>IF(E38&gt;Info!B39,E38-Info!$B$7,"")</f>
        <v/>
      </c>
      <c r="F39" t="str">
        <f>IF(E39&lt;&gt;"",E39/Info!$B$7,"")</f>
        <v/>
      </c>
    </row>
    <row r="40" spans="5:6" x14ac:dyDescent="0.25">
      <c r="E40" t="str">
        <f>IF(E39&gt;Info!B40,E39-Info!$B$7,"")</f>
        <v/>
      </c>
      <c r="F40" t="str">
        <f>IF(E40&lt;&gt;"",E40/Info!$B$7,"")</f>
        <v/>
      </c>
    </row>
    <row r="41" spans="5:6" x14ac:dyDescent="0.25">
      <c r="E41" t="str">
        <f>IF(E40&gt;Info!B41,E40-Info!$B$7,"")</f>
        <v/>
      </c>
      <c r="F41" t="str">
        <f>IF(E41&lt;&gt;"",E41/Info!$B$7,"")</f>
        <v/>
      </c>
    </row>
    <row r="42" spans="5:6" x14ac:dyDescent="0.25">
      <c r="E42" t="str">
        <f>IF(E41&gt;Info!B42,E41-Info!$B$7,"")</f>
        <v/>
      </c>
      <c r="F42" t="str">
        <f>IF(E42&lt;&gt;"",E42/Info!$B$7,"")</f>
        <v/>
      </c>
    </row>
    <row r="43" spans="5:6" x14ac:dyDescent="0.25">
      <c r="E43" t="str">
        <f>IF(E42&gt;Info!B43,E42-Info!$B$7,"")</f>
        <v/>
      </c>
      <c r="F43" t="str">
        <f>IF(E43&lt;&gt;"",E43/Info!$B$7,"")</f>
        <v/>
      </c>
    </row>
    <row r="44" spans="5:6" x14ac:dyDescent="0.25">
      <c r="E44" t="str">
        <f>IF(E43&gt;Info!B44,E43-Info!$B$7,"")</f>
        <v/>
      </c>
      <c r="F44" t="str">
        <f>IF(E44&lt;&gt;"",E44/Info!$B$7,"")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3</vt:i4>
      </vt:variant>
    </vt:vector>
  </HeadingPairs>
  <TitlesOfParts>
    <vt:vector size="3" baseType="lpstr">
      <vt:lpstr>Info</vt:lpstr>
      <vt:lpstr>Call_option</vt:lpstr>
      <vt:lpstr>Put_option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arekbee@gmail.com</dc:creator>
  <cp:lastModifiedBy>arekbee@gmail.com</cp:lastModifiedBy>
  <dcterms:created xsi:type="dcterms:W3CDTF">2014-12-04T16:16:48Z</dcterms:created>
  <dcterms:modified xsi:type="dcterms:W3CDTF">2014-12-12T19:44:55Z</dcterms:modified>
</cp:coreProperties>
</file>