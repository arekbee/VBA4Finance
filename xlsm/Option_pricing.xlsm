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filterPrivacy="1" codeName="Ten_skoroszyt" defaultThemeVersion="124226"/>
  <bookViews>
    <workbookView xWindow="240" yWindow="105" windowWidth="14805" windowHeight="8010"/>
  </bookViews>
  <sheets>
    <sheet name="Real_option" sheetId="1" r:id="rId1"/>
    <sheet name="Option_Symbols" sheetId="2" r:id="rId2"/>
  </sheets>
  <functionGroups builtInGroupCount="17"/>
  <calcPr calcId="145621"/>
</workbook>
</file>

<file path=xl/calcChain.xml><?xml version="1.0" encoding="utf-8"?>
<calcChain xmlns="http://schemas.openxmlformats.org/spreadsheetml/2006/main">
  <c r="B7" i="1" l="1"/>
  <c r="B8" i="1" s="1"/>
  <c r="B4" i="1"/>
  <c r="B6" i="1"/>
  <c r="B5" i="1"/>
  <c r="B10" i="1"/>
  <c r="B3" i="1"/>
  <c r="B2" i="1"/>
  <c r="D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" i="2"/>
  <c r="I14" i="1"/>
</calcChain>
</file>

<file path=xl/sharedStrings.xml><?xml version="1.0" encoding="utf-8"?>
<sst xmlns="http://schemas.openxmlformats.org/spreadsheetml/2006/main" count="69" uniqueCount="45">
  <si>
    <t>Symbol</t>
  </si>
  <si>
    <t>Month</t>
  </si>
  <si>
    <t>Option Type</t>
  </si>
  <si>
    <t>CALL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</si>
  <si>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</si>
  <si>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</si>
  <si>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</si>
  <si>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</si>
  <si>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</si>
  <si>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</si>
  <si>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</si>
  <si>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</si>
  <si>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</si>
  <si>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</si>
  <si>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</si>
  <si>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</si>
  <si>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PUT</t>
  </si>
  <si>
    <t>M</t>
  </si>
  <si>
    <t>N</t>
  </si>
  <si>
    <t>O</t>
  </si>
  <si>
    <t>P</t>
  </si>
  <si>
    <t>R</t>
  </si>
  <si>
    <t>S</t>
  </si>
  <si>
    <t>T</t>
  </si>
  <si>
    <t>U</t>
  </si>
  <si>
    <t>V</t>
  </si>
  <si>
    <t>W</t>
  </si>
  <si>
    <t>X</t>
  </si>
  <si>
    <t>Q</t>
  </si>
  <si>
    <t>Month Name</t>
  </si>
  <si>
    <t>Option Symbol</t>
  </si>
  <si>
    <t>OW20W142300</t>
  </si>
  <si>
    <t>Option type</t>
  </si>
  <si>
    <t>Expiration Date</t>
  </si>
  <si>
    <t>Premia</t>
  </si>
  <si>
    <t>6.06</t>
  </si>
  <si>
    <t>Option letter</t>
  </si>
  <si>
    <t>Expiration Year</t>
  </si>
  <si>
    <t>Expiration Day</t>
  </si>
  <si>
    <t>Expiration Month</t>
  </si>
  <si>
    <t>IAO</t>
  </si>
  <si>
    <t>Strike price K</t>
  </si>
  <si>
    <t>Underlier Name</t>
  </si>
  <si>
    <t>Underlier Price</t>
  </si>
  <si>
    <t>Put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</si>
</sst>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  <charset val="238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4" fontId="0" fillId="0" borderId="0" xfId="0" applyNumberFormat="1"/>
    <xf numFmtId="0" fontId="0" fillId="2" borderId="0" xfId="0" applyFill="1"/>
  </cellXfs>
  <cellStyles count="1">
    <cellStyle name="Normalny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4</xdr:row>
          <xdr:rowOff>38100</xdr:rowOff>
        </xdr:from>
        <xdr:to>
          <xdr:col>10</xdr:col>
          <xdr:colOff>104775</xdr:colOff>
          <xdr:row>7</xdr:row>
          <xdr:rowOff>142875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Przycisk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akiet 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rkusz1"/>
  <dimension ref="A1:M14"/>
  <sheetViews>
    <sheetView tabSelected="1" workbookViewId="0">
      <selection activeCell="B12" sqref="B12"/>
    </sheetView>
  </sheetViews>
  <sheetFormatPr defaultRowHeight="15" x14ac:dyDescent="0.25"/>
  <cols>
    <col min="1" max="1" width="18.85546875" customWidth="1"/>
    <col min="2" max="2" width="14.28515625" bestFit="1" customWidth="1"/>
    <col min="9" max="10" width="9.85546875" bestFit="1" customWidth="1"/>
  </cols>
  <sheetData>
    <row r="1" spans="1:13" x14ac:dyDescent="0.25">
      <c r="A1" t="s">
        <v>30</v>
      </c>
      <c r="B1" s="2" t="s">
        <v>31</v>
      </c>
    </row>
    <row r="2" spans="1:13" x14ac:dyDescent="0.25">
      <c r="A2" t="s">
        <v>42</v>
      </c>
      <c r="B2" t="str">
        <f>MID(B1,2,3)</f>
        <v>W20</v>
      </c>
    </row>
    <row r="3" spans="1:13" x14ac:dyDescent="0.25">
      <c r="A3" t="s">
        <v>36</v>
      </c>
      <c r="B3" t="str">
        <f>MID(B1,5,1)</f>
        <v>W</v>
      </c>
    </row>
    <row r="4" spans="1:13" x14ac:dyDescent="0.25">
      <c r="A4" t="s">
        <v>32</v>
      </c>
      <c r="B4" t="str">
        <f>VLOOKUP(B3,Option_Symbols!A2:C251,3,FALSE )</f>
        <v>PUT</v>
      </c>
    </row>
    <row r="5" spans="1:13" x14ac:dyDescent="0.25">
      <c r="A5" t="s">
        <v>38</v>
      </c>
      <c r="B5" t="str">
        <f>MID(B1,6,2)</f>
        <v>14</v>
      </c>
    </row>
    <row r="6" spans="1:13" x14ac:dyDescent="0.25">
      <c r="A6" t="s">
        <v>39</v>
      </c>
      <c r="B6">
        <f>VLOOKUP(B3,Option_Symbols!A2:C251,2,FALSE )</f>
        <v>11</v>
      </c>
    </row>
    <row r="7" spans="1:13" x14ac:dyDescent="0.25">
      <c r="A7" t="s">
        <v>37</v>
      </c>
      <c r="B7">
        <f ca="1">IF(NOW() &lt;= DATE(YEAR(NOW()),B6,B5), YEAR(NOW()),YEAR(NOW())+1)</f>
        <v>2014</v>
      </c>
    </row>
    <row r="8" spans="1:13" x14ac:dyDescent="0.25">
      <c r="A8" t="s">
        <v>33</v>
      </c>
      <c r="B8" s="1">
        <f ca="1">DATE(B7,B6,B5)</f>
        <v>41957</v>
      </c>
    </row>
    <row r="10" spans="1:13" x14ac:dyDescent="0.25">
      <c r="A10" t="s">
        <v>41</v>
      </c>
      <c r="B10" t="str">
        <f>MID(B1,8,10)</f>
        <v>2300</v>
      </c>
    </row>
    <row r="11" spans="1:13" x14ac:dyDescent="0.25">
      <c r="A11" t="s">
        <v>34</v>
      </c>
      <c r="B11" s="2" t="s">
        <v>35</v>
      </c>
      <c r="H11" t="s">
        <v>22</v>
      </c>
      <c r="I11">
        <v>100</v>
      </c>
    </row>
    <row r="12" spans="1:13" x14ac:dyDescent="0.25">
      <c r="A12" t="s">
        <v>43</v>
      </c>
      <c r="B12">
        <v>2350</v>
      </c>
      <c r="H12" t="s">
        <v>14</v>
      </c>
      <c r="I12">
        <v>120</v>
      </c>
    </row>
    <row r="13" spans="1:13" x14ac:dyDescent="0.25">
      <c r="I13" t="s">
        <v>44</v>
      </c>
    </row>
    <row r="14" spans="1:13" x14ac:dyDescent="0.25">
      <c r="H14" t="s">
        <v>40</v>
      </c>
      <c r="I14" t="str">
        <f>IAOMoney(I11,I12,I13)</f>
        <v>ITM</v>
      </c>
      <c r="M14">
        <v>123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tOptionExpirationDate_Click">
                <anchor moveWithCells="1" sizeWithCells="1">
                  <from>
                    <xdr:col>7</xdr:col>
                    <xdr:colOff>38100</xdr:colOff>
                    <xdr:row>4</xdr:row>
                    <xdr:rowOff>38100</xdr:rowOff>
                  </from>
                  <to>
                    <xdr:col>10</xdr:col>
                    <xdr:colOff>104775</xdr:colOff>
                    <xdr:row>7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2"/>
  <dimension ref="A1:D25"/>
  <sheetViews>
    <sheetView workbookViewId="0">
      <selection activeCell="D2" sqref="D2"/>
    </sheetView>
  </sheetViews>
  <sheetFormatPr defaultRowHeight="15" x14ac:dyDescent="0.25"/>
  <cols>
    <col min="3" max="3" width="14.85546875" customWidth="1"/>
    <col min="4" max="4" width="13.7109375" customWidth="1"/>
  </cols>
  <sheetData>
    <row r="1" spans="1:4" x14ac:dyDescent="0.25">
      <c r="A1" t="s">
        <v>0</v>
      </c>
      <c r="B1" t="s">
        <v>1</v>
      </c>
      <c r="C1" t="s">
        <v>2</v>
      </c>
      <c r="D1" t="s">
        <v>29</v>
      </c>
    </row>
    <row r="2" spans="1:4" x14ac:dyDescent="0.25">
      <c r="A2" t="s">
        <v>4</v>
      </c>
      <c r="B2">
        <v>1</v>
      </c>
      <c r="C2" t="s">
        <v>3</v>
      </c>
      <c r="D2" s="1">
        <f>DATE(1,B2,1)</f>
        <v>367</v>
      </c>
    </row>
    <row r="3" spans="1:4" x14ac:dyDescent="0.25">
      <c r="A3" t="s">
        <v>5</v>
      </c>
      <c r="B3">
        <v>2</v>
      </c>
      <c r="C3" t="s">
        <v>3</v>
      </c>
      <c r="D3" s="1">
        <f t="shared" ref="D3:D25" si="0">DATE(1,B3,1)</f>
        <v>398</v>
      </c>
    </row>
    <row r="4" spans="1:4" x14ac:dyDescent="0.25">
      <c r="A4" t="s">
        <v>6</v>
      </c>
      <c r="B4">
        <v>3</v>
      </c>
      <c r="C4" t="s">
        <v>3</v>
      </c>
      <c r="D4" s="1">
        <f t="shared" si="0"/>
        <v>426</v>
      </c>
    </row>
    <row r="5" spans="1:4" x14ac:dyDescent="0.25">
      <c r="A5" t="s">
        <v>7</v>
      </c>
      <c r="B5">
        <v>4</v>
      </c>
      <c r="C5" t="s">
        <v>3</v>
      </c>
      <c r="D5" s="1">
        <f t="shared" si="0"/>
        <v>457</v>
      </c>
    </row>
    <row r="6" spans="1:4" x14ac:dyDescent="0.25">
      <c r="A6" t="s">
        <v>8</v>
      </c>
      <c r="B6">
        <v>5</v>
      </c>
      <c r="C6" t="s">
        <v>3</v>
      </c>
      <c r="D6" s="1">
        <f t="shared" si="0"/>
        <v>487</v>
      </c>
    </row>
    <row r="7" spans="1:4" x14ac:dyDescent="0.25">
      <c r="A7" t="s">
        <v>9</v>
      </c>
      <c r="B7">
        <v>6</v>
      </c>
      <c r="C7" t="s">
        <v>3</v>
      </c>
      <c r="D7" s="1">
        <f t="shared" si="0"/>
        <v>518</v>
      </c>
    </row>
    <row r="8" spans="1:4" x14ac:dyDescent="0.25">
      <c r="A8" t="s">
        <v>10</v>
      </c>
      <c r="B8">
        <v>7</v>
      </c>
      <c r="C8" t="s">
        <v>3</v>
      </c>
      <c r="D8" s="1">
        <f t="shared" si="0"/>
        <v>548</v>
      </c>
    </row>
    <row r="9" spans="1:4" x14ac:dyDescent="0.25">
      <c r="A9" t="s">
        <v>11</v>
      </c>
      <c r="B9">
        <v>8</v>
      </c>
      <c r="C9" t="s">
        <v>3</v>
      </c>
      <c r="D9" s="1">
        <f t="shared" si="0"/>
        <v>579</v>
      </c>
    </row>
    <row r="10" spans="1:4" x14ac:dyDescent="0.25">
      <c r="A10" t="s">
        <v>12</v>
      </c>
      <c r="B10">
        <v>9</v>
      </c>
      <c r="C10" t="s">
        <v>3</v>
      </c>
      <c r="D10" s="1">
        <f t="shared" si="0"/>
        <v>610</v>
      </c>
    </row>
    <row r="11" spans="1:4" x14ac:dyDescent="0.25">
      <c r="A11" t="s">
        <v>13</v>
      </c>
      <c r="B11">
        <v>10</v>
      </c>
      <c r="C11" t="s">
        <v>3</v>
      </c>
      <c r="D11" s="1">
        <f t="shared" si="0"/>
        <v>640</v>
      </c>
    </row>
    <row r="12" spans="1:4" x14ac:dyDescent="0.25">
      <c r="A12" t="s">
        <v>14</v>
      </c>
      <c r="B12">
        <v>11</v>
      </c>
      <c r="C12" t="s">
        <v>3</v>
      </c>
      <c r="D12" s="1">
        <f t="shared" si="0"/>
        <v>671</v>
      </c>
    </row>
    <row r="13" spans="1:4" x14ac:dyDescent="0.25">
      <c r="A13" t="s">
        <v>15</v>
      </c>
      <c r="B13">
        <v>12</v>
      </c>
      <c r="C13" t="s">
        <v>3</v>
      </c>
      <c r="D13" s="1">
        <f t="shared" si="0"/>
        <v>701</v>
      </c>
    </row>
    <row r="14" spans="1:4" x14ac:dyDescent="0.25">
      <c r="A14" t="s">
        <v>17</v>
      </c>
      <c r="B14">
        <v>1</v>
      </c>
      <c r="C14" t="s">
        <v>16</v>
      </c>
      <c r="D14" s="1">
        <f t="shared" si="0"/>
        <v>367</v>
      </c>
    </row>
    <row r="15" spans="1:4" x14ac:dyDescent="0.25">
      <c r="A15" t="s">
        <v>18</v>
      </c>
      <c r="B15">
        <v>2</v>
      </c>
      <c r="C15" t="s">
        <v>16</v>
      </c>
      <c r="D15" s="1">
        <f t="shared" si="0"/>
        <v>398</v>
      </c>
    </row>
    <row r="16" spans="1:4" x14ac:dyDescent="0.25">
      <c r="A16" t="s">
        <v>19</v>
      </c>
      <c r="B16">
        <v>3</v>
      </c>
      <c r="C16" t="s">
        <v>16</v>
      </c>
      <c r="D16" s="1">
        <f t="shared" si="0"/>
        <v>426</v>
      </c>
    </row>
    <row r="17" spans="1:4" x14ac:dyDescent="0.25">
      <c r="A17" t="s">
        <v>20</v>
      </c>
      <c r="B17">
        <v>4</v>
      </c>
      <c r="C17" t="s">
        <v>16</v>
      </c>
      <c r="D17" s="1">
        <f t="shared" si="0"/>
        <v>457</v>
      </c>
    </row>
    <row r="18" spans="1:4" x14ac:dyDescent="0.25">
      <c r="A18" t="s">
        <v>28</v>
      </c>
      <c r="B18">
        <v>5</v>
      </c>
      <c r="C18" t="s">
        <v>16</v>
      </c>
      <c r="D18" s="1">
        <f t="shared" si="0"/>
        <v>487</v>
      </c>
    </row>
    <row r="19" spans="1:4" x14ac:dyDescent="0.25">
      <c r="A19" t="s">
        <v>21</v>
      </c>
      <c r="B19">
        <v>6</v>
      </c>
      <c r="C19" t="s">
        <v>16</v>
      </c>
      <c r="D19" s="1">
        <f t="shared" si="0"/>
        <v>518</v>
      </c>
    </row>
    <row r="20" spans="1:4" x14ac:dyDescent="0.25">
      <c r="A20" t="s">
        <v>22</v>
      </c>
      <c r="B20">
        <v>7</v>
      </c>
      <c r="C20" t="s">
        <v>16</v>
      </c>
      <c r="D20" s="1">
        <f t="shared" si="0"/>
        <v>548</v>
      </c>
    </row>
    <row r="21" spans="1:4" x14ac:dyDescent="0.25">
      <c r="A21" t="s">
        <v>23</v>
      </c>
      <c r="B21">
        <v>8</v>
      </c>
      <c r="C21" t="s">
        <v>16</v>
      </c>
      <c r="D21" s="1">
        <f t="shared" si="0"/>
        <v>579</v>
      </c>
    </row>
    <row r="22" spans="1:4" x14ac:dyDescent="0.25">
      <c r="A22" t="s">
        <v>24</v>
      </c>
      <c r="B22">
        <v>9</v>
      </c>
      <c r="C22" t="s">
        <v>16</v>
      </c>
      <c r="D22" s="1">
        <f t="shared" si="0"/>
        <v>610</v>
      </c>
    </row>
    <row r="23" spans="1:4" x14ac:dyDescent="0.25">
      <c r="A23" t="s">
        <v>25</v>
      </c>
      <c r="B23">
        <v>10</v>
      </c>
      <c r="C23" t="s">
        <v>16</v>
      </c>
      <c r="D23" s="1">
        <f t="shared" si="0"/>
        <v>640</v>
      </c>
    </row>
    <row r="24" spans="1:4" x14ac:dyDescent="0.25">
      <c r="A24" t="s">
        <v>26</v>
      </c>
      <c r="B24">
        <v>11</v>
      </c>
      <c r="C24" t="s">
        <v>16</v>
      </c>
      <c r="D24" s="1">
        <f t="shared" si="0"/>
        <v>671</v>
      </c>
    </row>
    <row r="25" spans="1:4" x14ac:dyDescent="0.25">
      <c r="A25" t="s">
        <v>27</v>
      </c>
      <c r="B25">
        <v>12</v>
      </c>
      <c r="C25" t="s">
        <v>16</v>
      </c>
      <c r="D25" s="1">
        <f t="shared" si="0"/>
        <v>701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2</vt:i4>
      </vt:variant>
    </vt:vector>
  </HeadingPairs>
  <TitlesOfParts>
    <vt:vector size="2" baseType="lpstr">
      <vt:lpstr>Real_option</vt:lpstr>
      <vt:lpstr>Option_Symbols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2014-10-31T05:06:14Z</dcterms:modified>
</cp:coreProperties>
</file>