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en_skoroszyt" defaultThemeVersion="124226"/>
  <bookViews>
    <workbookView xWindow="9585" yWindow="-15" windowWidth="9630" windowHeight="8640" activeTab="1"/>
  </bookViews>
  <sheets>
    <sheet name="Inputs" sheetId="1" r:id="rId1"/>
    <sheet name="Decreasing installments" sheetId="2" r:id="rId2"/>
    <sheet name="Annuite" sheetId="3" r:id="rId3"/>
    <sheet name="Graphs" sheetId="5" r:id="rId4"/>
  </sheets>
  <calcPr calcId="145621"/>
</workbook>
</file>

<file path=xl/calcChain.xml><?xml version="1.0" encoding="utf-8"?>
<calcChain xmlns="http://schemas.openxmlformats.org/spreadsheetml/2006/main">
  <c r="E6" i="3" l="1"/>
  <c r="G6" i="3" s="1"/>
  <c r="B1" i="2"/>
  <c r="B6" i="1"/>
  <c r="B3" i="3" s="1"/>
  <c r="F1" i="3" s="1"/>
  <c r="C2" i="3"/>
  <c r="B1" i="3"/>
  <c r="B7" i="1"/>
  <c r="B6" i="3" s="1"/>
  <c r="C6" i="3" s="1"/>
  <c r="B3" i="1"/>
  <c r="B2" i="2" s="1"/>
  <c r="A7" i="2" s="1"/>
  <c r="B3" i="2" l="1"/>
  <c r="E6" i="2" s="1"/>
  <c r="G6" i="2" s="1"/>
  <c r="A8" i="2"/>
  <c r="F7" i="2"/>
  <c r="F6" i="2"/>
  <c r="B2" i="3"/>
  <c r="F4" i="3" s="1"/>
  <c r="B6" i="2"/>
  <c r="B7" i="2" s="1"/>
  <c r="C7" i="2" s="1"/>
  <c r="D6" i="3" l="1"/>
  <c r="I9" i="1" s="1"/>
  <c r="A7" i="3"/>
  <c r="J6" i="3"/>
  <c r="B8" i="2"/>
  <c r="C8" i="2" s="1"/>
  <c r="F8" i="2"/>
  <c r="A9" i="2"/>
  <c r="D6" i="2"/>
  <c r="H6" i="2"/>
  <c r="J6" i="2" s="1"/>
  <c r="E7" i="2" s="1"/>
  <c r="G7" i="2" s="1"/>
  <c r="C6" i="2"/>
  <c r="I10" i="1" l="1"/>
  <c r="I6" i="2"/>
  <c r="H9" i="1"/>
  <c r="J9" i="1" s="1"/>
  <c r="D7" i="3"/>
  <c r="E7" i="3"/>
  <c r="G7" i="3" s="1"/>
  <c r="B7" i="3"/>
  <c r="C7" i="3" s="1"/>
  <c r="J7" i="3"/>
  <c r="I6" i="3"/>
  <c r="F6" i="3"/>
  <c r="H6" i="3" s="1"/>
  <c r="A8" i="3"/>
  <c r="H7" i="2"/>
  <c r="J7" i="2" s="1"/>
  <c r="E8" i="2" s="1"/>
  <c r="D7" i="2"/>
  <c r="B9" i="2"/>
  <c r="C9" i="2" s="1"/>
  <c r="F9" i="2"/>
  <c r="A10" i="2"/>
  <c r="I7" i="2" l="1"/>
  <c r="A9" i="3"/>
  <c r="E8" i="3"/>
  <c r="G8" i="3" s="1"/>
  <c r="D8" i="3"/>
  <c r="B8" i="3"/>
  <c r="C8" i="3" s="1"/>
  <c r="J8" i="3"/>
  <c r="I7" i="3"/>
  <c r="F7" i="3"/>
  <c r="H7" i="3" s="1"/>
  <c r="H8" i="2"/>
  <c r="J8" i="2" s="1"/>
  <c r="E9" i="2" s="1"/>
  <c r="D9" i="2" s="1"/>
  <c r="D8" i="2"/>
  <c r="I8" i="2" s="1"/>
  <c r="G8" i="2"/>
  <c r="B10" i="2"/>
  <c r="C10" i="2" s="1"/>
  <c r="F10" i="2"/>
  <c r="A11" i="2"/>
  <c r="F8" i="3" l="1"/>
  <c r="H8" i="3" s="1"/>
  <c r="H9" i="2"/>
  <c r="J9" i="2" s="1"/>
  <c r="E10" i="2" s="1"/>
  <c r="D10" i="2" s="1"/>
  <c r="I8" i="3"/>
  <c r="G9" i="2"/>
  <c r="D9" i="3"/>
  <c r="B9" i="3"/>
  <c r="C9" i="3" s="1"/>
  <c r="J9" i="3"/>
  <c r="E9" i="3"/>
  <c r="G9" i="3" s="1"/>
  <c r="A10" i="3"/>
  <c r="G10" i="2"/>
  <c r="H10" i="2"/>
  <c r="J10" i="2" s="1"/>
  <c r="E11" i="2" s="1"/>
  <c r="I9" i="2"/>
  <c r="B11" i="2"/>
  <c r="C11" i="2" s="1"/>
  <c r="F11" i="2"/>
  <c r="H11" i="2" s="1"/>
  <c r="J11" i="2" s="1"/>
  <c r="A12" i="2"/>
  <c r="I10" i="2" l="1"/>
  <c r="B10" i="3"/>
  <c r="C10" i="3" s="1"/>
  <c r="A11" i="3"/>
  <c r="J10" i="3"/>
  <c r="D10" i="3"/>
  <c r="E10" i="3"/>
  <c r="G10" i="3" s="1"/>
  <c r="I9" i="3"/>
  <c r="F9" i="3"/>
  <c r="H9" i="3" s="1"/>
  <c r="D11" i="2"/>
  <c r="I11" i="2" s="1"/>
  <c r="G11" i="2"/>
  <c r="E12" i="2"/>
  <c r="B12" i="2"/>
  <c r="C12" i="2" s="1"/>
  <c r="F12" i="2"/>
  <c r="H12" i="2" s="1"/>
  <c r="J12" i="2" s="1"/>
  <c r="A13" i="2"/>
  <c r="I10" i="3" l="1"/>
  <c r="E11" i="3"/>
  <c r="G11" i="3" s="1"/>
  <c r="B11" i="3"/>
  <c r="C11" i="3" s="1"/>
  <c r="A12" i="3"/>
  <c r="J11" i="3"/>
  <c r="D11" i="3"/>
  <c r="F10" i="3"/>
  <c r="H10" i="3" s="1"/>
  <c r="D12" i="2"/>
  <c r="I12" i="2" s="1"/>
  <c r="G12" i="2"/>
  <c r="B13" i="2"/>
  <c r="C13" i="2" s="1"/>
  <c r="F13" i="2"/>
  <c r="H13" i="2" s="1"/>
  <c r="J13" i="2" s="1"/>
  <c r="A14" i="2"/>
  <c r="E13" i="2"/>
  <c r="B12" i="3" l="1"/>
  <c r="C12" i="3" s="1"/>
  <c r="D12" i="3"/>
  <c r="A13" i="3"/>
  <c r="J12" i="3"/>
  <c r="E12" i="3"/>
  <c r="G12" i="3" s="1"/>
  <c r="F11" i="3"/>
  <c r="H11" i="3" s="1"/>
  <c r="I11" i="3"/>
  <c r="D13" i="2"/>
  <c r="I13" i="2" s="1"/>
  <c r="E14" i="2"/>
  <c r="B14" i="2"/>
  <c r="C14" i="2" s="1"/>
  <c r="F14" i="2"/>
  <c r="H14" i="2" s="1"/>
  <c r="J14" i="2" s="1"/>
  <c r="A15" i="2"/>
  <c r="G13" i="2"/>
  <c r="G14" i="2" s="1"/>
  <c r="I12" i="3" l="1"/>
  <c r="E13" i="3"/>
  <c r="G13" i="3" s="1"/>
  <c r="A14" i="3"/>
  <c r="J13" i="3"/>
  <c r="B13" i="3"/>
  <c r="C13" i="3" s="1"/>
  <c r="D13" i="3"/>
  <c r="F12" i="3"/>
  <c r="H12" i="3" s="1"/>
  <c r="D14" i="2"/>
  <c r="I14" i="2" s="1"/>
  <c r="B15" i="2"/>
  <c r="C15" i="2" s="1"/>
  <c r="F15" i="2"/>
  <c r="H15" i="2" s="1"/>
  <c r="J15" i="2" s="1"/>
  <c r="A16" i="2"/>
  <c r="E15" i="2"/>
  <c r="G15" i="2" s="1"/>
  <c r="I13" i="3" l="1"/>
  <c r="F13" i="3"/>
  <c r="H13" i="3" s="1"/>
  <c r="B14" i="3"/>
  <c r="C14" i="3" s="1"/>
  <c r="D14" i="3"/>
  <c r="A15" i="3"/>
  <c r="J14" i="3"/>
  <c r="E14" i="3"/>
  <c r="G14" i="3" s="1"/>
  <c r="D15" i="2"/>
  <c r="I15" i="2" s="1"/>
  <c r="E16" i="2"/>
  <c r="B16" i="2"/>
  <c r="C16" i="2" s="1"/>
  <c r="F16" i="2"/>
  <c r="H16" i="2" s="1"/>
  <c r="J16" i="2" s="1"/>
  <c r="A17" i="2"/>
  <c r="G16" i="2"/>
  <c r="F14" i="3" l="1"/>
  <c r="E15" i="3"/>
  <c r="G15" i="3" s="1"/>
  <c r="A16" i="3"/>
  <c r="B15" i="3"/>
  <c r="C15" i="3" s="1"/>
  <c r="J15" i="3"/>
  <c r="D15" i="3"/>
  <c r="I14" i="3"/>
  <c r="H14" i="3"/>
  <c r="D16" i="2"/>
  <c r="I16" i="2" s="1"/>
  <c r="B17" i="2"/>
  <c r="C17" i="2" s="1"/>
  <c r="F17" i="2"/>
  <c r="H17" i="2" s="1"/>
  <c r="J17" i="2" s="1"/>
  <c r="A18" i="2"/>
  <c r="E17" i="2"/>
  <c r="B16" i="3" l="1"/>
  <c r="C16" i="3" s="1"/>
  <c r="A17" i="3"/>
  <c r="E16" i="3"/>
  <c r="G16" i="3" s="1"/>
  <c r="J16" i="3"/>
  <c r="D16" i="3"/>
  <c r="F16" i="3" s="1"/>
  <c r="H16" i="3" s="1"/>
  <c r="I15" i="3"/>
  <c r="F15" i="3"/>
  <c r="H15" i="3" s="1"/>
  <c r="D17" i="2"/>
  <c r="I17" i="2" s="1"/>
  <c r="G17" i="2"/>
  <c r="B18" i="2"/>
  <c r="C18" i="2" s="1"/>
  <c r="F18" i="2"/>
  <c r="H18" i="2" s="1"/>
  <c r="J18" i="2" s="1"/>
  <c r="A19" i="2"/>
  <c r="E18" i="2"/>
  <c r="D18" i="2" s="1"/>
  <c r="I18" i="2" l="1"/>
  <c r="I16" i="3"/>
  <c r="E17" i="3"/>
  <c r="G17" i="3" s="1"/>
  <c r="A18" i="3"/>
  <c r="J17" i="3"/>
  <c r="B17" i="3"/>
  <c r="C17" i="3" s="1"/>
  <c r="D17" i="3"/>
  <c r="G18" i="2"/>
  <c r="B19" i="2"/>
  <c r="C19" i="2" s="1"/>
  <c r="F19" i="2"/>
  <c r="H19" i="2" s="1"/>
  <c r="J19" i="2" s="1"/>
  <c r="A20" i="2"/>
  <c r="E19" i="2"/>
  <c r="G19" i="2" s="1"/>
  <c r="E18" i="3" l="1"/>
  <c r="G18" i="3" s="1"/>
  <c r="A19" i="3"/>
  <c r="B18" i="3"/>
  <c r="C18" i="3" s="1"/>
  <c r="D18" i="3"/>
  <c r="J18" i="3"/>
  <c r="I17" i="3"/>
  <c r="F17" i="3"/>
  <c r="H17" i="3" s="1"/>
  <c r="D19" i="2"/>
  <c r="I19" i="2" s="1"/>
  <c r="B20" i="2"/>
  <c r="C20" i="2" s="1"/>
  <c r="F20" i="2"/>
  <c r="H20" i="2" s="1"/>
  <c r="J20" i="2" s="1"/>
  <c r="E20" i="2"/>
  <c r="D20" i="2" s="1"/>
  <c r="A21" i="2"/>
  <c r="F18" i="3" l="1"/>
  <c r="I20" i="2"/>
  <c r="I18" i="3"/>
  <c r="E19" i="3"/>
  <c r="G19" i="3" s="1"/>
  <c r="D19" i="3"/>
  <c r="B19" i="3"/>
  <c r="C19" i="3" s="1"/>
  <c r="J19" i="3"/>
  <c r="A20" i="3"/>
  <c r="H18" i="3"/>
  <c r="G20" i="2"/>
  <c r="B21" i="2"/>
  <c r="C21" i="2" s="1"/>
  <c r="F21" i="2"/>
  <c r="H21" i="2" s="1"/>
  <c r="J21" i="2" s="1"/>
  <c r="A22" i="2"/>
  <c r="E21" i="2"/>
  <c r="D21" i="2" l="1"/>
  <c r="I21" i="2" s="1"/>
  <c r="I19" i="3"/>
  <c r="F19" i="3"/>
  <c r="H19" i="3" s="1"/>
  <c r="E20" i="3"/>
  <c r="G20" i="3" s="1"/>
  <c r="J20" i="3"/>
  <c r="A21" i="3"/>
  <c r="B20" i="3"/>
  <c r="C20" i="3" s="1"/>
  <c r="D20" i="3"/>
  <c r="G21" i="2"/>
  <c r="B22" i="2"/>
  <c r="C22" i="2" s="1"/>
  <c r="F22" i="2"/>
  <c r="H22" i="2" s="1"/>
  <c r="J22" i="2" s="1"/>
  <c r="A23" i="2"/>
  <c r="E22" i="2"/>
  <c r="I20" i="3" l="1"/>
  <c r="F20" i="3"/>
  <c r="H20" i="3" s="1"/>
  <c r="J21" i="3"/>
  <c r="B21" i="3"/>
  <c r="C21" i="3" s="1"/>
  <c r="E21" i="3"/>
  <c r="G21" i="3" s="1"/>
  <c r="A22" i="3"/>
  <c r="D21" i="3"/>
  <c r="F21" i="3" s="1"/>
  <c r="D22" i="2"/>
  <c r="I22" i="2" s="1"/>
  <c r="B23" i="2"/>
  <c r="C23" i="2" s="1"/>
  <c r="F23" i="2"/>
  <c r="H23" i="2" s="1"/>
  <c r="J23" i="2" s="1"/>
  <c r="A24" i="2"/>
  <c r="E23" i="2"/>
  <c r="G22" i="2"/>
  <c r="I21" i="3" l="1"/>
  <c r="J22" i="3"/>
  <c r="A23" i="3"/>
  <c r="B22" i="3"/>
  <c r="C22" i="3" s="1"/>
  <c r="D22" i="3"/>
  <c r="I22" i="3" s="1"/>
  <c r="E22" i="3"/>
  <c r="G22" i="3" s="1"/>
  <c r="H21" i="3"/>
  <c r="G23" i="2"/>
  <c r="B24" i="2"/>
  <c r="C24" i="2" s="1"/>
  <c r="F24" i="2"/>
  <c r="H24" i="2" s="1"/>
  <c r="J24" i="2" s="1"/>
  <c r="E24" i="2"/>
  <c r="A25" i="2"/>
  <c r="D23" i="2"/>
  <c r="I23" i="2" s="1"/>
  <c r="F22" i="3" l="1"/>
  <c r="H22" i="3" s="1"/>
  <c r="A24" i="3"/>
  <c r="B23" i="3"/>
  <c r="C23" i="3" s="1"/>
  <c r="D23" i="3"/>
  <c r="I23" i="3" s="1"/>
  <c r="E23" i="3"/>
  <c r="G23" i="3" s="1"/>
  <c r="J23" i="3"/>
  <c r="G24" i="2"/>
  <c r="D24" i="2"/>
  <c r="I24" i="2" s="1"/>
  <c r="B25" i="2"/>
  <c r="C25" i="2" s="1"/>
  <c r="F25" i="2"/>
  <c r="H25" i="2" s="1"/>
  <c r="J25" i="2" s="1"/>
  <c r="A26" i="2"/>
  <c r="E25" i="2"/>
  <c r="F23" i="3" l="1"/>
  <c r="H23" i="3" s="1"/>
  <c r="A25" i="3"/>
  <c r="J24" i="3"/>
  <c r="D24" i="3"/>
  <c r="B24" i="3"/>
  <c r="C24" i="3" s="1"/>
  <c r="E24" i="3"/>
  <c r="G24" i="3" s="1"/>
  <c r="D25" i="2"/>
  <c r="I25" i="2" s="1"/>
  <c r="G25" i="2"/>
  <c r="B26" i="2"/>
  <c r="C26" i="2" s="1"/>
  <c r="F26" i="2"/>
  <c r="H26" i="2" s="1"/>
  <c r="J26" i="2" s="1"/>
  <c r="A27" i="2"/>
  <c r="E26" i="2"/>
  <c r="G26" i="2"/>
  <c r="I24" i="3" l="1"/>
  <c r="F24" i="3"/>
  <c r="H24" i="3" s="1"/>
  <c r="B25" i="3"/>
  <c r="C25" i="3" s="1"/>
  <c r="A26" i="3"/>
  <c r="E25" i="3"/>
  <c r="G25" i="3" s="1"/>
  <c r="J25" i="3"/>
  <c r="D25" i="3"/>
  <c r="F25" i="3" s="1"/>
  <c r="H25" i="3" s="1"/>
  <c r="D26" i="2"/>
  <c r="I26" i="2" s="1"/>
  <c r="B27" i="2"/>
  <c r="C27" i="2" s="1"/>
  <c r="F27" i="2"/>
  <c r="H27" i="2" s="1"/>
  <c r="J27" i="2" s="1"/>
  <c r="A28" i="2"/>
  <c r="E27" i="2"/>
  <c r="G27" i="2" s="1"/>
  <c r="I25" i="3" l="1"/>
  <c r="D26" i="3"/>
  <c r="B26" i="3"/>
  <c r="C26" i="3" s="1"/>
  <c r="J26" i="3"/>
  <c r="E26" i="3"/>
  <c r="G26" i="3" s="1"/>
  <c r="A27" i="3"/>
  <c r="B28" i="2"/>
  <c r="C28" i="2" s="1"/>
  <c r="F28" i="2"/>
  <c r="H28" i="2" s="1"/>
  <c r="J28" i="2" s="1"/>
  <c r="A29" i="2"/>
  <c r="E28" i="2"/>
  <c r="G28" i="2" s="1"/>
  <c r="D27" i="2"/>
  <c r="I27" i="2" s="1"/>
  <c r="I26" i="3" l="1"/>
  <c r="J27" i="3"/>
  <c r="A28" i="3"/>
  <c r="E27" i="3"/>
  <c r="G27" i="3" s="1"/>
  <c r="D27" i="3"/>
  <c r="B27" i="3"/>
  <c r="C27" i="3" s="1"/>
  <c r="F26" i="3"/>
  <c r="H26" i="3" s="1"/>
  <c r="D28" i="2"/>
  <c r="I28" i="2" s="1"/>
  <c r="B29" i="2"/>
  <c r="C29" i="2" s="1"/>
  <c r="F29" i="2"/>
  <c r="H29" i="2" s="1"/>
  <c r="J29" i="2" s="1"/>
  <c r="E29" i="2"/>
  <c r="A30" i="2"/>
  <c r="I27" i="3" l="1"/>
  <c r="F27" i="3"/>
  <c r="H27" i="3" s="1"/>
  <c r="A29" i="3"/>
  <c r="J28" i="3"/>
  <c r="D28" i="3"/>
  <c r="B28" i="3"/>
  <c r="C28" i="3" s="1"/>
  <c r="E28" i="3"/>
  <c r="G28" i="3" s="1"/>
  <c r="D29" i="2"/>
  <c r="I29" i="2" s="1"/>
  <c r="B30" i="2"/>
  <c r="C30" i="2" s="1"/>
  <c r="F30" i="2"/>
  <c r="H30" i="2" s="1"/>
  <c r="J30" i="2" s="1"/>
  <c r="A31" i="2"/>
  <c r="E30" i="2"/>
  <c r="G29" i="2"/>
  <c r="F28" i="3" l="1"/>
  <c r="D30" i="2"/>
  <c r="I28" i="3"/>
  <c r="A30" i="3"/>
  <c r="J29" i="3"/>
  <c r="B29" i="3"/>
  <c r="C29" i="3" s="1"/>
  <c r="D29" i="3"/>
  <c r="E29" i="3"/>
  <c r="G29" i="3" s="1"/>
  <c r="H28" i="3"/>
  <c r="I30" i="2"/>
  <c r="G30" i="2"/>
  <c r="B31" i="2"/>
  <c r="C31" i="2" s="1"/>
  <c r="F31" i="2"/>
  <c r="H31" i="2" s="1"/>
  <c r="J31" i="2" s="1"/>
  <c r="E31" i="2"/>
  <c r="A32" i="2"/>
  <c r="B30" i="3" l="1"/>
  <c r="C30" i="3" s="1"/>
  <c r="E30" i="3"/>
  <c r="G30" i="3" s="1"/>
  <c r="J30" i="3"/>
  <c r="D30" i="3"/>
  <c r="A31" i="3"/>
  <c r="I29" i="3"/>
  <c r="F29" i="3"/>
  <c r="H29" i="3" s="1"/>
  <c r="D31" i="2"/>
  <c r="I31" i="2" s="1"/>
  <c r="G31" i="2"/>
  <c r="B32" i="2"/>
  <c r="C32" i="2" s="1"/>
  <c r="F32" i="2"/>
  <c r="H32" i="2" s="1"/>
  <c r="J32" i="2" s="1"/>
  <c r="A33" i="2"/>
  <c r="E32" i="2"/>
  <c r="I30" i="3" l="1"/>
  <c r="F30" i="3"/>
  <c r="H30" i="3" s="1"/>
  <c r="E31" i="3"/>
  <c r="G31" i="3" s="1"/>
  <c r="J31" i="3"/>
  <c r="A32" i="3"/>
  <c r="D31" i="3"/>
  <c r="B31" i="3"/>
  <c r="C31" i="3" s="1"/>
  <c r="D32" i="2"/>
  <c r="I32" i="2" s="1"/>
  <c r="G32" i="2"/>
  <c r="B33" i="2"/>
  <c r="C33" i="2" s="1"/>
  <c r="F33" i="2"/>
  <c r="H33" i="2" s="1"/>
  <c r="J33" i="2" s="1"/>
  <c r="E33" i="2"/>
  <c r="A34" i="2"/>
  <c r="F31" i="3" l="1"/>
  <c r="H31" i="3" s="1"/>
  <c r="I31" i="3"/>
  <c r="D33" i="2"/>
  <c r="I33" i="2" s="1"/>
  <c r="G33" i="2"/>
  <c r="B32" i="3"/>
  <c r="C32" i="3" s="1"/>
  <c r="A33" i="3"/>
  <c r="D32" i="3"/>
  <c r="J32" i="3"/>
  <c r="E32" i="3"/>
  <c r="G32" i="3" s="1"/>
  <c r="B34" i="2"/>
  <c r="C34" i="2" s="1"/>
  <c r="F34" i="2"/>
  <c r="H34" i="2" s="1"/>
  <c r="J34" i="2" s="1"/>
  <c r="A35" i="2"/>
  <c r="E34" i="2"/>
  <c r="I32" i="3" l="1"/>
  <c r="F32" i="3"/>
  <c r="H32" i="3" s="1"/>
  <c r="D34" i="2"/>
  <c r="I34" i="2" s="1"/>
  <c r="D33" i="3"/>
  <c r="B33" i="3"/>
  <c r="C33" i="3" s="1"/>
  <c r="A34" i="3"/>
  <c r="E33" i="3"/>
  <c r="J33" i="3"/>
  <c r="G34" i="2"/>
  <c r="B35" i="2"/>
  <c r="C35" i="2" s="1"/>
  <c r="F35" i="2"/>
  <c r="H35" i="2" s="1"/>
  <c r="J35" i="2" s="1"/>
  <c r="E35" i="2"/>
  <c r="A36" i="2"/>
  <c r="G35" i="2" l="1"/>
  <c r="I33" i="3"/>
  <c r="F33" i="3"/>
  <c r="H33" i="3" s="1"/>
  <c r="D34" i="3"/>
  <c r="I34" i="3" s="1"/>
  <c r="J34" i="3"/>
  <c r="E34" i="3"/>
  <c r="B34" i="3"/>
  <c r="C34" i="3" s="1"/>
  <c r="A35" i="3"/>
  <c r="G33" i="3"/>
  <c r="D35" i="2"/>
  <c r="I35" i="2" s="1"/>
  <c r="B36" i="2"/>
  <c r="C36" i="2" s="1"/>
  <c r="F36" i="2"/>
  <c r="H36" i="2" s="1"/>
  <c r="J36" i="2" s="1"/>
  <c r="A37" i="2"/>
  <c r="E36" i="2"/>
  <c r="G36" i="2" s="1"/>
  <c r="G34" i="3" l="1"/>
  <c r="D35" i="3"/>
  <c r="B35" i="3"/>
  <c r="C35" i="3" s="1"/>
  <c r="E35" i="3"/>
  <c r="J35" i="3"/>
  <c r="I35" i="3"/>
  <c r="A36" i="3"/>
  <c r="F34" i="3"/>
  <c r="H34" i="3" s="1"/>
  <c r="D36" i="2"/>
  <c r="I36" i="2" s="1"/>
  <c r="B37" i="2"/>
  <c r="C37" i="2" s="1"/>
  <c r="F37" i="2"/>
  <c r="H37" i="2" s="1"/>
  <c r="J37" i="2" s="1"/>
  <c r="E37" i="2"/>
  <c r="A38" i="2"/>
  <c r="F35" i="3" l="1"/>
  <c r="H35" i="3" s="1"/>
  <c r="D37" i="2"/>
  <c r="I37" i="2" s="1"/>
  <c r="G35" i="3"/>
  <c r="D36" i="3"/>
  <c r="I36" i="3" s="1"/>
  <c r="J36" i="3"/>
  <c r="B36" i="3"/>
  <c r="C36" i="3" s="1"/>
  <c r="A37" i="3"/>
  <c r="E36" i="3"/>
  <c r="G37" i="2"/>
  <c r="B38" i="2"/>
  <c r="C38" i="2" s="1"/>
  <c r="F38" i="2"/>
  <c r="H38" i="2" s="1"/>
  <c r="J38" i="2" s="1"/>
  <c r="A39" i="2"/>
  <c r="E38" i="2"/>
  <c r="G36" i="3" l="1"/>
  <c r="D38" i="2"/>
  <c r="I38" i="2" s="1"/>
  <c r="F36" i="3"/>
  <c r="H36" i="3" s="1"/>
  <c r="D37" i="3"/>
  <c r="I37" i="3" s="1"/>
  <c r="B37" i="3"/>
  <c r="C37" i="3" s="1"/>
  <c r="A38" i="3"/>
  <c r="E37" i="3"/>
  <c r="J37" i="3"/>
  <c r="G38" i="2"/>
  <c r="B39" i="2"/>
  <c r="C39" i="2" s="1"/>
  <c r="E39" i="2"/>
  <c r="F39" i="2"/>
  <c r="H39" i="2" s="1"/>
  <c r="J39" i="2" s="1"/>
  <c r="A40" i="2"/>
  <c r="F37" i="3" l="1"/>
  <c r="H37" i="3"/>
  <c r="E38" i="3"/>
  <c r="J38" i="3"/>
  <c r="D38" i="3"/>
  <c r="B38" i="3"/>
  <c r="C38" i="3" s="1"/>
  <c r="A39" i="3"/>
  <c r="G37" i="3"/>
  <c r="G38" i="3" s="1"/>
  <c r="G39" i="2"/>
  <c r="D39" i="2"/>
  <c r="I39" i="2" s="1"/>
  <c r="B40" i="2"/>
  <c r="C40" i="2" s="1"/>
  <c r="F40" i="2"/>
  <c r="H40" i="2" s="1"/>
  <c r="J40" i="2" s="1"/>
  <c r="E40" i="2"/>
  <c r="A41" i="2"/>
  <c r="F38" i="3" l="1"/>
  <c r="D40" i="2"/>
  <c r="H38" i="3"/>
  <c r="I40" i="2"/>
  <c r="I38" i="3"/>
  <c r="E39" i="3"/>
  <c r="G39" i="3" s="1"/>
  <c r="J39" i="3"/>
  <c r="A40" i="3"/>
  <c r="D39" i="3"/>
  <c r="B39" i="3"/>
  <c r="C39" i="3" s="1"/>
  <c r="G40" i="2"/>
  <c r="A42" i="2"/>
  <c r="E41" i="2"/>
  <c r="F41" i="2"/>
  <c r="H41" i="2" s="1"/>
  <c r="J41" i="2" s="1"/>
  <c r="B41" i="2"/>
  <c r="C41" i="2" s="1"/>
  <c r="F39" i="3" l="1"/>
  <c r="H39" i="3" s="1"/>
  <c r="I39" i="3"/>
  <c r="J40" i="3"/>
  <c r="E40" i="3"/>
  <c r="G40" i="3" s="1"/>
  <c r="D40" i="3"/>
  <c r="B40" i="3"/>
  <c r="C40" i="3" s="1"/>
  <c r="A41" i="3"/>
  <c r="G41" i="2"/>
  <c r="E42" i="2"/>
  <c r="A43" i="2"/>
  <c r="B42" i="2"/>
  <c r="C42" i="2" s="1"/>
  <c r="F42" i="2"/>
  <c r="D41" i="2"/>
  <c r="I41" i="2" s="1"/>
  <c r="D42" i="2" l="1"/>
  <c r="I42" i="2" s="1"/>
  <c r="F40" i="3"/>
  <c r="H40" i="3" s="1"/>
  <c r="G42" i="2"/>
  <c r="I40" i="3"/>
  <c r="B41" i="3"/>
  <c r="C41" i="3" s="1"/>
  <c r="A42" i="3"/>
  <c r="D41" i="3"/>
  <c r="J41" i="3"/>
  <c r="E41" i="3"/>
  <c r="G41" i="3" s="1"/>
  <c r="H42" i="2"/>
  <c r="J42" i="2" s="1"/>
  <c r="E43" i="2" s="1"/>
  <c r="A44" i="2"/>
  <c r="B43" i="2"/>
  <c r="C43" i="2" s="1"/>
  <c r="F43" i="2"/>
  <c r="H43" i="2" l="1"/>
  <c r="J43" i="2" s="1"/>
  <c r="I41" i="3"/>
  <c r="D43" i="2"/>
  <c r="I43" i="2" s="1"/>
  <c r="F41" i="3"/>
  <c r="H41" i="3" s="1"/>
  <c r="E42" i="3"/>
  <c r="G42" i="3" s="1"/>
  <c r="J42" i="3"/>
  <c r="D42" i="3"/>
  <c r="B42" i="3"/>
  <c r="C42" i="3" s="1"/>
  <c r="A43" i="3"/>
  <c r="G43" i="2"/>
  <c r="E44" i="2"/>
  <c r="A45" i="2"/>
  <c r="F44" i="2"/>
  <c r="H44" i="2" s="1"/>
  <c r="J44" i="2" s="1"/>
  <c r="B44" i="2"/>
  <c r="C44" i="2" s="1"/>
  <c r="F42" i="3" l="1"/>
  <c r="H42" i="3" s="1"/>
  <c r="D44" i="2"/>
  <c r="I44" i="2" s="1"/>
  <c r="E43" i="3"/>
  <c r="G43" i="3" s="1"/>
  <c r="D43" i="3"/>
  <c r="J43" i="3"/>
  <c r="A44" i="3"/>
  <c r="B43" i="3"/>
  <c r="C43" i="3" s="1"/>
  <c r="I42" i="3"/>
  <c r="G44" i="2"/>
  <c r="A46" i="2"/>
  <c r="E45" i="2"/>
  <c r="F45" i="2"/>
  <c r="H45" i="2" s="1"/>
  <c r="J45" i="2" s="1"/>
  <c r="B45" i="2"/>
  <c r="C45" i="2" s="1"/>
  <c r="F43" i="3" l="1"/>
  <c r="H43" i="3" s="1"/>
  <c r="J44" i="3"/>
  <c r="E44" i="3"/>
  <c r="G44" i="3" s="1"/>
  <c r="D44" i="3"/>
  <c r="B44" i="3"/>
  <c r="C44" i="3" s="1"/>
  <c r="A45" i="3"/>
  <c r="G45" i="2"/>
  <c r="I43" i="3"/>
  <c r="E46" i="2"/>
  <c r="G46" i="2" s="1"/>
  <c r="A47" i="2"/>
  <c r="B46" i="2"/>
  <c r="C46" i="2" s="1"/>
  <c r="F46" i="2"/>
  <c r="H46" i="2" s="1"/>
  <c r="J46" i="2" s="1"/>
  <c r="D45" i="2"/>
  <c r="I45" i="2" s="1"/>
  <c r="F44" i="3" l="1"/>
  <c r="H44" i="3" s="1"/>
  <c r="I44" i="3"/>
  <c r="D45" i="3"/>
  <c r="J45" i="3"/>
  <c r="E45" i="3"/>
  <c r="G45" i="3" s="1"/>
  <c r="B45" i="3"/>
  <c r="C45" i="3" s="1"/>
  <c r="A46" i="3"/>
  <c r="D46" i="2"/>
  <c r="I46" i="2" s="1"/>
  <c r="A48" i="2"/>
  <c r="E47" i="2"/>
  <c r="B47" i="2"/>
  <c r="C47" i="2" s="1"/>
  <c r="F47" i="2"/>
  <c r="H47" i="2" s="1"/>
  <c r="J47" i="2" s="1"/>
  <c r="F45" i="3" l="1"/>
  <c r="H45" i="3" s="1"/>
  <c r="I45" i="3"/>
  <c r="D46" i="3"/>
  <c r="B46" i="3"/>
  <c r="C46" i="3" s="1"/>
  <c r="A47" i="3"/>
  <c r="E46" i="3"/>
  <c r="G46" i="3" s="1"/>
  <c r="J46" i="3"/>
  <c r="I46" i="3"/>
  <c r="D47" i="2"/>
  <c r="I47" i="2" s="1"/>
  <c r="G47" i="2"/>
  <c r="E48" i="2"/>
  <c r="G48" i="2" s="1"/>
  <c r="A49" i="2"/>
  <c r="F48" i="2"/>
  <c r="H48" i="2" s="1"/>
  <c r="J48" i="2" s="1"/>
  <c r="B48" i="2"/>
  <c r="C48" i="2" s="1"/>
  <c r="F46" i="3" l="1"/>
  <c r="H46" i="3" s="1"/>
  <c r="A48" i="3"/>
  <c r="B47" i="3"/>
  <c r="C47" i="3" s="1"/>
  <c r="D47" i="3"/>
  <c r="I47" i="3" s="1"/>
  <c r="J47" i="3"/>
  <c r="E47" i="3"/>
  <c r="G47" i="3" s="1"/>
  <c r="D48" i="2"/>
  <c r="I48" i="2" s="1"/>
  <c r="A50" i="2"/>
  <c r="E49" i="2"/>
  <c r="G49" i="2" s="1"/>
  <c r="F49" i="2"/>
  <c r="H49" i="2" s="1"/>
  <c r="J49" i="2" s="1"/>
  <c r="B49" i="2"/>
  <c r="C49" i="2" s="1"/>
  <c r="F47" i="3" l="1"/>
  <c r="H47" i="3" s="1"/>
  <c r="D48" i="3"/>
  <c r="I48" i="3" s="1"/>
  <c r="A49" i="3"/>
  <c r="B48" i="3"/>
  <c r="C48" i="3" s="1"/>
  <c r="J48" i="3"/>
  <c r="E48" i="3"/>
  <c r="G48" i="3" s="1"/>
  <c r="D49" i="2"/>
  <c r="I49" i="2" s="1"/>
  <c r="E50" i="2"/>
  <c r="G50" i="2" s="1"/>
  <c r="A51" i="2"/>
  <c r="B50" i="2"/>
  <c r="C50" i="2" s="1"/>
  <c r="F50" i="2"/>
  <c r="H50" i="2" s="1"/>
  <c r="J50" i="2" s="1"/>
  <c r="F48" i="3" l="1"/>
  <c r="H48" i="3" s="1"/>
  <c r="B49" i="3"/>
  <c r="C49" i="3" s="1"/>
  <c r="A50" i="3"/>
  <c r="E49" i="3"/>
  <c r="G49" i="3" s="1"/>
  <c r="D49" i="3"/>
  <c r="J49" i="3"/>
  <c r="A52" i="2"/>
  <c r="E51" i="2"/>
  <c r="G51" i="2" s="1"/>
  <c r="B51" i="2"/>
  <c r="C51" i="2" s="1"/>
  <c r="F51" i="2"/>
  <c r="H51" i="2" s="1"/>
  <c r="J51" i="2" s="1"/>
  <c r="D50" i="2"/>
  <c r="I50" i="2" s="1"/>
  <c r="F49" i="3" l="1"/>
  <c r="H49" i="3" s="1"/>
  <c r="I49" i="3"/>
  <c r="B50" i="3"/>
  <c r="C50" i="3" s="1"/>
  <c r="A51" i="3"/>
  <c r="E50" i="3"/>
  <c r="G50" i="3" s="1"/>
  <c r="J50" i="3"/>
  <c r="D50" i="3"/>
  <c r="I50" i="3" s="1"/>
  <c r="D51" i="2"/>
  <c r="I51" i="2" s="1"/>
  <c r="E52" i="2"/>
  <c r="G52" i="2" s="1"/>
  <c r="A53" i="2"/>
  <c r="F52" i="2"/>
  <c r="H52" i="2" s="1"/>
  <c r="J52" i="2" s="1"/>
  <c r="B52" i="2"/>
  <c r="C52" i="2" s="1"/>
  <c r="F50" i="3" l="1"/>
  <c r="H50" i="3" s="1"/>
  <c r="A52" i="3"/>
  <c r="B51" i="3"/>
  <c r="C51" i="3" s="1"/>
  <c r="E51" i="3"/>
  <c r="G51" i="3" s="1"/>
  <c r="D51" i="3"/>
  <c r="J51" i="3"/>
  <c r="D52" i="2"/>
  <c r="I52" i="2" s="1"/>
  <c r="A54" i="2"/>
  <c r="E53" i="2"/>
  <c r="G53" i="2" s="1"/>
  <c r="F53" i="2"/>
  <c r="H53" i="2" s="1"/>
  <c r="J53" i="2" s="1"/>
  <c r="B53" i="2"/>
  <c r="C53" i="2" s="1"/>
  <c r="F51" i="3" l="1"/>
  <c r="H51" i="3" s="1"/>
  <c r="D52" i="3"/>
  <c r="J52" i="3"/>
  <c r="E52" i="3"/>
  <c r="G52" i="3" s="1"/>
  <c r="B52" i="3"/>
  <c r="C52" i="3" s="1"/>
  <c r="A53" i="3"/>
  <c r="I51" i="3"/>
  <c r="E54" i="2"/>
  <c r="G54" i="2" s="1"/>
  <c r="A55" i="2"/>
  <c r="B54" i="2"/>
  <c r="C54" i="2" s="1"/>
  <c r="F54" i="2"/>
  <c r="H54" i="2" s="1"/>
  <c r="J54" i="2" s="1"/>
  <c r="D53" i="2"/>
  <c r="I53" i="2" s="1"/>
  <c r="F52" i="3" l="1"/>
  <c r="I52" i="3"/>
  <c r="H52" i="3"/>
  <c r="D53" i="3"/>
  <c r="I53" i="3" s="1"/>
  <c r="J53" i="3"/>
  <c r="E53" i="3"/>
  <c r="G53" i="3" s="1"/>
  <c r="B53" i="3"/>
  <c r="C53" i="3" s="1"/>
  <c r="A54" i="3"/>
  <c r="A56" i="2"/>
  <c r="E55" i="2"/>
  <c r="B55" i="2"/>
  <c r="C55" i="2" s="1"/>
  <c r="F55" i="2"/>
  <c r="H55" i="2" s="1"/>
  <c r="J55" i="2" s="1"/>
  <c r="D54" i="2"/>
  <c r="I54" i="2" s="1"/>
  <c r="F53" i="3" l="1"/>
  <c r="H53" i="3" s="1"/>
  <c r="D55" i="2"/>
  <c r="I55" i="2" s="1"/>
  <c r="E54" i="3"/>
  <c r="G54" i="3" s="1"/>
  <c r="J54" i="3"/>
  <c r="B54" i="3"/>
  <c r="C54" i="3" s="1"/>
  <c r="A55" i="3"/>
  <c r="D54" i="3"/>
  <c r="I54" i="3" s="1"/>
  <c r="E56" i="2"/>
  <c r="A57" i="2"/>
  <c r="F56" i="2"/>
  <c r="H56" i="2" s="1"/>
  <c r="J56" i="2" s="1"/>
  <c r="B56" i="2"/>
  <c r="C56" i="2" s="1"/>
  <c r="G55" i="2"/>
  <c r="G56" i="2" l="1"/>
  <c r="D56" i="2"/>
  <c r="I56" i="2" s="1"/>
  <c r="F54" i="3"/>
  <c r="H54" i="3" s="1"/>
  <c r="A56" i="3"/>
  <c r="B55" i="3"/>
  <c r="C55" i="3" s="1"/>
  <c r="E55" i="3"/>
  <c r="G55" i="3" s="1"/>
  <c r="D55" i="3"/>
  <c r="F55" i="3" s="1"/>
  <c r="H55" i="3" s="1"/>
  <c r="J55" i="3"/>
  <c r="A58" i="2"/>
  <c r="E57" i="2"/>
  <c r="F57" i="2"/>
  <c r="H57" i="2" s="1"/>
  <c r="J57" i="2" s="1"/>
  <c r="B57" i="2"/>
  <c r="C57" i="2" s="1"/>
  <c r="G57" i="2" l="1"/>
  <c r="J56" i="3"/>
  <c r="E56" i="3"/>
  <c r="G56" i="3" s="1"/>
  <c r="A57" i="3"/>
  <c r="D56" i="3"/>
  <c r="B56" i="3"/>
  <c r="C56" i="3" s="1"/>
  <c r="I55" i="3"/>
  <c r="D57" i="2"/>
  <c r="I57" i="2" s="1"/>
  <c r="E58" i="2"/>
  <c r="G58" i="2" s="1"/>
  <c r="A59" i="2"/>
  <c r="B58" i="2"/>
  <c r="C58" i="2" s="1"/>
  <c r="F58" i="2"/>
  <c r="H58" i="2" s="1"/>
  <c r="J58" i="2" s="1"/>
  <c r="F56" i="3" l="1"/>
  <c r="H56" i="3" s="1"/>
  <c r="I56" i="3"/>
  <c r="B57" i="3"/>
  <c r="C57" i="3" s="1"/>
  <c r="A58" i="3"/>
  <c r="E57" i="3"/>
  <c r="G57" i="3" s="1"/>
  <c r="D57" i="3"/>
  <c r="J57" i="3"/>
  <c r="A60" i="2"/>
  <c r="E59" i="2"/>
  <c r="G59" i="2" s="1"/>
  <c r="B59" i="2"/>
  <c r="C59" i="2" s="1"/>
  <c r="F59" i="2"/>
  <c r="H59" i="2" s="1"/>
  <c r="J59" i="2" s="1"/>
  <c r="D58" i="2"/>
  <c r="I58" i="2" s="1"/>
  <c r="F57" i="3" l="1"/>
  <c r="H57" i="3" s="1"/>
  <c r="I57" i="3"/>
  <c r="J58" i="3"/>
  <c r="D58" i="3"/>
  <c r="B58" i="3"/>
  <c r="C58" i="3" s="1"/>
  <c r="A59" i="3"/>
  <c r="E58" i="3"/>
  <c r="G58" i="3" s="1"/>
  <c r="D59" i="2"/>
  <c r="I59" i="2" s="1"/>
  <c r="E60" i="2"/>
  <c r="G60" i="2" s="1"/>
  <c r="A61" i="2"/>
  <c r="F60" i="2"/>
  <c r="H60" i="2" s="1"/>
  <c r="J60" i="2" s="1"/>
  <c r="B60" i="2"/>
  <c r="C60" i="2" s="1"/>
  <c r="I58" i="3" l="1"/>
  <c r="B59" i="3"/>
  <c r="C59" i="3" s="1"/>
  <c r="D59" i="3"/>
  <c r="I59" i="3" s="1"/>
  <c r="J59" i="3"/>
  <c r="E59" i="3"/>
  <c r="G59" i="3" s="1"/>
  <c r="A60" i="3"/>
  <c r="F58" i="3"/>
  <c r="H58" i="3" s="1"/>
  <c r="D60" i="2"/>
  <c r="I60" i="2" s="1"/>
  <c r="E61" i="2"/>
  <c r="G61" i="2" s="1"/>
  <c r="B61" i="2"/>
  <c r="C61" i="2" s="1"/>
  <c r="F61" i="2"/>
  <c r="H61" i="2" s="1"/>
  <c r="J61" i="2" s="1"/>
  <c r="A62" i="2"/>
  <c r="F59" i="3" l="1"/>
  <c r="H59" i="3" s="1"/>
  <c r="D60" i="3"/>
  <c r="I60" i="3" s="1"/>
  <c r="J60" i="3"/>
  <c r="E60" i="3"/>
  <c r="G60" i="3" s="1"/>
  <c r="B60" i="3"/>
  <c r="C60" i="3" s="1"/>
  <c r="A61" i="3"/>
  <c r="D61" i="2"/>
  <c r="I61" i="2" s="1"/>
  <c r="B62" i="2"/>
  <c r="C62" i="2" s="1"/>
  <c r="E62" i="2"/>
  <c r="F62" i="2"/>
  <c r="H62" i="2" s="1"/>
  <c r="J62" i="2" s="1"/>
  <c r="A63" i="2"/>
  <c r="D61" i="3" l="1"/>
  <c r="I61" i="3" s="1"/>
  <c r="J61" i="3"/>
  <c r="E61" i="3"/>
  <c r="G61" i="3" s="1"/>
  <c r="B61" i="3"/>
  <c r="C61" i="3" s="1"/>
  <c r="A62" i="3"/>
  <c r="F60" i="3"/>
  <c r="H60" i="3" s="1"/>
  <c r="D62" i="2"/>
  <c r="I62" i="2" s="1"/>
  <c r="G62" i="2"/>
  <c r="B63" i="2"/>
  <c r="C63" i="2" s="1"/>
  <c r="F63" i="2"/>
  <c r="A64" i="2"/>
  <c r="H63" i="2"/>
  <c r="J63" i="2" s="1"/>
  <c r="E63" i="2"/>
  <c r="G63" i="2" l="1"/>
  <c r="F61" i="3"/>
  <c r="H61" i="3" s="1"/>
  <c r="D62" i="3"/>
  <c r="B62" i="3"/>
  <c r="C62" i="3" s="1"/>
  <c r="E62" i="3"/>
  <c r="G62" i="3" s="1"/>
  <c r="J62" i="3"/>
  <c r="A63" i="3"/>
  <c r="D63" i="2"/>
  <c r="I63" i="2" s="1"/>
  <c r="E64" i="2"/>
  <c r="G64" i="2" s="1"/>
  <c r="B64" i="2"/>
  <c r="C64" i="2" s="1"/>
  <c r="F64" i="2"/>
  <c r="H64" i="2" s="1"/>
  <c r="J64" i="2" s="1"/>
  <c r="A65" i="2"/>
  <c r="F62" i="3" l="1"/>
  <c r="H62" i="3" s="1"/>
  <c r="J63" i="3"/>
  <c r="E63" i="3"/>
  <c r="B63" i="3"/>
  <c r="C63" i="3" s="1"/>
  <c r="D63" i="3"/>
  <c r="A64" i="3"/>
  <c r="G63" i="3"/>
  <c r="I62" i="3"/>
  <c r="D64" i="2"/>
  <c r="I64" i="2" s="1"/>
  <c r="B65" i="2"/>
  <c r="C65" i="2" s="1"/>
  <c r="F65" i="2"/>
  <c r="H65" i="2" s="1"/>
  <c r="J65" i="2" s="1"/>
  <c r="A66" i="2"/>
  <c r="E65" i="2"/>
  <c r="I63" i="3" l="1"/>
  <c r="D65" i="2"/>
  <c r="I65" i="2" s="1"/>
  <c r="F63" i="3"/>
  <c r="H63" i="3" s="1"/>
  <c r="D64" i="3"/>
  <c r="I64" i="3" s="1"/>
  <c r="B64" i="3"/>
  <c r="C64" i="3" s="1"/>
  <c r="A65" i="3"/>
  <c r="J64" i="3"/>
  <c r="E64" i="3"/>
  <c r="G64" i="3" s="1"/>
  <c r="G65" i="2"/>
  <c r="E66" i="2"/>
  <c r="B66" i="2"/>
  <c r="C66" i="2" s="1"/>
  <c r="F66" i="2"/>
  <c r="H66" i="2" s="1"/>
  <c r="J66" i="2" s="1"/>
  <c r="A67" i="2"/>
  <c r="D66" i="2" l="1"/>
  <c r="I66" i="2" s="1"/>
  <c r="G66" i="2"/>
  <c r="F64" i="3"/>
  <c r="H64" i="3" s="1"/>
  <c r="E65" i="3"/>
  <c r="G65" i="3" s="1"/>
  <c r="D65" i="3"/>
  <c r="I65" i="3" s="1"/>
  <c r="J65" i="3"/>
  <c r="B65" i="3"/>
  <c r="C65" i="3" s="1"/>
  <c r="A66" i="3"/>
  <c r="B67" i="2"/>
  <c r="C67" i="2" s="1"/>
  <c r="F67" i="2"/>
  <c r="H67" i="2" s="1"/>
  <c r="J67" i="2" s="1"/>
  <c r="A68" i="2"/>
  <c r="E67" i="2"/>
  <c r="F65" i="3" l="1"/>
  <c r="H65" i="3" s="1"/>
  <c r="D67" i="2"/>
  <c r="I67" i="2" s="1"/>
  <c r="J66" i="3"/>
  <c r="D66" i="3"/>
  <c r="I66" i="3" s="1"/>
  <c r="A67" i="3"/>
  <c r="B66" i="3"/>
  <c r="C66" i="3" s="1"/>
  <c r="E66" i="3"/>
  <c r="G66" i="3" s="1"/>
  <c r="G67" i="2"/>
  <c r="E68" i="2"/>
  <c r="B68" i="2"/>
  <c r="C68" i="2" s="1"/>
  <c r="F68" i="2"/>
  <c r="H68" i="2" s="1"/>
  <c r="J68" i="2" s="1"/>
  <c r="A69" i="2"/>
  <c r="F66" i="3" l="1"/>
  <c r="H66" i="3" s="1"/>
  <c r="D67" i="3"/>
  <c r="J67" i="3"/>
  <c r="A68" i="3"/>
  <c r="E67" i="3"/>
  <c r="G67" i="3" s="1"/>
  <c r="B67" i="3"/>
  <c r="C67" i="3" s="1"/>
  <c r="G68" i="2"/>
  <c r="D68" i="2"/>
  <c r="I68" i="2" s="1"/>
  <c r="B69" i="2"/>
  <c r="C69" i="2" s="1"/>
  <c r="F69" i="2"/>
  <c r="H69" i="2" s="1"/>
  <c r="J69" i="2" s="1"/>
  <c r="A70" i="2"/>
  <c r="E69" i="2"/>
  <c r="G69" i="2" l="1"/>
  <c r="F67" i="3"/>
  <c r="H67" i="3" s="1"/>
  <c r="I67" i="3"/>
  <c r="A69" i="3"/>
  <c r="J68" i="3"/>
  <c r="E68" i="3"/>
  <c r="G68" i="3" s="1"/>
  <c r="D68" i="3"/>
  <c r="I68" i="3" s="1"/>
  <c r="B68" i="3"/>
  <c r="C68" i="3" s="1"/>
  <c r="E70" i="2"/>
  <c r="B70" i="2"/>
  <c r="C70" i="2" s="1"/>
  <c r="F70" i="2"/>
  <c r="H70" i="2" s="1"/>
  <c r="J70" i="2" s="1"/>
  <c r="A71" i="2"/>
  <c r="D69" i="2"/>
  <c r="I69" i="2" s="1"/>
  <c r="G70" i="2" l="1"/>
  <c r="F68" i="3"/>
  <c r="H68" i="3" s="1"/>
  <c r="B69" i="3"/>
  <c r="C69" i="3" s="1"/>
  <c r="A70" i="3"/>
  <c r="E69" i="3"/>
  <c r="G69" i="3" s="1"/>
  <c r="D69" i="3"/>
  <c r="J69" i="3"/>
  <c r="D70" i="2"/>
  <c r="I70" i="2" s="1"/>
  <c r="B71" i="2"/>
  <c r="C71" i="2" s="1"/>
  <c r="F71" i="2"/>
  <c r="H71" i="2" s="1"/>
  <c r="J71" i="2" s="1"/>
  <c r="A72" i="2"/>
  <c r="E71" i="2"/>
  <c r="G71" i="2" s="1"/>
  <c r="F69" i="3" l="1"/>
  <c r="H69" i="3" s="1"/>
  <c r="D70" i="3"/>
  <c r="A71" i="3"/>
  <c r="B70" i="3"/>
  <c r="C70" i="3" s="1"/>
  <c r="E70" i="3"/>
  <c r="J70" i="3"/>
  <c r="I69" i="3"/>
  <c r="D71" i="2"/>
  <c r="I71" i="2" s="1"/>
  <c r="E72" i="2"/>
  <c r="B72" i="2"/>
  <c r="C72" i="2" s="1"/>
  <c r="F72" i="2"/>
  <c r="H72" i="2" s="1"/>
  <c r="J72" i="2" s="1"/>
  <c r="G72" i="2"/>
  <c r="A73" i="2"/>
  <c r="F70" i="3" l="1"/>
  <c r="H70" i="3" s="1"/>
  <c r="I70" i="3"/>
  <c r="G70" i="3"/>
  <c r="E71" i="3"/>
  <c r="G71" i="3" s="1"/>
  <c r="D71" i="3"/>
  <c r="J71" i="3"/>
  <c r="A72" i="3"/>
  <c r="B71" i="3"/>
  <c r="C71" i="3" s="1"/>
  <c r="D72" i="2"/>
  <c r="I72" i="2" s="1"/>
  <c r="B73" i="2"/>
  <c r="C73" i="2" s="1"/>
  <c r="F73" i="2"/>
  <c r="H73" i="2" s="1"/>
  <c r="J73" i="2" s="1"/>
  <c r="A74" i="2"/>
  <c r="E73" i="2"/>
  <c r="G73" i="2" s="1"/>
  <c r="I71" i="3" l="1"/>
  <c r="F71" i="3"/>
  <c r="H71" i="3" s="1"/>
  <c r="D72" i="3"/>
  <c r="I72" i="3" s="1"/>
  <c r="B72" i="3"/>
  <c r="C72" i="3" s="1"/>
  <c r="A73" i="3"/>
  <c r="J72" i="3"/>
  <c r="E72" i="3"/>
  <c r="F72" i="3" s="1"/>
  <c r="H72" i="3" s="1"/>
  <c r="D73" i="2"/>
  <c r="I73" i="2" s="1"/>
  <c r="E74" i="2"/>
  <c r="G74" i="2" s="1"/>
  <c r="B74" i="2"/>
  <c r="C74" i="2" s="1"/>
  <c r="F74" i="2"/>
  <c r="H74" i="2" s="1"/>
  <c r="J74" i="2" s="1"/>
  <c r="A75" i="2"/>
  <c r="D73" i="3" l="1"/>
  <c r="J73" i="3"/>
  <c r="B73" i="3"/>
  <c r="C73" i="3" s="1"/>
  <c r="A74" i="3"/>
  <c r="E73" i="3"/>
  <c r="G72" i="3"/>
  <c r="D74" i="2"/>
  <c r="I74" i="2" s="1"/>
  <c r="B75" i="2"/>
  <c r="C75" i="2" s="1"/>
  <c r="F75" i="2"/>
  <c r="H75" i="2" s="1"/>
  <c r="J75" i="2" s="1"/>
  <c r="A76" i="2"/>
  <c r="E75" i="2"/>
  <c r="G75" i="2" s="1"/>
  <c r="G73" i="3" l="1"/>
  <c r="F73" i="3"/>
  <c r="H73" i="3" s="1"/>
  <c r="I73" i="3"/>
  <c r="B74" i="3"/>
  <c r="C74" i="3" s="1"/>
  <c r="E74" i="3"/>
  <c r="G74" i="3" s="1"/>
  <c r="A75" i="3"/>
  <c r="J74" i="3"/>
  <c r="D74" i="3"/>
  <c r="F74" i="3" s="1"/>
  <c r="H74" i="3" s="1"/>
  <c r="D75" i="2"/>
  <c r="I75" i="2" s="1"/>
  <c r="E76" i="2"/>
  <c r="B76" i="2"/>
  <c r="C76" i="2" s="1"/>
  <c r="F76" i="2"/>
  <c r="H76" i="2" s="1"/>
  <c r="J76" i="2" s="1"/>
  <c r="A77" i="2"/>
  <c r="D76" i="2" l="1"/>
  <c r="I76" i="2" s="1"/>
  <c r="I74" i="3"/>
  <c r="B75" i="3"/>
  <c r="C75" i="3" s="1"/>
  <c r="D75" i="3"/>
  <c r="I75" i="3" s="1"/>
  <c r="J75" i="3"/>
  <c r="A76" i="3"/>
  <c r="E75" i="3"/>
  <c r="G75" i="3" s="1"/>
  <c r="G76" i="2"/>
  <c r="B77" i="2"/>
  <c r="C77" i="2" s="1"/>
  <c r="F77" i="2"/>
  <c r="H77" i="2" s="1"/>
  <c r="J77" i="2" s="1"/>
  <c r="A78" i="2"/>
  <c r="E77" i="2"/>
  <c r="G77" i="2" s="1"/>
  <c r="F75" i="3" l="1"/>
  <c r="H75" i="3" s="1"/>
  <c r="J76" i="3"/>
  <c r="E76" i="3"/>
  <c r="G76" i="3" s="1"/>
  <c r="D76" i="3"/>
  <c r="B76" i="3"/>
  <c r="C76" i="3" s="1"/>
  <c r="A77" i="3"/>
  <c r="D77" i="2"/>
  <c r="I77" i="2" s="1"/>
  <c r="E78" i="2"/>
  <c r="B78" i="2"/>
  <c r="C78" i="2" s="1"/>
  <c r="F78" i="2"/>
  <c r="H78" i="2" s="1"/>
  <c r="J78" i="2" s="1"/>
  <c r="A79" i="2"/>
  <c r="F76" i="3" l="1"/>
  <c r="H76" i="3" s="1"/>
  <c r="I76" i="3"/>
  <c r="D78" i="2"/>
  <c r="E77" i="3"/>
  <c r="G77" i="3" s="1"/>
  <c r="D77" i="3"/>
  <c r="I77" i="3" s="1"/>
  <c r="J77" i="3"/>
  <c r="B77" i="3"/>
  <c r="C77" i="3" s="1"/>
  <c r="A78" i="3"/>
  <c r="I78" i="2"/>
  <c r="G78" i="2"/>
  <c r="B79" i="2"/>
  <c r="C79" i="2" s="1"/>
  <c r="F79" i="2"/>
  <c r="H79" i="2" s="1"/>
  <c r="J79" i="2" s="1"/>
  <c r="A80" i="2"/>
  <c r="E79" i="2"/>
  <c r="D79" i="2" l="1"/>
  <c r="I79" i="2" s="1"/>
  <c r="F77" i="3"/>
  <c r="H77" i="3" s="1"/>
  <c r="G79" i="2"/>
  <c r="B78" i="3"/>
  <c r="C78" i="3" s="1"/>
  <c r="E78" i="3"/>
  <c r="G78" i="3" s="1"/>
  <c r="J78" i="3"/>
  <c r="D78" i="3"/>
  <c r="F78" i="3" s="1"/>
  <c r="H78" i="3" s="1"/>
  <c r="A79" i="3"/>
  <c r="E80" i="2"/>
  <c r="G80" i="2" s="1"/>
  <c r="B80" i="2"/>
  <c r="C80" i="2" s="1"/>
  <c r="F80" i="2"/>
  <c r="H80" i="2" s="1"/>
  <c r="J80" i="2" s="1"/>
  <c r="A81" i="2"/>
  <c r="I78" i="3" l="1"/>
  <c r="B79" i="3"/>
  <c r="C79" i="3" s="1"/>
  <c r="D79" i="3"/>
  <c r="J79" i="3"/>
  <c r="A80" i="3"/>
  <c r="E79" i="3"/>
  <c r="G79" i="3" s="1"/>
  <c r="D80" i="2"/>
  <c r="I80" i="2" s="1"/>
  <c r="B81" i="2"/>
  <c r="C81" i="2" s="1"/>
  <c r="F81" i="2"/>
  <c r="H81" i="2" s="1"/>
  <c r="J81" i="2" s="1"/>
  <c r="A82" i="2"/>
  <c r="E81" i="2"/>
  <c r="G81" i="2" s="1"/>
  <c r="F79" i="3" l="1"/>
  <c r="H79" i="3" s="1"/>
  <c r="I79" i="3"/>
  <c r="J80" i="3"/>
  <c r="E80" i="3"/>
  <c r="G80" i="3" s="1"/>
  <c r="A81" i="3"/>
  <c r="D80" i="3"/>
  <c r="I80" i="3" s="1"/>
  <c r="B80" i="3"/>
  <c r="C80" i="3" s="1"/>
  <c r="D81" i="2"/>
  <c r="I81" i="2" s="1"/>
  <c r="E82" i="2"/>
  <c r="G82" i="2" s="1"/>
  <c r="A83" i="2"/>
  <c r="F82" i="2"/>
  <c r="H82" i="2" s="1"/>
  <c r="J82" i="2" s="1"/>
  <c r="B82" i="2"/>
  <c r="C82" i="2" s="1"/>
  <c r="D82" i="2" l="1"/>
  <c r="E81" i="3"/>
  <c r="D81" i="3"/>
  <c r="F81" i="3" s="1"/>
  <c r="J81" i="3"/>
  <c r="B81" i="3"/>
  <c r="C81" i="3" s="1"/>
  <c r="A82" i="3"/>
  <c r="G81" i="3"/>
  <c r="F80" i="3"/>
  <c r="H80" i="3" s="1"/>
  <c r="I82" i="2"/>
  <c r="A84" i="2"/>
  <c r="E83" i="2"/>
  <c r="G83" i="2" s="1"/>
  <c r="F83" i="2"/>
  <c r="H83" i="2" s="1"/>
  <c r="J83" i="2" s="1"/>
  <c r="B83" i="2"/>
  <c r="C83" i="2" s="1"/>
  <c r="I81" i="3" l="1"/>
  <c r="H81" i="3"/>
  <c r="B82" i="3"/>
  <c r="C82" i="3" s="1"/>
  <c r="E82" i="3"/>
  <c r="G82" i="3" s="1"/>
  <c r="J82" i="3"/>
  <c r="D82" i="3"/>
  <c r="A83" i="3"/>
  <c r="D83" i="2"/>
  <c r="I83" i="2" s="1"/>
  <c r="E84" i="2"/>
  <c r="A85" i="2"/>
  <c r="F84" i="2"/>
  <c r="H84" i="2" s="1"/>
  <c r="J84" i="2" s="1"/>
  <c r="B84" i="2"/>
  <c r="C84" i="2" s="1"/>
  <c r="F82" i="3" l="1"/>
  <c r="D84" i="2"/>
  <c r="I84" i="2" s="1"/>
  <c r="H82" i="3"/>
  <c r="I82" i="3"/>
  <c r="D83" i="3"/>
  <c r="B83" i="3"/>
  <c r="C83" i="3" s="1"/>
  <c r="E83" i="3"/>
  <c r="G83" i="3" s="1"/>
  <c r="A84" i="3"/>
  <c r="J83" i="3"/>
  <c r="A86" i="2"/>
  <c r="E85" i="2"/>
  <c r="B85" i="2"/>
  <c r="C85" i="2" s="1"/>
  <c r="F85" i="2"/>
  <c r="H85" i="2"/>
  <c r="J85" i="2" s="1"/>
  <c r="G84" i="2"/>
  <c r="F83" i="3" l="1"/>
  <c r="H83" i="3" s="1"/>
  <c r="I83" i="3"/>
  <c r="G85" i="2"/>
  <c r="E84" i="3"/>
  <c r="G84" i="3" s="1"/>
  <c r="J84" i="3"/>
  <c r="D84" i="3"/>
  <c r="A85" i="3"/>
  <c r="B84" i="3"/>
  <c r="C84" i="3" s="1"/>
  <c r="D85" i="2"/>
  <c r="I85" i="2" s="1"/>
  <c r="E86" i="2"/>
  <c r="A87" i="2"/>
  <c r="B86" i="2"/>
  <c r="C86" i="2" s="1"/>
  <c r="F86" i="2"/>
  <c r="H86" i="2" s="1"/>
  <c r="J86" i="2" s="1"/>
  <c r="G86" i="2" l="1"/>
  <c r="I84" i="3"/>
  <c r="F84" i="3"/>
  <c r="H84" i="3" s="1"/>
  <c r="E85" i="3"/>
  <c r="G85" i="3" s="1"/>
  <c r="J85" i="3"/>
  <c r="B85" i="3"/>
  <c r="C85" i="3" s="1"/>
  <c r="A86" i="3"/>
  <c r="D85" i="3"/>
  <c r="I85" i="3" s="1"/>
  <c r="D86" i="2"/>
  <c r="I86" i="2" s="1"/>
  <c r="A88" i="2"/>
  <c r="E87" i="2"/>
  <c r="G87" i="2" s="1"/>
  <c r="F87" i="2"/>
  <c r="H87" i="2" s="1"/>
  <c r="J87" i="2" s="1"/>
  <c r="B87" i="2"/>
  <c r="C87" i="2" s="1"/>
  <c r="F85" i="3" l="1"/>
  <c r="H85" i="3" s="1"/>
  <c r="D87" i="2"/>
  <c r="I87" i="2" s="1"/>
  <c r="A87" i="3"/>
  <c r="E86" i="3"/>
  <c r="G86" i="3" s="1"/>
  <c r="J86" i="3"/>
  <c r="D86" i="3"/>
  <c r="B86" i="3"/>
  <c r="C86" i="3" s="1"/>
  <c r="E88" i="2"/>
  <c r="G88" i="2" s="1"/>
  <c r="A89" i="2"/>
  <c r="F88" i="2"/>
  <c r="H88" i="2" s="1"/>
  <c r="J88" i="2" s="1"/>
  <c r="B88" i="2"/>
  <c r="C88" i="2" s="1"/>
  <c r="F86" i="3" l="1"/>
  <c r="H86" i="3" s="1"/>
  <c r="I86" i="3"/>
  <c r="B87" i="3"/>
  <c r="C87" i="3" s="1"/>
  <c r="A88" i="3"/>
  <c r="E87" i="3"/>
  <c r="G87" i="3" s="1"/>
  <c r="J87" i="3"/>
  <c r="D87" i="3"/>
  <c r="I87" i="3" s="1"/>
  <c r="D88" i="2"/>
  <c r="I88" i="2" s="1"/>
  <c r="A90" i="2"/>
  <c r="E89" i="2"/>
  <c r="G89" i="2" s="1"/>
  <c r="B89" i="2"/>
  <c r="C89" i="2" s="1"/>
  <c r="F89" i="2"/>
  <c r="H89" i="2" s="1"/>
  <c r="J89" i="2" s="1"/>
  <c r="F87" i="3" l="1"/>
  <c r="H87" i="3" s="1"/>
  <c r="D89" i="2"/>
  <c r="I89" i="2" s="1"/>
  <c r="B88" i="3"/>
  <c r="C88" i="3" s="1"/>
  <c r="E88" i="3"/>
  <c r="G88" i="3" s="1"/>
  <c r="J88" i="3"/>
  <c r="A89" i="3"/>
  <c r="D88" i="3"/>
  <c r="F88" i="3" s="1"/>
  <c r="E90" i="2"/>
  <c r="G90" i="2" s="1"/>
  <c r="A91" i="2"/>
  <c r="B90" i="2"/>
  <c r="C90" i="2" s="1"/>
  <c r="F90" i="2"/>
  <c r="H90" i="2" s="1"/>
  <c r="J90" i="2" s="1"/>
  <c r="H88" i="3" l="1"/>
  <c r="I88" i="3"/>
  <c r="E89" i="3"/>
  <c r="G89" i="3" s="1"/>
  <c r="J89" i="3"/>
  <c r="B89" i="3"/>
  <c r="C89" i="3" s="1"/>
  <c r="A90" i="3"/>
  <c r="D89" i="3"/>
  <c r="D90" i="2"/>
  <c r="I90" i="2" s="1"/>
  <c r="A92" i="2"/>
  <c r="E91" i="2"/>
  <c r="G91" i="2" s="1"/>
  <c r="F91" i="2"/>
  <c r="H91" i="2" s="1"/>
  <c r="J91" i="2" s="1"/>
  <c r="B91" i="2"/>
  <c r="C91" i="2" s="1"/>
  <c r="F89" i="3" l="1"/>
  <c r="H89" i="3" s="1"/>
  <c r="I89" i="3"/>
  <c r="E90" i="3"/>
  <c r="G90" i="3" s="1"/>
  <c r="J90" i="3"/>
  <c r="A91" i="3"/>
  <c r="D90" i="3"/>
  <c r="B90" i="3"/>
  <c r="C90" i="3" s="1"/>
  <c r="D91" i="2"/>
  <c r="I91" i="2" s="1"/>
  <c r="E92" i="2"/>
  <c r="G92" i="2" s="1"/>
  <c r="A93" i="2"/>
  <c r="F92" i="2"/>
  <c r="H92" i="2" s="1"/>
  <c r="J92" i="2" s="1"/>
  <c r="B92" i="2"/>
  <c r="C92" i="2" s="1"/>
  <c r="F90" i="3" l="1"/>
  <c r="H90" i="3" s="1"/>
  <c r="I90" i="3"/>
  <c r="D92" i="2"/>
  <c r="I92" i="2" s="1"/>
  <c r="B91" i="3"/>
  <c r="C91" i="3" s="1"/>
  <c r="A92" i="3"/>
  <c r="E91" i="3"/>
  <c r="J91" i="3"/>
  <c r="G91" i="3"/>
  <c r="D91" i="3"/>
  <c r="A94" i="2"/>
  <c r="E93" i="2"/>
  <c r="G93" i="2" s="1"/>
  <c r="B93" i="2"/>
  <c r="C93" i="2" s="1"/>
  <c r="F93" i="2"/>
  <c r="I91" i="3" l="1"/>
  <c r="F91" i="3"/>
  <c r="H91" i="3" s="1"/>
  <c r="D93" i="2"/>
  <c r="I93" i="2" s="1"/>
  <c r="E92" i="3"/>
  <c r="G92" i="3" s="1"/>
  <c r="J92" i="3"/>
  <c r="A93" i="3"/>
  <c r="D92" i="3"/>
  <c r="B92" i="3"/>
  <c r="C92" i="3" s="1"/>
  <c r="H93" i="2"/>
  <c r="J93" i="2" s="1"/>
  <c r="E94" i="2" s="1"/>
  <c r="A95" i="2"/>
  <c r="B94" i="2"/>
  <c r="C94" i="2" s="1"/>
  <c r="F94" i="2"/>
  <c r="F92" i="3" l="1"/>
  <c r="H92" i="3" s="1"/>
  <c r="I92" i="3"/>
  <c r="H94" i="2"/>
  <c r="J94" i="2" s="1"/>
  <c r="B93" i="3"/>
  <c r="C93" i="3" s="1"/>
  <c r="A94" i="3"/>
  <c r="D93" i="3"/>
  <c r="E93" i="3"/>
  <c r="G93" i="3" s="1"/>
  <c r="J93" i="3"/>
  <c r="D94" i="2"/>
  <c r="I94" i="2" s="1"/>
  <c r="G94" i="2"/>
  <c r="A96" i="2"/>
  <c r="E95" i="2"/>
  <c r="F95" i="2"/>
  <c r="B95" i="2"/>
  <c r="C95" i="2" s="1"/>
  <c r="H95" i="2" l="1"/>
  <c r="J95" i="2" s="1"/>
  <c r="F93" i="3"/>
  <c r="H93" i="3" s="1"/>
  <c r="I93" i="3"/>
  <c r="E94" i="3"/>
  <c r="G94" i="3" s="1"/>
  <c r="J94" i="3"/>
  <c r="A95" i="3"/>
  <c r="D94" i="3"/>
  <c r="B94" i="3"/>
  <c r="C94" i="3" s="1"/>
  <c r="D95" i="2"/>
  <c r="I95" i="2" s="1"/>
  <c r="G95" i="2"/>
  <c r="E96" i="2"/>
  <c r="G96" i="2" s="1"/>
  <c r="A97" i="2"/>
  <c r="F96" i="2"/>
  <c r="B96" i="2"/>
  <c r="C96" i="2" s="1"/>
  <c r="F94" i="3" l="1"/>
  <c r="H94" i="3" s="1"/>
  <c r="I94" i="3"/>
  <c r="B95" i="3"/>
  <c r="C95" i="3" s="1"/>
  <c r="A96" i="3"/>
  <c r="E95" i="3"/>
  <c r="D95" i="3"/>
  <c r="I95" i="3" s="1"/>
  <c r="G95" i="3"/>
  <c r="J95" i="3"/>
  <c r="D96" i="2"/>
  <c r="I96" i="2" s="1"/>
  <c r="A98" i="2"/>
  <c r="B97" i="2"/>
  <c r="C97" i="2" s="1"/>
  <c r="F97" i="2"/>
  <c r="H96" i="2"/>
  <c r="J96" i="2" s="1"/>
  <c r="E97" i="2" s="1"/>
  <c r="F95" i="3" l="1"/>
  <c r="H95" i="3" s="1"/>
  <c r="D96" i="3"/>
  <c r="I96" i="3" s="1"/>
  <c r="B96" i="3"/>
  <c r="C96" i="3" s="1"/>
  <c r="E96" i="3"/>
  <c r="F96" i="3" s="1"/>
  <c r="J96" i="3"/>
  <c r="A97" i="3"/>
  <c r="G97" i="2"/>
  <c r="D97" i="2"/>
  <c r="I97" i="2" s="1"/>
  <c r="H97" i="2"/>
  <c r="J97" i="2" s="1"/>
  <c r="E98" i="2" s="1"/>
  <c r="A99" i="2"/>
  <c r="B98" i="2"/>
  <c r="C98" i="2" s="1"/>
  <c r="F98" i="2"/>
  <c r="H96" i="3" l="1"/>
  <c r="H98" i="2"/>
  <c r="J98" i="2" s="1"/>
  <c r="E99" i="2" s="1"/>
  <c r="G96" i="3"/>
  <c r="B97" i="3"/>
  <c r="C97" i="3" s="1"/>
  <c r="A98" i="3"/>
  <c r="D97" i="3"/>
  <c r="E97" i="3"/>
  <c r="G97" i="3" s="1"/>
  <c r="J97" i="3"/>
  <c r="G98" i="2"/>
  <c r="D98" i="2"/>
  <c r="I98" i="2" s="1"/>
  <c r="A100" i="2"/>
  <c r="F99" i="2"/>
  <c r="H99" i="2" s="1"/>
  <c r="J99" i="2" s="1"/>
  <c r="B99" i="2"/>
  <c r="C99" i="2" s="1"/>
  <c r="F97" i="3" l="1"/>
  <c r="H97" i="3" s="1"/>
  <c r="G99" i="2"/>
  <c r="I97" i="3"/>
  <c r="D98" i="3"/>
  <c r="B98" i="3"/>
  <c r="C98" i="3" s="1"/>
  <c r="J98" i="3"/>
  <c r="E98" i="3"/>
  <c r="G98" i="3" s="1"/>
  <c r="A99" i="3"/>
  <c r="E100" i="2"/>
  <c r="G100" i="2" s="1"/>
  <c r="A101" i="2"/>
  <c r="F100" i="2"/>
  <c r="B100" i="2"/>
  <c r="C100" i="2" s="1"/>
  <c r="D99" i="2"/>
  <c r="I99" i="2" s="1"/>
  <c r="I98" i="3" l="1"/>
  <c r="D100" i="2"/>
  <c r="F98" i="3"/>
  <c r="H98" i="3" s="1"/>
  <c r="H100" i="2"/>
  <c r="J100" i="2" s="1"/>
  <c r="E99" i="3"/>
  <c r="G99" i="3" s="1"/>
  <c r="J99" i="3"/>
  <c r="B99" i="3"/>
  <c r="C99" i="3" s="1"/>
  <c r="A100" i="3"/>
  <c r="D99" i="3"/>
  <c r="I99" i="3" s="1"/>
  <c r="I100" i="2"/>
  <c r="A102" i="2"/>
  <c r="E101" i="2"/>
  <c r="G101" i="2" s="1"/>
  <c r="B101" i="2"/>
  <c r="C101" i="2" s="1"/>
  <c r="F101" i="2"/>
  <c r="H101" i="2" s="1"/>
  <c r="J101" i="2" s="1"/>
  <c r="F99" i="3" l="1"/>
  <c r="H99" i="3" s="1"/>
  <c r="B100" i="3"/>
  <c r="C100" i="3" s="1"/>
  <c r="A101" i="3"/>
  <c r="D100" i="3"/>
  <c r="I100" i="3" s="1"/>
  <c r="J100" i="3"/>
  <c r="E100" i="3"/>
  <c r="G100" i="3" s="1"/>
  <c r="D101" i="2"/>
  <c r="I101" i="2" s="1"/>
  <c r="E102" i="2"/>
  <c r="G102" i="2" s="1"/>
  <c r="A103" i="2"/>
  <c r="B102" i="2"/>
  <c r="C102" i="2" s="1"/>
  <c r="F102" i="2"/>
  <c r="H102" i="2" s="1"/>
  <c r="J102" i="2" s="1"/>
  <c r="D101" i="3" l="1"/>
  <c r="I101" i="3" s="1"/>
  <c r="E101" i="3"/>
  <c r="G101" i="3" s="1"/>
  <c r="J101" i="3"/>
  <c r="B101" i="3"/>
  <c r="C101" i="3" s="1"/>
  <c r="A102" i="3"/>
  <c r="F100" i="3"/>
  <c r="H100" i="3" s="1"/>
  <c r="D102" i="2"/>
  <c r="I102" i="2" s="1"/>
  <c r="A104" i="2"/>
  <c r="E103" i="2"/>
  <c r="G103" i="2" s="1"/>
  <c r="F103" i="2"/>
  <c r="H103" i="2" s="1"/>
  <c r="J103" i="2" s="1"/>
  <c r="B103" i="2"/>
  <c r="C103" i="2" s="1"/>
  <c r="D102" i="3" l="1"/>
  <c r="I102" i="3" s="1"/>
  <c r="J102" i="3"/>
  <c r="A103" i="3"/>
  <c r="B102" i="3"/>
  <c r="C102" i="3" s="1"/>
  <c r="E102" i="3"/>
  <c r="G102" i="3" s="1"/>
  <c r="F101" i="3"/>
  <c r="H101" i="3" s="1"/>
  <c r="D103" i="2"/>
  <c r="I103" i="2" s="1"/>
  <c r="E104" i="2"/>
  <c r="G104" i="2" s="1"/>
  <c r="A105" i="2"/>
  <c r="F104" i="2"/>
  <c r="B104" i="2"/>
  <c r="C104" i="2" s="1"/>
  <c r="D104" i="2" l="1"/>
  <c r="I104" i="2" s="1"/>
  <c r="D103" i="3"/>
  <c r="I103" i="3" s="1"/>
  <c r="B103" i="3"/>
  <c r="C103" i="3" s="1"/>
  <c r="E103" i="3"/>
  <c r="G103" i="3" s="1"/>
  <c r="J103" i="3"/>
  <c r="A104" i="3"/>
  <c r="F102" i="3"/>
  <c r="H102" i="3" s="1"/>
  <c r="A106" i="2"/>
  <c r="B105" i="2"/>
  <c r="C105" i="2" s="1"/>
  <c r="F105" i="2"/>
  <c r="H104" i="2"/>
  <c r="J104" i="2" s="1"/>
  <c r="E105" i="2" s="1"/>
  <c r="F103" i="3" l="1"/>
  <c r="H103" i="3" s="1"/>
  <c r="D104" i="3"/>
  <c r="J104" i="3"/>
  <c r="E104" i="3"/>
  <c r="G104" i="3" s="1"/>
  <c r="B104" i="3"/>
  <c r="C104" i="3" s="1"/>
  <c r="I104" i="3"/>
  <c r="A105" i="3"/>
  <c r="G105" i="2"/>
  <c r="D105" i="2"/>
  <c r="I105" i="2" s="1"/>
  <c r="H105" i="2"/>
  <c r="J105" i="2" s="1"/>
  <c r="E106" i="2" s="1"/>
  <c r="A107" i="2"/>
  <c r="B106" i="2"/>
  <c r="C106" i="2" s="1"/>
  <c r="F106" i="2"/>
  <c r="F104" i="3" l="1"/>
  <c r="H104" i="3" s="1"/>
  <c r="G106" i="2"/>
  <c r="D106" i="2"/>
  <c r="I106" i="2" s="1"/>
  <c r="A106" i="3"/>
  <c r="E105" i="3"/>
  <c r="B105" i="3"/>
  <c r="C105" i="3" s="1"/>
  <c r="D105" i="3"/>
  <c r="I105" i="3" s="1"/>
  <c r="J105" i="3"/>
  <c r="G105" i="3"/>
  <c r="H106" i="2"/>
  <c r="J106" i="2" s="1"/>
  <c r="E107" i="2" s="1"/>
  <c r="G107" i="2" s="1"/>
  <c r="A108" i="2"/>
  <c r="F107" i="2"/>
  <c r="B107" i="2"/>
  <c r="C107" i="2" s="1"/>
  <c r="H107" i="2" l="1"/>
  <c r="J107" i="2" s="1"/>
  <c r="F105" i="3"/>
  <c r="H105" i="3" s="1"/>
  <c r="J106" i="3"/>
  <c r="A107" i="3"/>
  <c r="B106" i="3"/>
  <c r="C106" i="3" s="1"/>
  <c r="D106" i="3"/>
  <c r="E106" i="3"/>
  <c r="G106" i="3" s="1"/>
  <c r="A109" i="2"/>
  <c r="E108" i="2"/>
  <c r="G108" i="2" s="1"/>
  <c r="F108" i="2"/>
  <c r="H108" i="2" s="1"/>
  <c r="J108" i="2" s="1"/>
  <c r="B108" i="2"/>
  <c r="C108" i="2" s="1"/>
  <c r="D107" i="2"/>
  <c r="I107" i="2" s="1"/>
  <c r="F106" i="3" l="1"/>
  <c r="H106" i="3" s="1"/>
  <c r="I106" i="3"/>
  <c r="E107" i="3"/>
  <c r="G107" i="3" s="1"/>
  <c r="B107" i="3"/>
  <c r="C107" i="3" s="1"/>
  <c r="J107" i="3"/>
  <c r="D107" i="3"/>
  <c r="F107" i="3"/>
  <c r="I107" i="3"/>
  <c r="A108" i="3"/>
  <c r="D108" i="2"/>
  <c r="I108" i="2" s="1"/>
  <c r="E109" i="2"/>
  <c r="F109" i="2"/>
  <c r="A110" i="2"/>
  <c r="B109" i="2"/>
  <c r="C109" i="2" s="1"/>
  <c r="G109" i="2"/>
  <c r="H109" i="2"/>
  <c r="J109" i="2" s="1"/>
  <c r="H107" i="3" l="1"/>
  <c r="J108" i="3"/>
  <c r="E108" i="3"/>
  <c r="G108" i="3" s="1"/>
  <c r="D108" i="3"/>
  <c r="I108" i="3" s="1"/>
  <c r="B108" i="3"/>
  <c r="C108" i="3" s="1"/>
  <c r="A109" i="3"/>
  <c r="D109" i="2"/>
  <c r="I109" i="2" s="1"/>
  <c r="A111" i="2"/>
  <c r="E110" i="2"/>
  <c r="F110" i="2"/>
  <c r="B110" i="2"/>
  <c r="C110" i="2" s="1"/>
  <c r="H110" i="2"/>
  <c r="J110" i="2" s="1"/>
  <c r="F108" i="3" l="1"/>
  <c r="H108" i="3" s="1"/>
  <c r="A110" i="3"/>
  <c r="E109" i="3"/>
  <c r="G109" i="3" s="1"/>
  <c r="D109" i="3"/>
  <c r="B109" i="3"/>
  <c r="C109" i="3" s="1"/>
  <c r="J109" i="3"/>
  <c r="D110" i="2"/>
  <c r="I110" i="2" s="1"/>
  <c r="E111" i="2"/>
  <c r="F111" i="2"/>
  <c r="A112" i="2"/>
  <c r="B111" i="2"/>
  <c r="C111" i="2" s="1"/>
  <c r="G110" i="2"/>
  <c r="G111" i="2" s="1"/>
  <c r="F109" i="3" l="1"/>
  <c r="H109" i="3" s="1"/>
  <c r="I109" i="3"/>
  <c r="D111" i="2"/>
  <c r="I111" i="2" s="1"/>
  <c r="E110" i="3"/>
  <c r="G110" i="3" s="1"/>
  <c r="B110" i="3"/>
  <c r="C110" i="3" s="1"/>
  <c r="A111" i="3"/>
  <c r="D110" i="3"/>
  <c r="J110" i="3"/>
  <c r="H111" i="2"/>
  <c r="J111" i="2" s="1"/>
  <c r="E112" i="2" s="1"/>
  <c r="G112" i="2" s="1"/>
  <c r="A113" i="2"/>
  <c r="F112" i="2"/>
  <c r="B112" i="2"/>
  <c r="C112" i="2" s="1"/>
  <c r="F110" i="3" l="1"/>
  <c r="H110" i="3" s="1"/>
  <c r="B111" i="3"/>
  <c r="C111" i="3" s="1"/>
  <c r="J111" i="3"/>
  <c r="D111" i="3"/>
  <c r="A112" i="3"/>
  <c r="E111" i="3"/>
  <c r="G111" i="3" s="1"/>
  <c r="I110" i="3"/>
  <c r="I111" i="3" s="1"/>
  <c r="H112" i="2"/>
  <c r="J112" i="2" s="1"/>
  <c r="E113" i="2" s="1"/>
  <c r="B113" i="2"/>
  <c r="C113" i="2" s="1"/>
  <c r="A114" i="2"/>
  <c r="F113" i="2"/>
  <c r="H113" i="2" s="1"/>
  <c r="J113" i="2" s="1"/>
  <c r="D112" i="2"/>
  <c r="I112" i="2" s="1"/>
  <c r="F111" i="3" l="1"/>
  <c r="H111" i="3" s="1"/>
  <c r="A113" i="3"/>
  <c r="B112" i="3"/>
  <c r="C112" i="3" s="1"/>
  <c r="D112" i="3"/>
  <c r="I112" i="3" s="1"/>
  <c r="J112" i="3"/>
  <c r="E112" i="3"/>
  <c r="G112" i="3" s="1"/>
  <c r="D113" i="2"/>
  <c r="I113" i="2" s="1"/>
  <c r="G113" i="2"/>
  <c r="B114" i="2"/>
  <c r="C114" i="2" s="1"/>
  <c r="E114" i="2"/>
  <c r="F114" i="2"/>
  <c r="H114" i="2" s="1"/>
  <c r="J114" i="2" s="1"/>
  <c r="A115" i="2"/>
  <c r="G114" i="2" l="1"/>
  <c r="F112" i="3"/>
  <c r="H112" i="3" s="1"/>
  <c r="E113" i="3"/>
  <c r="B113" i="3"/>
  <c r="C113" i="3" s="1"/>
  <c r="A114" i="3"/>
  <c r="D113" i="3"/>
  <c r="J113" i="3"/>
  <c r="G113" i="3"/>
  <c r="D114" i="2"/>
  <c r="I114" i="2" s="1"/>
  <c r="B115" i="2"/>
  <c r="C115" i="2" s="1"/>
  <c r="F115" i="2"/>
  <c r="H115" i="2" s="1"/>
  <c r="J115" i="2" s="1"/>
  <c r="A116" i="2"/>
  <c r="E115" i="2"/>
  <c r="F113" i="3" l="1"/>
  <c r="H113" i="3" s="1"/>
  <c r="I113" i="3"/>
  <c r="G115" i="2"/>
  <c r="D114" i="3"/>
  <c r="B114" i="3"/>
  <c r="C114" i="3" s="1"/>
  <c r="J114" i="3"/>
  <c r="E114" i="3"/>
  <c r="G114" i="3" s="1"/>
  <c r="A115" i="3"/>
  <c r="D115" i="2"/>
  <c r="I115" i="2" s="1"/>
  <c r="E116" i="2"/>
  <c r="G116" i="2" s="1"/>
  <c r="B116" i="2"/>
  <c r="C116" i="2" s="1"/>
  <c r="F116" i="2"/>
  <c r="H116" i="2" s="1"/>
  <c r="J116" i="2" s="1"/>
  <c r="A117" i="2"/>
  <c r="F114" i="3" l="1"/>
  <c r="H114" i="3" s="1"/>
  <c r="I114" i="3"/>
  <c r="D115" i="3"/>
  <c r="A116" i="3"/>
  <c r="E115" i="3"/>
  <c r="G115" i="3" s="1"/>
  <c r="B115" i="3"/>
  <c r="C115" i="3" s="1"/>
  <c r="J115" i="3"/>
  <c r="D116" i="2"/>
  <c r="I116" i="2" s="1"/>
  <c r="B117" i="2"/>
  <c r="C117" i="2" s="1"/>
  <c r="F117" i="2"/>
  <c r="H117" i="2" s="1"/>
  <c r="J117" i="2" s="1"/>
  <c r="A118" i="2"/>
  <c r="E117" i="2"/>
  <c r="G117" i="2" s="1"/>
  <c r="F115" i="3" l="1"/>
  <c r="H115" i="3" s="1"/>
  <c r="I115" i="3"/>
  <c r="E116" i="3"/>
  <c r="G116" i="3" s="1"/>
  <c r="B116" i="3"/>
  <c r="C116" i="3" s="1"/>
  <c r="A117" i="3"/>
  <c r="J116" i="3"/>
  <c r="D116" i="3"/>
  <c r="F116" i="3" s="1"/>
  <c r="H116" i="3" s="1"/>
  <c r="D117" i="2"/>
  <c r="I117" i="2" s="1"/>
  <c r="E118" i="2"/>
  <c r="G118" i="2" s="1"/>
  <c r="B118" i="2"/>
  <c r="C118" i="2" s="1"/>
  <c r="F118" i="2"/>
  <c r="D118" i="2" s="1"/>
  <c r="A119" i="2"/>
  <c r="I116" i="3" l="1"/>
  <c r="A118" i="3"/>
  <c r="E117" i="3"/>
  <c r="G117" i="3" s="1"/>
  <c r="D117" i="3"/>
  <c r="B117" i="3"/>
  <c r="C117" i="3" s="1"/>
  <c r="J117" i="3"/>
  <c r="I118" i="2"/>
  <c r="B119" i="2"/>
  <c r="C119" i="2" s="1"/>
  <c r="F119" i="2"/>
  <c r="H119" i="2" s="1"/>
  <c r="J119" i="2" s="1"/>
  <c r="A120" i="2"/>
  <c r="H118" i="2"/>
  <c r="J118" i="2" s="1"/>
  <c r="E119" i="2" s="1"/>
  <c r="F117" i="3" l="1"/>
  <c r="H117" i="3" s="1"/>
  <c r="I117" i="3"/>
  <c r="B118" i="3"/>
  <c r="C118" i="3" s="1"/>
  <c r="A119" i="3"/>
  <c r="D118" i="3"/>
  <c r="J118" i="3"/>
  <c r="E118" i="3"/>
  <c r="G118" i="3" s="1"/>
  <c r="D119" i="2"/>
  <c r="I119" i="2" s="1"/>
  <c r="G119" i="2"/>
  <c r="E120" i="2"/>
  <c r="B120" i="2"/>
  <c r="C120" i="2" s="1"/>
  <c r="F120" i="2"/>
  <c r="H120" i="2" s="1"/>
  <c r="J120" i="2" s="1"/>
  <c r="A121" i="2"/>
  <c r="F118" i="3" l="1"/>
  <c r="H118" i="3" s="1"/>
  <c r="I118" i="3"/>
  <c r="B119" i="3"/>
  <c r="C119" i="3" s="1"/>
  <c r="J119" i="3"/>
  <c r="D119" i="3"/>
  <c r="A120" i="3"/>
  <c r="E119" i="3"/>
  <c r="G119" i="3" s="1"/>
  <c r="D120" i="2"/>
  <c r="I120" i="2" s="1"/>
  <c r="G120" i="2"/>
  <c r="B121" i="2"/>
  <c r="C121" i="2" s="1"/>
  <c r="F121" i="2"/>
  <c r="H121" i="2" s="1"/>
  <c r="J121" i="2" s="1"/>
  <c r="A122" i="2"/>
  <c r="E121" i="2"/>
  <c r="F119" i="3" l="1"/>
  <c r="H119" i="3" s="1"/>
  <c r="D121" i="2"/>
  <c r="I119" i="3"/>
  <c r="G121" i="2"/>
  <c r="A121" i="3"/>
  <c r="D120" i="3"/>
  <c r="B120" i="3"/>
  <c r="C120" i="3" s="1"/>
  <c r="J120" i="3"/>
  <c r="E120" i="3"/>
  <c r="G120" i="3" s="1"/>
  <c r="I121" i="2"/>
  <c r="E122" i="2"/>
  <c r="B122" i="2"/>
  <c r="C122" i="2" s="1"/>
  <c r="F122" i="2"/>
  <c r="H122" i="2" s="1"/>
  <c r="J122" i="2" s="1"/>
  <c r="A123" i="2"/>
  <c r="I120" i="3" l="1"/>
  <c r="D122" i="2"/>
  <c r="F120" i="3"/>
  <c r="H120" i="3" s="1"/>
  <c r="A122" i="3"/>
  <c r="E121" i="3"/>
  <c r="B121" i="3"/>
  <c r="C121" i="3" s="1"/>
  <c r="D121" i="3"/>
  <c r="J121" i="3"/>
  <c r="G121" i="3"/>
  <c r="I122" i="2"/>
  <c r="B123" i="2"/>
  <c r="C123" i="2" s="1"/>
  <c r="F123" i="2"/>
  <c r="H123" i="2" s="1"/>
  <c r="J123" i="2" s="1"/>
  <c r="A124" i="2"/>
  <c r="E123" i="2"/>
  <c r="G122" i="2"/>
  <c r="I121" i="3" l="1"/>
  <c r="F121" i="3"/>
  <c r="H121" i="3" s="1"/>
  <c r="D123" i="2"/>
  <c r="I123" i="2" s="1"/>
  <c r="J122" i="3"/>
  <c r="A123" i="3"/>
  <c r="B122" i="3"/>
  <c r="C122" i="3" s="1"/>
  <c r="E122" i="3"/>
  <c r="G122" i="3" s="1"/>
  <c r="D122" i="3"/>
  <c r="I122" i="3" s="1"/>
  <c r="G123" i="2"/>
  <c r="E124" i="2"/>
  <c r="B124" i="2"/>
  <c r="C124" i="2" s="1"/>
  <c r="F124" i="2"/>
  <c r="H124" i="2" s="1"/>
  <c r="J124" i="2" s="1"/>
  <c r="A125" i="2"/>
  <c r="D124" i="2" l="1"/>
  <c r="I124" i="2" s="1"/>
  <c r="F122" i="3"/>
  <c r="H122" i="3" s="1"/>
  <c r="D123" i="3"/>
  <c r="J123" i="3"/>
  <c r="A124" i="3"/>
  <c r="E123" i="3"/>
  <c r="G123" i="3" s="1"/>
  <c r="B123" i="3"/>
  <c r="C123" i="3" s="1"/>
  <c r="G124" i="2"/>
  <c r="B125" i="2"/>
  <c r="C125" i="2" s="1"/>
  <c r="F125" i="2"/>
  <c r="H125" i="2" s="1"/>
  <c r="J125" i="2" s="1"/>
  <c r="A126" i="2"/>
  <c r="E125" i="2"/>
  <c r="G125" i="2" s="1"/>
  <c r="F123" i="3" l="1"/>
  <c r="H123" i="3" s="1"/>
  <c r="J124" i="3"/>
  <c r="E124" i="3"/>
  <c r="D124" i="3"/>
  <c r="B124" i="3"/>
  <c r="C124" i="3" s="1"/>
  <c r="A125" i="3"/>
  <c r="G124" i="3"/>
  <c r="I123" i="3"/>
  <c r="D125" i="2"/>
  <c r="I125" i="2" s="1"/>
  <c r="E126" i="2"/>
  <c r="B126" i="2"/>
  <c r="C126" i="2" s="1"/>
  <c r="F126" i="2"/>
  <c r="H126" i="2" s="1"/>
  <c r="J126" i="2" s="1"/>
  <c r="A127" i="2"/>
  <c r="G126" i="2"/>
  <c r="I124" i="3" l="1"/>
  <c r="D126" i="2"/>
  <c r="I126" i="2" s="1"/>
  <c r="F124" i="3"/>
  <c r="H124" i="3" s="1"/>
  <c r="D125" i="3"/>
  <c r="B125" i="3"/>
  <c r="C125" i="3" s="1"/>
  <c r="J125" i="3"/>
  <c r="E125" i="3"/>
  <c r="G125" i="3" s="1"/>
  <c r="A126" i="3"/>
  <c r="B127" i="2"/>
  <c r="C127" i="2" s="1"/>
  <c r="F127" i="2"/>
  <c r="H127" i="2" s="1"/>
  <c r="J127" i="2" s="1"/>
  <c r="A128" i="2"/>
  <c r="E127" i="2"/>
  <c r="G127" i="2" s="1"/>
  <c r="I125" i="3" l="1"/>
  <c r="F125" i="3"/>
  <c r="H125" i="3" s="1"/>
  <c r="E126" i="3"/>
  <c r="G126" i="3" s="1"/>
  <c r="B126" i="3"/>
  <c r="C126" i="3" s="1"/>
  <c r="A127" i="3"/>
  <c r="D126" i="3"/>
  <c r="I126" i="3" s="1"/>
  <c r="J126" i="3"/>
  <c r="D127" i="2"/>
  <c r="I127" i="2" s="1"/>
  <c r="E128" i="2"/>
  <c r="G128" i="2" s="1"/>
  <c r="B128" i="2"/>
  <c r="C128" i="2" s="1"/>
  <c r="F128" i="2"/>
  <c r="H128" i="2" s="1"/>
  <c r="J128" i="2" s="1"/>
  <c r="A129" i="2"/>
  <c r="F126" i="3" l="1"/>
  <c r="H126" i="3" s="1"/>
  <c r="E127" i="3"/>
  <c r="G127" i="3" s="1"/>
  <c r="B127" i="3"/>
  <c r="C127" i="3" s="1"/>
  <c r="J127" i="3"/>
  <c r="D127" i="3"/>
  <c r="I127" i="3" s="1"/>
  <c r="A128" i="3"/>
  <c r="D128" i="2"/>
  <c r="I128" i="2" s="1"/>
  <c r="B129" i="2"/>
  <c r="C129" i="2" s="1"/>
  <c r="F129" i="2"/>
  <c r="H129" i="2" s="1"/>
  <c r="J129" i="2" s="1"/>
  <c r="A130" i="2"/>
  <c r="E129" i="2"/>
  <c r="G129" i="2" s="1"/>
  <c r="F127" i="3" l="1"/>
  <c r="H127" i="3" s="1"/>
  <c r="J128" i="3"/>
  <c r="E128" i="3"/>
  <c r="A129" i="3"/>
  <c r="B128" i="3"/>
  <c r="C128" i="3" s="1"/>
  <c r="D128" i="3"/>
  <c r="G128" i="3"/>
  <c r="D129" i="2"/>
  <c r="I129" i="2" s="1"/>
  <c r="E130" i="2"/>
  <c r="B130" i="2"/>
  <c r="C130" i="2" s="1"/>
  <c r="F130" i="2"/>
  <c r="H130" i="2" s="1"/>
  <c r="J130" i="2" s="1"/>
  <c r="A131" i="2"/>
  <c r="F128" i="3" l="1"/>
  <c r="H128" i="3" s="1"/>
  <c r="D130" i="2"/>
  <c r="G130" i="2"/>
  <c r="E129" i="3"/>
  <c r="D129" i="3"/>
  <c r="J129" i="3"/>
  <c r="A130" i="3"/>
  <c r="B129" i="3"/>
  <c r="C129" i="3" s="1"/>
  <c r="I128" i="3"/>
  <c r="I130" i="2"/>
  <c r="B131" i="2"/>
  <c r="C131" i="2" s="1"/>
  <c r="F131" i="2"/>
  <c r="H131" i="2" s="1"/>
  <c r="J131" i="2" s="1"/>
  <c r="A132" i="2"/>
  <c r="E131" i="2"/>
  <c r="D131" i="2" l="1"/>
  <c r="I131" i="2" s="1"/>
  <c r="I129" i="3"/>
  <c r="F129" i="3"/>
  <c r="H129" i="3" s="1"/>
  <c r="E130" i="3"/>
  <c r="J130" i="3"/>
  <c r="A131" i="3"/>
  <c r="D130" i="3"/>
  <c r="I130" i="3" s="1"/>
  <c r="B130" i="3"/>
  <c r="C130" i="3" s="1"/>
  <c r="G129" i="3"/>
  <c r="G131" i="2"/>
  <c r="B132" i="2"/>
  <c r="C132" i="2" s="1"/>
  <c r="F132" i="2"/>
  <c r="H132" i="2" s="1"/>
  <c r="J132" i="2" s="1"/>
  <c r="A133" i="2"/>
  <c r="E132" i="2"/>
  <c r="G130" i="3" l="1"/>
  <c r="D131" i="3"/>
  <c r="I131" i="3" s="1"/>
  <c r="E131" i="3"/>
  <c r="J131" i="3"/>
  <c r="A132" i="3"/>
  <c r="B131" i="3"/>
  <c r="C131" i="3" s="1"/>
  <c r="F130" i="3"/>
  <c r="H130" i="3" s="1"/>
  <c r="D132" i="2"/>
  <c r="I132" i="2" s="1"/>
  <c r="B133" i="2"/>
  <c r="C133" i="2" s="1"/>
  <c r="F133" i="2"/>
  <c r="H133" i="2" s="1"/>
  <c r="J133" i="2" s="1"/>
  <c r="A134" i="2"/>
  <c r="E133" i="2"/>
  <c r="G132" i="2"/>
  <c r="G131" i="3" l="1"/>
  <c r="F131" i="3"/>
  <c r="H131" i="3" s="1"/>
  <c r="D132" i="3"/>
  <c r="B132" i="3"/>
  <c r="C132" i="3" s="1"/>
  <c r="E132" i="3"/>
  <c r="G132" i="3" s="1"/>
  <c r="J132" i="3"/>
  <c r="A133" i="3"/>
  <c r="I132" i="3"/>
  <c r="G133" i="2"/>
  <c r="B134" i="2"/>
  <c r="C134" i="2" s="1"/>
  <c r="F134" i="2"/>
  <c r="H134" i="2" s="1"/>
  <c r="J134" i="2" s="1"/>
  <c r="E134" i="2"/>
  <c r="A135" i="2"/>
  <c r="D133" i="2"/>
  <c r="I133" i="2" s="1"/>
  <c r="G134" i="2" l="1"/>
  <c r="E133" i="3"/>
  <c r="G133" i="3" s="1"/>
  <c r="J133" i="3"/>
  <c r="D133" i="3"/>
  <c r="B133" i="3"/>
  <c r="C133" i="3" s="1"/>
  <c r="A134" i="3"/>
  <c r="F132" i="3"/>
  <c r="H132" i="3" s="1"/>
  <c r="D134" i="2"/>
  <c r="I134" i="2" s="1"/>
  <c r="B135" i="2"/>
  <c r="C135" i="2" s="1"/>
  <c r="F135" i="2"/>
  <c r="A136" i="2"/>
  <c r="E135" i="2"/>
  <c r="G135" i="2" s="1"/>
  <c r="F133" i="3" l="1"/>
  <c r="H133" i="3" s="1"/>
  <c r="B134" i="3"/>
  <c r="C134" i="3" s="1"/>
  <c r="A135" i="3"/>
  <c r="E134" i="3"/>
  <c r="G134" i="3" s="1"/>
  <c r="J134" i="3"/>
  <c r="D134" i="3"/>
  <c r="I133" i="3"/>
  <c r="D135" i="2"/>
  <c r="I135" i="2" s="1"/>
  <c r="B136" i="2"/>
  <c r="C136" i="2" s="1"/>
  <c r="F136" i="2"/>
  <c r="H136" i="2" s="1"/>
  <c r="J136" i="2" s="1"/>
  <c r="A137" i="2"/>
  <c r="H135" i="2"/>
  <c r="J135" i="2" s="1"/>
  <c r="E136" i="2" s="1"/>
  <c r="I134" i="3" l="1"/>
  <c r="F134" i="3"/>
  <c r="H134" i="3" s="1"/>
  <c r="B135" i="3"/>
  <c r="C135" i="3" s="1"/>
  <c r="D135" i="3"/>
  <c r="I135" i="3" s="1"/>
  <c r="A136" i="3"/>
  <c r="E135" i="3"/>
  <c r="J135" i="3"/>
  <c r="D136" i="2"/>
  <c r="I136" i="2" s="1"/>
  <c r="G136" i="2"/>
  <c r="B137" i="2"/>
  <c r="C137" i="2" s="1"/>
  <c r="F137" i="2"/>
  <c r="H137" i="2" s="1"/>
  <c r="J137" i="2" s="1"/>
  <c r="A138" i="2"/>
  <c r="E137" i="2"/>
  <c r="F135" i="3" l="1"/>
  <c r="H135" i="3" s="1"/>
  <c r="E136" i="3"/>
  <c r="J136" i="3"/>
  <c r="B136" i="3"/>
  <c r="C136" i="3" s="1"/>
  <c r="A137" i="3"/>
  <c r="D136" i="3"/>
  <c r="F136" i="3" s="1"/>
  <c r="G135" i="3"/>
  <c r="G136" i="3" s="1"/>
  <c r="D137" i="2"/>
  <c r="I137" i="2" s="1"/>
  <c r="G137" i="2"/>
  <c r="B138" i="2"/>
  <c r="C138" i="2" s="1"/>
  <c r="F138" i="2"/>
  <c r="H138" i="2" s="1"/>
  <c r="J138" i="2" s="1"/>
  <c r="E138" i="2"/>
  <c r="A139" i="2"/>
  <c r="I136" i="3" l="1"/>
  <c r="H136" i="3"/>
  <c r="D137" i="3"/>
  <c r="E137" i="3"/>
  <c r="J137" i="3"/>
  <c r="B137" i="3"/>
  <c r="C137" i="3" s="1"/>
  <c r="A138" i="3"/>
  <c r="D138" i="2"/>
  <c r="I138" i="2" s="1"/>
  <c r="G138" i="2"/>
  <c r="F139" i="2"/>
  <c r="H139" i="2" s="1"/>
  <c r="J139" i="2" s="1"/>
  <c r="A140" i="2"/>
  <c r="B139" i="2"/>
  <c r="C139" i="2" s="1"/>
  <c r="E139" i="2"/>
  <c r="F137" i="3" l="1"/>
  <c r="H137" i="3" s="1"/>
  <c r="G137" i="3"/>
  <c r="I137" i="3"/>
  <c r="B138" i="3"/>
  <c r="C138" i="3" s="1"/>
  <c r="E138" i="3"/>
  <c r="G138" i="3" s="1"/>
  <c r="J138" i="3"/>
  <c r="A139" i="3"/>
  <c r="D138" i="3"/>
  <c r="F138" i="3" s="1"/>
  <c r="H138" i="3" s="1"/>
  <c r="D139" i="2"/>
  <c r="I139" i="2" s="1"/>
  <c r="B140" i="2"/>
  <c r="C140" i="2" s="1"/>
  <c r="F140" i="2"/>
  <c r="H140" i="2" s="1"/>
  <c r="J140" i="2" s="1"/>
  <c r="E140" i="2"/>
  <c r="A141" i="2"/>
  <c r="G139" i="2"/>
  <c r="I138" i="3" l="1"/>
  <c r="E139" i="3"/>
  <c r="G139" i="3" s="1"/>
  <c r="D139" i="3"/>
  <c r="F139" i="3" s="1"/>
  <c r="H139" i="3" s="1"/>
  <c r="J139" i="3"/>
  <c r="B139" i="3"/>
  <c r="C139" i="3" s="1"/>
  <c r="A140" i="3"/>
  <c r="D140" i="2"/>
  <c r="I140" i="2" s="1"/>
  <c r="G140" i="2"/>
  <c r="B141" i="2"/>
  <c r="C141" i="2" s="1"/>
  <c r="E141" i="2"/>
  <c r="F141" i="2"/>
  <c r="H141" i="2" s="1"/>
  <c r="J141" i="2" s="1"/>
  <c r="A142" i="2"/>
  <c r="D141" i="2" l="1"/>
  <c r="I141" i="2" s="1"/>
  <c r="I139" i="3"/>
  <c r="D140" i="3"/>
  <c r="J140" i="3"/>
  <c r="E140" i="3"/>
  <c r="A141" i="3"/>
  <c r="G140" i="3"/>
  <c r="B140" i="3"/>
  <c r="C140" i="3" s="1"/>
  <c r="G141" i="2"/>
  <c r="B142" i="2"/>
  <c r="C142" i="2" s="1"/>
  <c r="F142" i="2"/>
  <c r="E142" i="2"/>
  <c r="A143" i="2"/>
  <c r="F140" i="3" l="1"/>
  <c r="H140" i="3" s="1"/>
  <c r="D142" i="2"/>
  <c r="I142" i="2" s="1"/>
  <c r="I140" i="3"/>
  <c r="G142" i="2"/>
  <c r="B141" i="3"/>
  <c r="C141" i="3" s="1"/>
  <c r="D141" i="3"/>
  <c r="E141" i="3"/>
  <c r="G141" i="3" s="1"/>
  <c r="J141" i="3"/>
  <c r="A142" i="3"/>
  <c r="F143" i="2"/>
  <c r="A144" i="2"/>
  <c r="B143" i="2"/>
  <c r="C143" i="2" s="1"/>
  <c r="H142" i="2"/>
  <c r="J142" i="2" s="1"/>
  <c r="E143" i="2" s="1"/>
  <c r="I141" i="3" l="1"/>
  <c r="D142" i="3"/>
  <c r="J142" i="3"/>
  <c r="A143" i="3"/>
  <c r="B142" i="3"/>
  <c r="C142" i="3" s="1"/>
  <c r="E142" i="3"/>
  <c r="G142" i="3" s="1"/>
  <c r="F141" i="3"/>
  <c r="H141" i="3" s="1"/>
  <c r="H143" i="2"/>
  <c r="J143" i="2" s="1"/>
  <c r="E144" i="2" s="1"/>
  <c r="D143" i="2"/>
  <c r="I143" i="2" s="1"/>
  <c r="G143" i="2"/>
  <c r="A145" i="2"/>
  <c r="B144" i="2"/>
  <c r="C144" i="2" s="1"/>
  <c r="F144" i="2"/>
  <c r="I142" i="3" l="1"/>
  <c r="H144" i="2"/>
  <c r="J144" i="2" s="1"/>
  <c r="G144" i="2"/>
  <c r="F142" i="3"/>
  <c r="H142" i="3" s="1"/>
  <c r="J143" i="3"/>
  <c r="A144" i="3"/>
  <c r="B143" i="3"/>
  <c r="C143" i="3" s="1"/>
  <c r="D143" i="3"/>
  <c r="I143" i="3" s="1"/>
  <c r="E143" i="3"/>
  <c r="G143" i="3" s="1"/>
  <c r="D144" i="2"/>
  <c r="I144" i="2" s="1"/>
  <c r="E145" i="2"/>
  <c r="G145" i="2" s="1"/>
  <c r="B145" i="2"/>
  <c r="C145" i="2" s="1"/>
  <c r="F145" i="2"/>
  <c r="H145" i="2" s="1"/>
  <c r="J145" i="2" s="1"/>
  <c r="A146" i="2"/>
  <c r="F143" i="3" l="1"/>
  <c r="H143" i="3" s="1"/>
  <c r="D144" i="3"/>
  <c r="I144" i="3" s="1"/>
  <c r="J144" i="3"/>
  <c r="E144" i="3"/>
  <c r="G144" i="3" s="1"/>
  <c r="B144" i="3"/>
  <c r="C144" i="3" s="1"/>
  <c r="A145" i="3"/>
  <c r="D145" i="2"/>
  <c r="I145" i="2" s="1"/>
  <c r="A147" i="2"/>
  <c r="E146" i="2"/>
  <c r="B146" i="2"/>
  <c r="C146" i="2" s="1"/>
  <c r="F146" i="2"/>
  <c r="H146" i="2" s="1"/>
  <c r="J146" i="2" s="1"/>
  <c r="F144" i="3" l="1"/>
  <c r="H144" i="3" s="1"/>
  <c r="J145" i="3"/>
  <c r="D145" i="3"/>
  <c r="I145" i="3" s="1"/>
  <c r="B145" i="3"/>
  <c r="C145" i="3" s="1"/>
  <c r="A146" i="3"/>
  <c r="E145" i="3"/>
  <c r="G145" i="3" s="1"/>
  <c r="D146" i="2"/>
  <c r="I146" i="2" s="1"/>
  <c r="G146" i="2"/>
  <c r="E147" i="2"/>
  <c r="B147" i="2"/>
  <c r="C147" i="2" s="1"/>
  <c r="F147" i="2"/>
  <c r="H147" i="2" s="1"/>
  <c r="J147" i="2" s="1"/>
  <c r="A148" i="2"/>
  <c r="G147" i="2" l="1"/>
  <c r="F145" i="3"/>
  <c r="H145" i="3" s="1"/>
  <c r="J146" i="3"/>
  <c r="D146" i="3"/>
  <c r="F146" i="3" s="1"/>
  <c r="H146" i="3" s="1"/>
  <c r="B146" i="3"/>
  <c r="C146" i="3" s="1"/>
  <c r="E146" i="3"/>
  <c r="G146" i="3" s="1"/>
  <c r="A147" i="3"/>
  <c r="D147" i="2"/>
  <c r="I147" i="2" s="1"/>
  <c r="A149" i="2"/>
  <c r="E148" i="2"/>
  <c r="B148" i="2"/>
  <c r="C148" i="2" s="1"/>
  <c r="F148" i="2"/>
  <c r="H148" i="2" s="1"/>
  <c r="J148" i="2" s="1"/>
  <c r="G148" i="2" l="1"/>
  <c r="B147" i="3"/>
  <c r="C147" i="3" s="1"/>
  <c r="J147" i="3"/>
  <c r="A148" i="3"/>
  <c r="D147" i="3"/>
  <c r="E147" i="3"/>
  <c r="G147" i="3" s="1"/>
  <c r="I146" i="3"/>
  <c r="I147" i="3" s="1"/>
  <c r="D148" i="2"/>
  <c r="I148" i="2" s="1"/>
  <c r="E149" i="2"/>
  <c r="B149" i="2"/>
  <c r="C149" i="2" s="1"/>
  <c r="F149" i="2"/>
  <c r="H149" i="2" s="1"/>
  <c r="J149" i="2" s="1"/>
  <c r="A150" i="2"/>
  <c r="D148" i="3" l="1"/>
  <c r="J148" i="3"/>
  <c r="E148" i="3"/>
  <c r="G148" i="3" s="1"/>
  <c r="B148" i="3"/>
  <c r="C148" i="3" s="1"/>
  <c r="A149" i="3"/>
  <c r="D149" i="2"/>
  <c r="I149" i="2" s="1"/>
  <c r="F147" i="3"/>
  <c r="H147" i="3" s="1"/>
  <c r="G149" i="2"/>
  <c r="A151" i="2"/>
  <c r="E150" i="2"/>
  <c r="B150" i="2"/>
  <c r="C150" i="2" s="1"/>
  <c r="F150" i="2"/>
  <c r="H150" i="2" s="1"/>
  <c r="J150" i="2" s="1"/>
  <c r="F148" i="3" l="1"/>
  <c r="H148" i="3" s="1"/>
  <c r="I148" i="3"/>
  <c r="J149" i="3"/>
  <c r="B149" i="3"/>
  <c r="C149" i="3" s="1"/>
  <c r="A150" i="3"/>
  <c r="E149" i="3"/>
  <c r="G149" i="3" s="1"/>
  <c r="D149" i="3"/>
  <c r="D150" i="2"/>
  <c r="I150" i="2" s="1"/>
  <c r="E151" i="2"/>
  <c r="B151" i="2"/>
  <c r="C151" i="2" s="1"/>
  <c r="F151" i="2"/>
  <c r="H151" i="2" s="1"/>
  <c r="J151" i="2" s="1"/>
  <c r="A152" i="2"/>
  <c r="G150" i="2"/>
  <c r="F149" i="3" l="1"/>
  <c r="H149" i="3" s="1"/>
  <c r="G151" i="2"/>
  <c r="I149" i="3"/>
  <c r="B150" i="3"/>
  <c r="C150" i="3" s="1"/>
  <c r="E150" i="3"/>
  <c r="G150" i="3" s="1"/>
  <c r="D150" i="3"/>
  <c r="I150" i="3" s="1"/>
  <c r="A151" i="3"/>
  <c r="J150" i="3"/>
  <c r="A153" i="2"/>
  <c r="E152" i="2"/>
  <c r="G152" i="2" s="1"/>
  <c r="B152" i="2"/>
  <c r="C152" i="2" s="1"/>
  <c r="F152" i="2"/>
  <c r="H152" i="2" s="1"/>
  <c r="J152" i="2" s="1"/>
  <c r="D151" i="2"/>
  <c r="I151" i="2" s="1"/>
  <c r="D151" i="3" l="1"/>
  <c r="E151" i="3"/>
  <c r="G151" i="3" s="1"/>
  <c r="B151" i="3"/>
  <c r="C151" i="3" s="1"/>
  <c r="J151" i="3"/>
  <c r="A152" i="3"/>
  <c r="F150" i="3"/>
  <c r="H150" i="3" s="1"/>
  <c r="D152" i="2"/>
  <c r="I152" i="2" s="1"/>
  <c r="E153" i="2"/>
  <c r="G153" i="2" s="1"/>
  <c r="B153" i="2"/>
  <c r="C153" i="2" s="1"/>
  <c r="F153" i="2"/>
  <c r="H153" i="2" s="1"/>
  <c r="J153" i="2" s="1"/>
  <c r="A154" i="2"/>
  <c r="F151" i="3" l="1"/>
  <c r="I151" i="3"/>
  <c r="H151" i="3"/>
  <c r="A153" i="3"/>
  <c r="D152" i="3"/>
  <c r="J152" i="3"/>
  <c r="E152" i="3"/>
  <c r="G152" i="3" s="1"/>
  <c r="B152" i="3"/>
  <c r="C152" i="3" s="1"/>
  <c r="A155" i="2"/>
  <c r="E154" i="2"/>
  <c r="G154" i="2" s="1"/>
  <c r="B154" i="2"/>
  <c r="C154" i="2" s="1"/>
  <c r="F154" i="2"/>
  <c r="H154" i="2" s="1"/>
  <c r="J154" i="2" s="1"/>
  <c r="D153" i="2"/>
  <c r="I153" i="2" s="1"/>
  <c r="I152" i="3" l="1"/>
  <c r="F152" i="3"/>
  <c r="H152" i="3" s="1"/>
  <c r="D153" i="3"/>
  <c r="I153" i="3" s="1"/>
  <c r="B153" i="3"/>
  <c r="C153" i="3" s="1"/>
  <c r="A154" i="3"/>
  <c r="J153" i="3"/>
  <c r="E153" i="3"/>
  <c r="G153" i="3" s="1"/>
  <c r="D154" i="2"/>
  <c r="I154" i="2" s="1"/>
  <c r="E155" i="2"/>
  <c r="G155" i="2" s="1"/>
  <c r="B155" i="2"/>
  <c r="C155" i="2" s="1"/>
  <c r="F155" i="2"/>
  <c r="D155" i="2" s="1"/>
  <c r="A156" i="2"/>
  <c r="H155" i="2" l="1"/>
  <c r="J155" i="2" s="1"/>
  <c r="F153" i="3"/>
  <c r="H153" i="3" s="1"/>
  <c r="E154" i="3"/>
  <c r="G154" i="3" s="1"/>
  <c r="D154" i="3"/>
  <c r="F154" i="3" s="1"/>
  <c r="H154" i="3" s="1"/>
  <c r="J154" i="3"/>
  <c r="A155" i="3"/>
  <c r="B154" i="3"/>
  <c r="C154" i="3" s="1"/>
  <c r="I155" i="2"/>
  <c r="A157" i="2"/>
  <c r="E156" i="2"/>
  <c r="B156" i="2"/>
  <c r="C156" i="2" s="1"/>
  <c r="F156" i="2"/>
  <c r="H156" i="2" s="1"/>
  <c r="J156" i="2" s="1"/>
  <c r="I154" i="3" l="1"/>
  <c r="J155" i="3"/>
  <c r="A156" i="3"/>
  <c r="D155" i="3"/>
  <c r="E155" i="3"/>
  <c r="B155" i="3"/>
  <c r="C155" i="3" s="1"/>
  <c r="D156" i="2"/>
  <c r="I156" i="2" s="1"/>
  <c r="G156" i="2"/>
  <c r="E157" i="2"/>
  <c r="B157" i="2"/>
  <c r="C157" i="2" s="1"/>
  <c r="F157" i="2"/>
  <c r="H157" i="2" s="1"/>
  <c r="J157" i="2" s="1"/>
  <c r="A158" i="2"/>
  <c r="F155" i="3" l="1"/>
  <c r="H155" i="3" s="1"/>
  <c r="I155" i="3"/>
  <c r="A157" i="3"/>
  <c r="D156" i="3"/>
  <c r="F156" i="3" s="1"/>
  <c r="H156" i="3" s="1"/>
  <c r="J156" i="3"/>
  <c r="E156" i="3"/>
  <c r="B156" i="3"/>
  <c r="C156" i="3" s="1"/>
  <c r="I156" i="3"/>
  <c r="D157" i="2"/>
  <c r="I157" i="2" s="1"/>
  <c r="G155" i="3"/>
  <c r="G156" i="3" s="1"/>
  <c r="A159" i="2"/>
  <c r="E158" i="2"/>
  <c r="B158" i="2"/>
  <c r="C158" i="2" s="1"/>
  <c r="F158" i="2"/>
  <c r="H158" i="2" s="1"/>
  <c r="J158" i="2" s="1"/>
  <c r="G157" i="2"/>
  <c r="D157" i="3" l="1"/>
  <c r="I157" i="3" s="1"/>
  <c r="B157" i="3"/>
  <c r="C157" i="3" s="1"/>
  <c r="A158" i="3"/>
  <c r="E157" i="3"/>
  <c r="G157" i="3" s="1"/>
  <c r="J157" i="3"/>
  <c r="G158" i="2"/>
  <c r="G159" i="2" s="1"/>
  <c r="D158" i="2"/>
  <c r="I158" i="2" s="1"/>
  <c r="E159" i="2"/>
  <c r="B159" i="2"/>
  <c r="C159" i="2" s="1"/>
  <c r="F159" i="2"/>
  <c r="H159" i="2" s="1"/>
  <c r="J159" i="2" s="1"/>
  <c r="A160" i="2"/>
  <c r="F157" i="3" l="1"/>
  <c r="H157" i="3" s="1"/>
  <c r="D159" i="2"/>
  <c r="B158" i="3"/>
  <c r="C158" i="3" s="1"/>
  <c r="E158" i="3"/>
  <c r="G158" i="3" s="1"/>
  <c r="D158" i="3"/>
  <c r="J158" i="3"/>
  <c r="A159" i="3"/>
  <c r="I159" i="2"/>
  <c r="A161" i="2"/>
  <c r="E160" i="2"/>
  <c r="B160" i="2"/>
  <c r="C160" i="2" s="1"/>
  <c r="F160" i="2"/>
  <c r="H160" i="2" s="1"/>
  <c r="J160" i="2" s="1"/>
  <c r="F158" i="3" l="1"/>
  <c r="H158" i="3" s="1"/>
  <c r="D159" i="3"/>
  <c r="E159" i="3"/>
  <c r="G159" i="3" s="1"/>
  <c r="J159" i="3"/>
  <c r="B159" i="3"/>
  <c r="C159" i="3" s="1"/>
  <c r="A160" i="3"/>
  <c r="I158" i="3"/>
  <c r="I159" i="3" s="1"/>
  <c r="D160" i="2"/>
  <c r="I160" i="2" s="1"/>
  <c r="G160" i="2"/>
  <c r="E161" i="2"/>
  <c r="B161" i="2"/>
  <c r="C161" i="2" s="1"/>
  <c r="F161" i="2"/>
  <c r="H161" i="2" s="1"/>
  <c r="J161" i="2" s="1"/>
  <c r="A162" i="2"/>
  <c r="F159" i="3" l="1"/>
  <c r="H159" i="3" s="1"/>
  <c r="D161" i="2"/>
  <c r="I161" i="2" s="1"/>
  <c r="G161" i="2"/>
  <c r="A161" i="3"/>
  <c r="D160" i="3"/>
  <c r="J160" i="3"/>
  <c r="E160" i="3"/>
  <c r="B160" i="3"/>
  <c r="C160" i="3" s="1"/>
  <c r="I160" i="3"/>
  <c r="G160" i="3"/>
  <c r="A163" i="2"/>
  <c r="E162" i="2"/>
  <c r="B162" i="2"/>
  <c r="C162" i="2" s="1"/>
  <c r="F162" i="2"/>
  <c r="H162" i="2" s="1"/>
  <c r="J162" i="2" s="1"/>
  <c r="F160" i="3" l="1"/>
  <c r="H160" i="3" s="1"/>
  <c r="E161" i="3"/>
  <c r="G161" i="3" s="1"/>
  <c r="J161" i="3"/>
  <c r="D161" i="3"/>
  <c r="F161" i="3" s="1"/>
  <c r="B161" i="3"/>
  <c r="C161" i="3" s="1"/>
  <c r="A162" i="3"/>
  <c r="D162" i="2"/>
  <c r="I162" i="2" s="1"/>
  <c r="G162" i="2"/>
  <c r="E163" i="2"/>
  <c r="B163" i="2"/>
  <c r="C163" i="2" s="1"/>
  <c r="F163" i="2"/>
  <c r="A164" i="2"/>
  <c r="H161" i="3" l="1"/>
  <c r="I161" i="3"/>
  <c r="D162" i="3"/>
  <c r="J162" i="3"/>
  <c r="A163" i="3"/>
  <c r="B162" i="3"/>
  <c r="C162" i="3" s="1"/>
  <c r="E162" i="3"/>
  <c r="G162" i="3" s="1"/>
  <c r="G163" i="2"/>
  <c r="D163" i="2"/>
  <c r="I163" i="2" s="1"/>
  <c r="A165" i="2"/>
  <c r="B164" i="2"/>
  <c r="C164" i="2" s="1"/>
  <c r="F164" i="2"/>
  <c r="H163" i="2"/>
  <c r="J163" i="2" s="1"/>
  <c r="E164" i="2" s="1"/>
  <c r="H164" i="2" l="1"/>
  <c r="J164" i="2" s="1"/>
  <c r="F162" i="3"/>
  <c r="H162" i="3" s="1"/>
  <c r="I162" i="3"/>
  <c r="B163" i="3"/>
  <c r="C163" i="3" s="1"/>
  <c r="E163" i="3"/>
  <c r="G163" i="3" s="1"/>
  <c r="D163" i="3"/>
  <c r="J163" i="3"/>
  <c r="A164" i="3"/>
  <c r="G164" i="2"/>
  <c r="D164" i="2"/>
  <c r="I164" i="2" s="1"/>
  <c r="E165" i="2"/>
  <c r="B165" i="2"/>
  <c r="C165" i="2" s="1"/>
  <c r="F165" i="2"/>
  <c r="H165" i="2" s="1"/>
  <c r="J165" i="2" s="1"/>
  <c r="A166" i="2"/>
  <c r="F163" i="3" l="1"/>
  <c r="H163" i="3" s="1"/>
  <c r="I163" i="3"/>
  <c r="B164" i="3"/>
  <c r="C164" i="3" s="1"/>
  <c r="A165" i="3"/>
  <c r="D164" i="3"/>
  <c r="J164" i="3"/>
  <c r="E164" i="3"/>
  <c r="G164" i="3" s="1"/>
  <c r="D165" i="2"/>
  <c r="I165" i="2" s="1"/>
  <c r="G165" i="2"/>
  <c r="A167" i="2"/>
  <c r="E166" i="2"/>
  <c r="B166" i="2"/>
  <c r="C166" i="2" s="1"/>
  <c r="F166" i="2"/>
  <c r="H166" i="2" s="1"/>
  <c r="J166" i="2" s="1"/>
  <c r="I164" i="3" l="1"/>
  <c r="F164" i="3"/>
  <c r="H164" i="3" s="1"/>
  <c r="B165" i="3"/>
  <c r="C165" i="3" s="1"/>
  <c r="A166" i="3"/>
  <c r="E165" i="3"/>
  <c r="G165" i="3" s="1"/>
  <c r="D165" i="3"/>
  <c r="J165" i="3"/>
  <c r="G166" i="2"/>
  <c r="D166" i="2"/>
  <c r="I166" i="2" s="1"/>
  <c r="E167" i="2"/>
  <c r="B167" i="2"/>
  <c r="C167" i="2" s="1"/>
  <c r="F167" i="2"/>
  <c r="H167" i="2" s="1"/>
  <c r="J167" i="2" s="1"/>
  <c r="A168" i="2"/>
  <c r="F165" i="3" l="1"/>
  <c r="H165" i="3" s="1"/>
  <c r="I165" i="3"/>
  <c r="D166" i="3"/>
  <c r="J166" i="3"/>
  <c r="A167" i="3"/>
  <c r="B166" i="3"/>
  <c r="C166" i="3" s="1"/>
  <c r="E166" i="3"/>
  <c r="G166" i="3" s="1"/>
  <c r="G167" i="2"/>
  <c r="D167" i="2"/>
  <c r="I167" i="2" s="1"/>
  <c r="B168" i="2"/>
  <c r="C168" i="2" s="1"/>
  <c r="F168" i="2"/>
  <c r="H168" i="2" s="1"/>
  <c r="J168" i="2" s="1"/>
  <c r="A169" i="2"/>
  <c r="E168" i="2"/>
  <c r="F166" i="3" l="1"/>
  <c r="H166" i="3" s="1"/>
  <c r="I166" i="3"/>
  <c r="D167" i="3"/>
  <c r="I167" i="3" s="1"/>
  <c r="E167" i="3"/>
  <c r="G167" i="3" s="1"/>
  <c r="B167" i="3"/>
  <c r="C167" i="3" s="1"/>
  <c r="J167" i="3"/>
  <c r="A168" i="3"/>
  <c r="G168" i="2"/>
  <c r="B169" i="2"/>
  <c r="C169" i="2" s="1"/>
  <c r="F169" i="2"/>
  <c r="H169" i="2" s="1"/>
  <c r="J169" i="2" s="1"/>
  <c r="A170" i="2"/>
  <c r="E169" i="2"/>
  <c r="G169" i="2"/>
  <c r="D168" i="2"/>
  <c r="I168" i="2" s="1"/>
  <c r="F167" i="3" l="1"/>
  <c r="H167" i="3" s="1"/>
  <c r="D168" i="3"/>
  <c r="J168" i="3"/>
  <c r="E168" i="3"/>
  <c r="G168" i="3" s="1"/>
  <c r="B168" i="3"/>
  <c r="C168" i="3" s="1"/>
  <c r="A169" i="3"/>
  <c r="D169" i="2"/>
  <c r="I169" i="2" s="1"/>
  <c r="B170" i="2"/>
  <c r="C170" i="2" s="1"/>
  <c r="F170" i="2"/>
  <c r="H170" i="2" s="1"/>
  <c r="J170" i="2" s="1"/>
  <c r="A171" i="2"/>
  <c r="E170" i="2"/>
  <c r="F168" i="3" l="1"/>
  <c r="H168" i="3" s="1"/>
  <c r="I168" i="3"/>
  <c r="D169" i="3"/>
  <c r="B169" i="3"/>
  <c r="C169" i="3" s="1"/>
  <c r="E169" i="3"/>
  <c r="G169" i="3" s="1"/>
  <c r="J169" i="3"/>
  <c r="A170" i="3"/>
  <c r="D170" i="2"/>
  <c r="I170" i="2" s="1"/>
  <c r="B171" i="2"/>
  <c r="C171" i="2" s="1"/>
  <c r="F171" i="2"/>
  <c r="H171" i="2" s="1"/>
  <c r="J171" i="2" s="1"/>
  <c r="E171" i="2"/>
  <c r="A172" i="2"/>
  <c r="G170" i="2"/>
  <c r="I169" i="3" l="1"/>
  <c r="F169" i="3"/>
  <c r="H169" i="3" s="1"/>
  <c r="B170" i="3"/>
  <c r="C170" i="3" s="1"/>
  <c r="A171" i="3"/>
  <c r="D170" i="3"/>
  <c r="I170" i="3" s="1"/>
  <c r="J170" i="3"/>
  <c r="E170" i="3"/>
  <c r="G170" i="3" s="1"/>
  <c r="G171" i="2"/>
  <c r="D171" i="2"/>
  <c r="I171" i="2" s="1"/>
  <c r="B172" i="2"/>
  <c r="C172" i="2" s="1"/>
  <c r="F172" i="2"/>
  <c r="H172" i="2" s="1"/>
  <c r="J172" i="2" s="1"/>
  <c r="A173" i="2"/>
  <c r="E172" i="2"/>
  <c r="D172" i="2" l="1"/>
  <c r="F170" i="3"/>
  <c r="H170" i="3" s="1"/>
  <c r="G172" i="2"/>
  <c r="E171" i="3"/>
  <c r="G171" i="3" s="1"/>
  <c r="B171" i="3"/>
  <c r="C171" i="3" s="1"/>
  <c r="J171" i="3"/>
  <c r="D171" i="3"/>
  <c r="A172" i="3"/>
  <c r="I172" i="2"/>
  <c r="B173" i="2"/>
  <c r="C173" i="2" s="1"/>
  <c r="F173" i="2"/>
  <c r="A174" i="2"/>
  <c r="E173" i="2"/>
  <c r="G173" i="2" s="1"/>
  <c r="F171" i="3" l="1"/>
  <c r="I171" i="3"/>
  <c r="H171" i="3"/>
  <c r="D173" i="2"/>
  <c r="I173" i="2" s="1"/>
  <c r="B172" i="3"/>
  <c r="C172" i="3" s="1"/>
  <c r="J172" i="3"/>
  <c r="E172" i="3"/>
  <c r="G172" i="3" s="1"/>
  <c r="A173" i="3"/>
  <c r="D172" i="3"/>
  <c r="F172" i="3" s="1"/>
  <c r="H173" i="2"/>
  <c r="J173" i="2" s="1"/>
  <c r="E174" i="2" s="1"/>
  <c r="B174" i="2"/>
  <c r="C174" i="2" s="1"/>
  <c r="F174" i="2"/>
  <c r="H174" i="2" s="1"/>
  <c r="J174" i="2" s="1"/>
  <c r="A175" i="2"/>
  <c r="H172" i="3" l="1"/>
  <c r="I172" i="3"/>
  <c r="A174" i="3"/>
  <c r="E173" i="3"/>
  <c r="B173" i="3"/>
  <c r="C173" i="3" s="1"/>
  <c r="D173" i="3"/>
  <c r="I173" i="3" s="1"/>
  <c r="J173" i="3"/>
  <c r="G173" i="3"/>
  <c r="D174" i="2"/>
  <c r="I174" i="2" s="1"/>
  <c r="G174" i="2"/>
  <c r="B175" i="2"/>
  <c r="C175" i="2" s="1"/>
  <c r="F175" i="2"/>
  <c r="H175" i="2" s="1"/>
  <c r="J175" i="2" s="1"/>
  <c r="E175" i="2"/>
  <c r="G175" i="2" s="1"/>
  <c r="A176" i="2"/>
  <c r="F173" i="3" l="1"/>
  <c r="H173" i="3" s="1"/>
  <c r="J174" i="3"/>
  <c r="A175" i="3"/>
  <c r="B174" i="3"/>
  <c r="C174" i="3" s="1"/>
  <c r="D174" i="3"/>
  <c r="I174" i="3" s="1"/>
  <c r="E174" i="3"/>
  <c r="G174" i="3" s="1"/>
  <c r="D175" i="2"/>
  <c r="I175" i="2" s="1"/>
  <c r="B176" i="2"/>
  <c r="C176" i="2" s="1"/>
  <c r="F176" i="2"/>
  <c r="H176" i="2" s="1"/>
  <c r="J176" i="2" s="1"/>
  <c r="A177" i="2"/>
  <c r="E176" i="2"/>
  <c r="D176" i="2" l="1"/>
  <c r="I176" i="2" s="1"/>
  <c r="F174" i="3"/>
  <c r="H174" i="3" s="1"/>
  <c r="D175" i="3"/>
  <c r="I175" i="3" s="1"/>
  <c r="J175" i="3"/>
  <c r="A176" i="3"/>
  <c r="E175" i="3"/>
  <c r="G175" i="3" s="1"/>
  <c r="B175" i="3"/>
  <c r="C175" i="3" s="1"/>
  <c r="G176" i="2"/>
  <c r="B177" i="2"/>
  <c r="C177" i="2" s="1"/>
  <c r="F177" i="2"/>
  <c r="H177" i="2" s="1"/>
  <c r="J177" i="2" s="1"/>
  <c r="A178" i="2"/>
  <c r="E177" i="2"/>
  <c r="G177" i="2"/>
  <c r="F175" i="3" l="1"/>
  <c r="H175" i="3" s="1"/>
  <c r="E176" i="3"/>
  <c r="G176" i="3" s="1"/>
  <c r="J176" i="3"/>
  <c r="D176" i="3"/>
  <c r="I176" i="3" s="1"/>
  <c r="B176" i="3"/>
  <c r="C176" i="3" s="1"/>
  <c r="A177" i="3"/>
  <c r="D177" i="2"/>
  <c r="I177" i="2" s="1"/>
  <c r="B178" i="2"/>
  <c r="C178" i="2" s="1"/>
  <c r="F178" i="2"/>
  <c r="H178" i="2" s="1"/>
  <c r="J178" i="2" s="1"/>
  <c r="A179" i="2"/>
  <c r="E178" i="2"/>
  <c r="D178" i="2" l="1"/>
  <c r="E177" i="3"/>
  <c r="G177" i="3" s="1"/>
  <c r="J177" i="3"/>
  <c r="D177" i="3"/>
  <c r="I177" i="3" s="1"/>
  <c r="B177" i="3"/>
  <c r="C177" i="3" s="1"/>
  <c r="A178" i="3"/>
  <c r="F176" i="3"/>
  <c r="H176" i="3" s="1"/>
  <c r="G178" i="2"/>
  <c r="I178" i="2"/>
  <c r="B179" i="2"/>
  <c r="C179" i="2" s="1"/>
  <c r="F179" i="2"/>
  <c r="H179" i="2" s="1"/>
  <c r="J179" i="2" s="1"/>
  <c r="E179" i="2"/>
  <c r="G179" i="2" s="1"/>
  <c r="A180" i="2"/>
  <c r="F177" i="3" l="1"/>
  <c r="H177" i="3" s="1"/>
  <c r="E178" i="3"/>
  <c r="G178" i="3" s="1"/>
  <c r="B178" i="3"/>
  <c r="C178" i="3" s="1"/>
  <c r="A179" i="3"/>
  <c r="D178" i="3"/>
  <c r="I178" i="3" s="1"/>
  <c r="J178" i="3"/>
  <c r="B180" i="2"/>
  <c r="C180" i="2" s="1"/>
  <c r="F180" i="2"/>
  <c r="H180" i="2" s="1"/>
  <c r="J180" i="2" s="1"/>
  <c r="A181" i="2"/>
  <c r="E180" i="2"/>
  <c r="G180" i="2"/>
  <c r="D179" i="2"/>
  <c r="I179" i="2" s="1"/>
  <c r="E179" i="3" l="1"/>
  <c r="G179" i="3" s="1"/>
  <c r="J179" i="3"/>
  <c r="D179" i="3"/>
  <c r="I179" i="3" s="1"/>
  <c r="B179" i="3"/>
  <c r="C179" i="3" s="1"/>
  <c r="A180" i="3"/>
  <c r="F178" i="3"/>
  <c r="H178" i="3" s="1"/>
  <c r="D180" i="2"/>
  <c r="I180" i="2" s="1"/>
  <c r="B181" i="2"/>
  <c r="C181" i="2" s="1"/>
  <c r="F181" i="2"/>
  <c r="H181" i="2" s="1"/>
  <c r="J181" i="2" s="1"/>
  <c r="A182" i="2"/>
  <c r="E181" i="2"/>
  <c r="G181" i="2"/>
  <c r="F179" i="3" l="1"/>
  <c r="H179" i="3" s="1"/>
  <c r="D181" i="2"/>
  <c r="I181" i="2" s="1"/>
  <c r="J180" i="3"/>
  <c r="E180" i="3"/>
  <c r="D180" i="3"/>
  <c r="I180" i="3" s="1"/>
  <c r="B180" i="3"/>
  <c r="C180" i="3" s="1"/>
  <c r="A181" i="3"/>
  <c r="B182" i="2"/>
  <c r="C182" i="2" s="1"/>
  <c r="F182" i="2"/>
  <c r="H182" i="2" s="1"/>
  <c r="J182" i="2" s="1"/>
  <c r="A183" i="2"/>
  <c r="E182" i="2"/>
  <c r="G182" i="2" s="1"/>
  <c r="F180" i="3" l="1"/>
  <c r="H180" i="3" s="1"/>
  <c r="G180" i="3"/>
  <c r="E181" i="3"/>
  <c r="J181" i="3"/>
  <c r="D181" i="3"/>
  <c r="B181" i="3"/>
  <c r="C181" i="3" s="1"/>
  <c r="A182" i="3"/>
  <c r="D182" i="2"/>
  <c r="I182" i="2" s="1"/>
  <c r="B183" i="2"/>
  <c r="C183" i="2" s="1"/>
  <c r="F183" i="2"/>
  <c r="H183" i="2" s="1"/>
  <c r="J183" i="2" s="1"/>
  <c r="E183" i="2"/>
  <c r="A184" i="2"/>
  <c r="G181" i="3" l="1"/>
  <c r="F181" i="3"/>
  <c r="H181" i="3" s="1"/>
  <c r="I181" i="3"/>
  <c r="E182" i="3"/>
  <c r="G182" i="3" s="1"/>
  <c r="B182" i="3"/>
  <c r="C182" i="3" s="1"/>
  <c r="A183" i="3"/>
  <c r="J182" i="3"/>
  <c r="D182" i="3"/>
  <c r="I182" i="3" s="1"/>
  <c r="D183" i="2"/>
  <c r="I183" i="2" s="1"/>
  <c r="B184" i="2"/>
  <c r="C184" i="2" s="1"/>
  <c r="F184" i="2"/>
  <c r="H184" i="2" s="1"/>
  <c r="J184" i="2" s="1"/>
  <c r="A185" i="2"/>
  <c r="E184" i="2"/>
  <c r="G183" i="2"/>
  <c r="F182" i="3" l="1"/>
  <c r="H182" i="3" s="1"/>
  <c r="E183" i="3"/>
  <c r="G183" i="3" s="1"/>
  <c r="J183" i="3"/>
  <c r="D183" i="3"/>
  <c r="I183" i="3" s="1"/>
  <c r="B183" i="3"/>
  <c r="C183" i="3" s="1"/>
  <c r="A184" i="3"/>
  <c r="D184" i="2"/>
  <c r="I184" i="2" s="1"/>
  <c r="G184" i="2"/>
  <c r="B185" i="2"/>
  <c r="C185" i="2" s="1"/>
  <c r="F185" i="2"/>
  <c r="H185" i="2" s="1"/>
  <c r="J185" i="2" s="1"/>
  <c r="E185" i="2"/>
  <c r="D185" i="2" s="1"/>
  <c r="I185" i="2" s="1"/>
  <c r="A186" i="2"/>
  <c r="G185" i="2" l="1"/>
  <c r="F183" i="3"/>
  <c r="H183" i="3" s="1"/>
  <c r="J184" i="3"/>
  <c r="D184" i="3"/>
  <c r="I184" i="3" s="1"/>
  <c r="E184" i="3"/>
  <c r="G184" i="3" s="1"/>
  <c r="B184" i="3"/>
  <c r="C184" i="3" s="1"/>
  <c r="A185" i="3"/>
  <c r="B186" i="2"/>
  <c r="C186" i="2" s="1"/>
  <c r="F186" i="2"/>
  <c r="H186" i="2" s="1"/>
  <c r="J186" i="2" s="1"/>
  <c r="E186" i="2"/>
  <c r="D186" i="2" s="1"/>
  <c r="I186" i="2" s="1"/>
  <c r="A187" i="2"/>
  <c r="F184" i="3" l="1"/>
  <c r="H184" i="3" s="1"/>
  <c r="E185" i="3"/>
  <c r="G185" i="3" s="1"/>
  <c r="J185" i="3"/>
  <c r="D185" i="3"/>
  <c r="B185" i="3"/>
  <c r="C185" i="3" s="1"/>
  <c r="A186" i="3"/>
  <c r="G186" i="2"/>
  <c r="E187" i="2"/>
  <c r="F187" i="2"/>
  <c r="H187" i="2" s="1"/>
  <c r="J187" i="2" s="1"/>
  <c r="A188" i="2"/>
  <c r="B187" i="2"/>
  <c r="C187" i="2" s="1"/>
  <c r="G187" i="2" l="1"/>
  <c r="F185" i="3"/>
  <c r="H185" i="3" s="1"/>
  <c r="D187" i="2"/>
  <c r="I187" i="2" s="1"/>
  <c r="I185" i="3"/>
  <c r="E186" i="3"/>
  <c r="G186" i="3" s="1"/>
  <c r="B186" i="3"/>
  <c r="C186" i="3" s="1"/>
  <c r="A187" i="3"/>
  <c r="D186" i="3"/>
  <c r="I186" i="3" s="1"/>
  <c r="J186" i="3"/>
  <c r="B188" i="2"/>
  <c r="C188" i="2" s="1"/>
  <c r="F188" i="2"/>
  <c r="H188" i="2" s="1"/>
  <c r="J188" i="2" s="1"/>
  <c r="E188" i="2"/>
  <c r="A189" i="2"/>
  <c r="G188" i="2"/>
  <c r="D188" i="2" l="1"/>
  <c r="I188" i="2" s="1"/>
  <c r="F186" i="3"/>
  <c r="H186" i="3" s="1"/>
  <c r="E187" i="3"/>
  <c r="G187" i="3" s="1"/>
  <c r="J187" i="3"/>
  <c r="B187" i="3"/>
  <c r="C187" i="3" s="1"/>
  <c r="D187" i="3"/>
  <c r="I187" i="3" s="1"/>
  <c r="A188" i="3"/>
  <c r="F189" i="2"/>
  <c r="H189" i="2" s="1"/>
  <c r="J189" i="2" s="1"/>
  <c r="A190" i="2"/>
  <c r="B189" i="2"/>
  <c r="C189" i="2" s="1"/>
  <c r="E189" i="2"/>
  <c r="G189" i="2" s="1"/>
  <c r="F187" i="3" l="1"/>
  <c r="H187" i="3" s="1"/>
  <c r="J188" i="3"/>
  <c r="B188" i="3"/>
  <c r="C188" i="3" s="1"/>
  <c r="A189" i="3"/>
  <c r="D188" i="3"/>
  <c r="I188" i="3" s="1"/>
  <c r="E188" i="3"/>
  <c r="G188" i="3" s="1"/>
  <c r="D189" i="2"/>
  <c r="I189" i="2" s="1"/>
  <c r="B190" i="2"/>
  <c r="C190" i="2" s="1"/>
  <c r="F190" i="2"/>
  <c r="H190" i="2" s="1"/>
  <c r="J190" i="2" s="1"/>
  <c r="E190" i="2"/>
  <c r="A191" i="2"/>
  <c r="D189" i="3" l="1"/>
  <c r="B189" i="3"/>
  <c r="C189" i="3" s="1"/>
  <c r="A190" i="3"/>
  <c r="E189" i="3"/>
  <c r="F189" i="3" s="1"/>
  <c r="J189" i="3"/>
  <c r="I189" i="3"/>
  <c r="F188" i="3"/>
  <c r="H188" i="3" s="1"/>
  <c r="D190" i="2"/>
  <c r="I190" i="2" s="1"/>
  <c r="G190" i="2"/>
  <c r="B191" i="2"/>
  <c r="C191" i="2" s="1"/>
  <c r="E191" i="2"/>
  <c r="F191" i="2"/>
  <c r="H191" i="2" s="1"/>
  <c r="J191" i="2" s="1"/>
  <c r="A192" i="2"/>
  <c r="G189" i="3" l="1"/>
  <c r="H189" i="3"/>
  <c r="B190" i="3"/>
  <c r="C190" i="3" s="1"/>
  <c r="D190" i="3"/>
  <c r="I190" i="3" s="1"/>
  <c r="E190" i="3"/>
  <c r="A191" i="3"/>
  <c r="J190" i="3"/>
  <c r="D191" i="2"/>
  <c r="I191" i="2" s="1"/>
  <c r="G191" i="2"/>
  <c r="B192" i="2"/>
  <c r="C192" i="2" s="1"/>
  <c r="F192" i="2"/>
  <c r="H192" i="2" s="1"/>
  <c r="J192" i="2" s="1"/>
  <c r="E192" i="2"/>
  <c r="A193" i="2"/>
  <c r="G190" i="3" l="1"/>
  <c r="A192" i="3"/>
  <c r="D191" i="3"/>
  <c r="I191" i="3" s="1"/>
  <c r="E191" i="3"/>
  <c r="G191" i="3" s="1"/>
  <c r="B191" i="3"/>
  <c r="C191" i="3" s="1"/>
  <c r="J191" i="3"/>
  <c r="F190" i="3"/>
  <c r="H190" i="3" s="1"/>
  <c r="D192" i="2"/>
  <c r="I192" i="2" s="1"/>
  <c r="G192" i="2"/>
  <c r="E193" i="2"/>
  <c r="F193" i="2"/>
  <c r="H193" i="2" s="1"/>
  <c r="J193" i="2" s="1"/>
  <c r="A194" i="2"/>
  <c r="B193" i="2"/>
  <c r="C193" i="2" s="1"/>
  <c r="F191" i="3" l="1"/>
  <c r="H191" i="3" s="1"/>
  <c r="D193" i="2"/>
  <c r="I193" i="2" s="1"/>
  <c r="E192" i="3"/>
  <c r="G192" i="3" s="1"/>
  <c r="B192" i="3"/>
  <c r="C192" i="3" s="1"/>
  <c r="J192" i="3"/>
  <c r="D192" i="3"/>
  <c r="I192" i="3" s="1"/>
  <c r="A193" i="3"/>
  <c r="B194" i="2"/>
  <c r="C194" i="2" s="1"/>
  <c r="F194" i="2"/>
  <c r="H194" i="2" s="1"/>
  <c r="J194" i="2" s="1"/>
  <c r="E194" i="2"/>
  <c r="A195" i="2"/>
  <c r="G193" i="2"/>
  <c r="F192" i="3" l="1"/>
  <c r="H192" i="3" s="1"/>
  <c r="B193" i="3"/>
  <c r="C193" i="3" s="1"/>
  <c r="E193" i="3"/>
  <c r="G193" i="3" s="1"/>
  <c r="A194" i="3"/>
  <c r="J193" i="3"/>
  <c r="D193" i="3"/>
  <c r="I193" i="3" s="1"/>
  <c r="D194" i="2"/>
  <c r="I194" i="2" s="1"/>
  <c r="G194" i="2"/>
  <c r="E195" i="2"/>
  <c r="F195" i="2"/>
  <c r="H195" i="2" s="1"/>
  <c r="J195" i="2" s="1"/>
  <c r="B195" i="2"/>
  <c r="C195" i="2" s="1"/>
  <c r="A196" i="2"/>
  <c r="F193" i="3" l="1"/>
  <c r="H193" i="3" s="1"/>
  <c r="J194" i="3"/>
  <c r="E194" i="3"/>
  <c r="G194" i="3" s="1"/>
  <c r="A195" i="3"/>
  <c r="D194" i="3"/>
  <c r="I194" i="3" s="1"/>
  <c r="B194" i="3"/>
  <c r="C194" i="3" s="1"/>
  <c r="D195" i="2"/>
  <c r="I195" i="2" s="1"/>
  <c r="A197" i="2"/>
  <c r="E196" i="2"/>
  <c r="B196" i="2"/>
  <c r="C196" i="2" s="1"/>
  <c r="F196" i="2"/>
  <c r="H196" i="2" s="1"/>
  <c r="J196" i="2" s="1"/>
  <c r="G195" i="2"/>
  <c r="D196" i="2" l="1"/>
  <c r="F194" i="3"/>
  <c r="H194" i="3" s="1"/>
  <c r="A196" i="3"/>
  <c r="B195" i="3"/>
  <c r="C195" i="3" s="1"/>
  <c r="E195" i="3"/>
  <c r="G195" i="3" s="1"/>
  <c r="J195" i="3"/>
  <c r="D195" i="3"/>
  <c r="G196" i="2"/>
  <c r="I196" i="2"/>
  <c r="E197" i="2"/>
  <c r="B197" i="2"/>
  <c r="C197" i="2" s="1"/>
  <c r="F197" i="2"/>
  <c r="H197" i="2" s="1"/>
  <c r="J197" i="2" s="1"/>
  <c r="A198" i="2"/>
  <c r="F195" i="3" l="1"/>
  <c r="H195" i="3" s="1"/>
  <c r="G197" i="2"/>
  <c r="I195" i="3"/>
  <c r="A197" i="3"/>
  <c r="D196" i="3"/>
  <c r="E196" i="3"/>
  <c r="G196" i="3" s="1"/>
  <c r="B196" i="3"/>
  <c r="C196" i="3" s="1"/>
  <c r="J196" i="3"/>
  <c r="A199" i="2"/>
  <c r="E198" i="2"/>
  <c r="B198" i="2"/>
  <c r="C198" i="2" s="1"/>
  <c r="F198" i="2"/>
  <c r="H198" i="2" s="1"/>
  <c r="J198" i="2" s="1"/>
  <c r="D197" i="2"/>
  <c r="I197" i="2" s="1"/>
  <c r="I196" i="3" l="1"/>
  <c r="G198" i="2"/>
  <c r="F196" i="3"/>
  <c r="H196" i="3" s="1"/>
  <c r="A198" i="3"/>
  <c r="D197" i="3"/>
  <c r="I197" i="3" s="1"/>
  <c r="B197" i="3"/>
  <c r="C197" i="3" s="1"/>
  <c r="E197" i="3"/>
  <c r="G197" i="3" s="1"/>
  <c r="J197" i="3"/>
  <c r="D198" i="2"/>
  <c r="I198" i="2" s="1"/>
  <c r="E199" i="2"/>
  <c r="G199" i="2" s="1"/>
  <c r="B199" i="2"/>
  <c r="C199" i="2" s="1"/>
  <c r="F199" i="2"/>
  <c r="H199" i="2" s="1"/>
  <c r="J199" i="2" s="1"/>
  <c r="A200" i="2"/>
  <c r="D199" i="2" l="1"/>
  <c r="F197" i="3"/>
  <c r="H197" i="3" s="1"/>
  <c r="D198" i="3"/>
  <c r="I198" i="3" s="1"/>
  <c r="B198" i="3"/>
  <c r="C198" i="3" s="1"/>
  <c r="J198" i="3"/>
  <c r="E198" i="3"/>
  <c r="G198" i="3" s="1"/>
  <c r="A199" i="3"/>
  <c r="I199" i="2"/>
  <c r="A201" i="2"/>
  <c r="E200" i="2"/>
  <c r="G200" i="2" s="1"/>
  <c r="B200" i="2"/>
  <c r="C200" i="2" s="1"/>
  <c r="F200" i="2"/>
  <c r="H200" i="2" s="1"/>
  <c r="J200" i="2" s="1"/>
  <c r="F198" i="3" l="1"/>
  <c r="H198" i="3" s="1"/>
  <c r="J199" i="3"/>
  <c r="D199" i="3"/>
  <c r="A200" i="3"/>
  <c r="B199" i="3"/>
  <c r="C199" i="3" s="1"/>
  <c r="E199" i="3"/>
  <c r="G199" i="3" s="1"/>
  <c r="D200" i="2"/>
  <c r="I200" i="2" s="1"/>
  <c r="E201" i="2"/>
  <c r="B201" i="2"/>
  <c r="C201" i="2" s="1"/>
  <c r="F201" i="2"/>
  <c r="H201" i="2" s="1"/>
  <c r="J201" i="2" s="1"/>
  <c r="A202" i="2"/>
  <c r="F199" i="3" l="1"/>
  <c r="H199" i="3" s="1"/>
  <c r="D201" i="2"/>
  <c r="I199" i="3"/>
  <c r="D200" i="3"/>
  <c r="B200" i="3"/>
  <c r="C200" i="3" s="1"/>
  <c r="E200" i="3"/>
  <c r="G200" i="3" s="1"/>
  <c r="A201" i="3"/>
  <c r="J200" i="3"/>
  <c r="I201" i="2"/>
  <c r="G201" i="2"/>
  <c r="A203" i="2"/>
  <c r="E202" i="2"/>
  <c r="B202" i="2"/>
  <c r="C202" i="2" s="1"/>
  <c r="F202" i="2"/>
  <c r="H202" i="2" s="1"/>
  <c r="J202" i="2" s="1"/>
  <c r="F200" i="3" l="1"/>
  <c r="H200" i="3" s="1"/>
  <c r="E201" i="3"/>
  <c r="G201" i="3" s="1"/>
  <c r="J201" i="3"/>
  <c r="B201" i="3"/>
  <c r="C201" i="3" s="1"/>
  <c r="A202" i="3"/>
  <c r="D201" i="3"/>
  <c r="I200" i="3"/>
  <c r="D202" i="2"/>
  <c r="I202" i="2" s="1"/>
  <c r="E203" i="2"/>
  <c r="B203" i="2"/>
  <c r="C203" i="2" s="1"/>
  <c r="F203" i="2"/>
  <c r="H203" i="2" s="1"/>
  <c r="J203" i="2" s="1"/>
  <c r="A204" i="2"/>
  <c r="G202" i="2"/>
  <c r="G203" i="2" s="1"/>
  <c r="I201" i="3" l="1"/>
  <c r="F201" i="3"/>
  <c r="H201" i="3" s="1"/>
  <c r="D203" i="2"/>
  <c r="E202" i="3"/>
  <c r="G202" i="3" s="1"/>
  <c r="J202" i="3"/>
  <c r="D202" i="3"/>
  <c r="B202" i="3"/>
  <c r="C202" i="3" s="1"/>
  <c r="A203" i="3"/>
  <c r="I203" i="2"/>
  <c r="A205" i="2"/>
  <c r="E204" i="2"/>
  <c r="G204" i="2" s="1"/>
  <c r="B204" i="2"/>
  <c r="C204" i="2" s="1"/>
  <c r="F204" i="2"/>
  <c r="H204" i="2" s="1"/>
  <c r="J204" i="2" s="1"/>
  <c r="I202" i="3" l="1"/>
  <c r="F202" i="3"/>
  <c r="H202" i="3" s="1"/>
  <c r="E203" i="3"/>
  <c r="G203" i="3" s="1"/>
  <c r="B203" i="3"/>
  <c r="C203" i="3" s="1"/>
  <c r="A204" i="3"/>
  <c r="D203" i="3"/>
  <c r="J203" i="3"/>
  <c r="D204" i="2"/>
  <c r="I204" i="2" s="1"/>
  <c r="E205" i="2"/>
  <c r="B205" i="2"/>
  <c r="C205" i="2" s="1"/>
  <c r="F205" i="2"/>
  <c r="H205" i="2" s="1"/>
  <c r="J205" i="2" s="1"/>
  <c r="A206" i="2"/>
  <c r="I203" i="3" l="1"/>
  <c r="D205" i="2"/>
  <c r="I205" i="2" s="1"/>
  <c r="F203" i="3"/>
  <c r="H203" i="3" s="1"/>
  <c r="E204" i="3"/>
  <c r="J204" i="3"/>
  <c r="D204" i="3"/>
  <c r="B204" i="3"/>
  <c r="C204" i="3" s="1"/>
  <c r="A205" i="3"/>
  <c r="F204" i="3"/>
  <c r="H204" i="3" s="1"/>
  <c r="G204" i="3"/>
  <c r="G205" i="2"/>
  <c r="A207" i="2"/>
  <c r="E206" i="2"/>
  <c r="B206" i="2"/>
  <c r="C206" i="2" s="1"/>
  <c r="F206" i="2"/>
  <c r="H206" i="2" s="1"/>
  <c r="J206" i="2" s="1"/>
  <c r="I204" i="3" l="1"/>
  <c r="D206" i="2"/>
  <c r="J205" i="3"/>
  <c r="E205" i="3"/>
  <c r="G205" i="3" s="1"/>
  <c r="D205" i="3"/>
  <c r="B205" i="3"/>
  <c r="C205" i="3" s="1"/>
  <c r="A206" i="3"/>
  <c r="I206" i="2"/>
  <c r="E207" i="2"/>
  <c r="B207" i="2"/>
  <c r="C207" i="2" s="1"/>
  <c r="F207" i="2"/>
  <c r="H207" i="2" s="1"/>
  <c r="J207" i="2" s="1"/>
  <c r="A208" i="2"/>
  <c r="G206" i="2"/>
  <c r="G207" i="2" s="1"/>
  <c r="D207" i="2" l="1"/>
  <c r="F205" i="3"/>
  <c r="H205" i="3" s="1"/>
  <c r="I205" i="3"/>
  <c r="D206" i="3"/>
  <c r="B206" i="3"/>
  <c r="C206" i="3" s="1"/>
  <c r="A207" i="3"/>
  <c r="E206" i="3"/>
  <c r="G206" i="3" s="1"/>
  <c r="J206" i="3"/>
  <c r="I207" i="2"/>
  <c r="A209" i="2"/>
  <c r="E208" i="2"/>
  <c r="G208" i="2" s="1"/>
  <c r="B208" i="2"/>
  <c r="C208" i="2" s="1"/>
  <c r="F208" i="2"/>
  <c r="H208" i="2" s="1"/>
  <c r="J208" i="2" s="1"/>
  <c r="F206" i="3" l="1"/>
  <c r="H206" i="3" s="1"/>
  <c r="I206" i="3"/>
  <c r="E207" i="3"/>
  <c r="G207" i="3" s="1"/>
  <c r="D207" i="3"/>
  <c r="J207" i="3"/>
  <c r="B207" i="3"/>
  <c r="C207" i="3" s="1"/>
  <c r="A208" i="3"/>
  <c r="I207" i="3"/>
  <c r="D208" i="2"/>
  <c r="I208" i="2" s="1"/>
  <c r="E209" i="2"/>
  <c r="B209" i="2"/>
  <c r="C209" i="2" s="1"/>
  <c r="F209" i="2"/>
  <c r="H209" i="2" s="1"/>
  <c r="J209" i="2" s="1"/>
  <c r="A210" i="2"/>
  <c r="F207" i="3" l="1"/>
  <c r="H207" i="3" s="1"/>
  <c r="D209" i="2"/>
  <c r="I209" i="2" s="1"/>
  <c r="E208" i="3"/>
  <c r="F208" i="3" s="1"/>
  <c r="H208" i="3" s="1"/>
  <c r="J208" i="3"/>
  <c r="D208" i="3"/>
  <c r="I208" i="3" s="1"/>
  <c r="B208" i="3"/>
  <c r="C208" i="3" s="1"/>
  <c r="A209" i="3"/>
  <c r="G209" i="2"/>
  <c r="A211" i="2"/>
  <c r="E210" i="2"/>
  <c r="B210" i="2"/>
  <c r="C210" i="2" s="1"/>
  <c r="F210" i="2"/>
  <c r="H210" i="2" s="1"/>
  <c r="J210" i="2" s="1"/>
  <c r="G208" i="3" l="1"/>
  <c r="J209" i="3"/>
  <c r="E209" i="3"/>
  <c r="G209" i="3" s="1"/>
  <c r="D209" i="3"/>
  <c r="B209" i="3"/>
  <c r="C209" i="3" s="1"/>
  <c r="A210" i="3"/>
  <c r="D210" i="2"/>
  <c r="I210" i="2" s="1"/>
  <c r="E211" i="2"/>
  <c r="B211" i="2"/>
  <c r="C211" i="2" s="1"/>
  <c r="F211" i="2"/>
  <c r="H211" i="2" s="1"/>
  <c r="J211" i="2" s="1"/>
  <c r="A212" i="2"/>
  <c r="G210" i="2"/>
  <c r="G211" i="2" s="1"/>
  <c r="D211" i="2" l="1"/>
  <c r="F209" i="3"/>
  <c r="H209" i="3" s="1"/>
  <c r="I209" i="3"/>
  <c r="D210" i="3"/>
  <c r="B210" i="3"/>
  <c r="C210" i="3" s="1"/>
  <c r="A211" i="3"/>
  <c r="E210" i="3"/>
  <c r="G210" i="3" s="1"/>
  <c r="J210" i="3"/>
  <c r="I211" i="2"/>
  <c r="A213" i="2"/>
  <c r="E212" i="2"/>
  <c r="G212" i="2" s="1"/>
  <c r="B212" i="2"/>
  <c r="C212" i="2" s="1"/>
  <c r="F212" i="2"/>
  <c r="H212" i="2" s="1"/>
  <c r="J212" i="2" s="1"/>
  <c r="I210" i="3" l="1"/>
  <c r="F210" i="3"/>
  <c r="H210" i="3" s="1"/>
  <c r="J211" i="3"/>
  <c r="E211" i="3"/>
  <c r="G211" i="3" s="1"/>
  <c r="D211" i="3"/>
  <c r="B211" i="3"/>
  <c r="C211" i="3" s="1"/>
  <c r="A212" i="3"/>
  <c r="D212" i="2"/>
  <c r="I212" i="2" s="1"/>
  <c r="E213" i="2"/>
  <c r="B213" i="2"/>
  <c r="C213" i="2" s="1"/>
  <c r="F213" i="2"/>
  <c r="H213" i="2" s="1"/>
  <c r="J213" i="2" s="1"/>
  <c r="A214" i="2"/>
  <c r="F211" i="3" l="1"/>
  <c r="H211" i="3" s="1"/>
  <c r="D213" i="2"/>
  <c r="I213" i="2" s="1"/>
  <c r="I211" i="3"/>
  <c r="E212" i="3"/>
  <c r="G212" i="3" s="1"/>
  <c r="D212" i="3"/>
  <c r="I212" i="3" s="1"/>
  <c r="B212" i="3"/>
  <c r="C212" i="3" s="1"/>
  <c r="A213" i="3"/>
  <c r="J212" i="3"/>
  <c r="G213" i="2"/>
  <c r="A215" i="2"/>
  <c r="E214" i="2"/>
  <c r="B214" i="2"/>
  <c r="C214" i="2" s="1"/>
  <c r="F214" i="2"/>
  <c r="H214" i="2" s="1"/>
  <c r="J214" i="2" s="1"/>
  <c r="G214" i="2" l="1"/>
  <c r="F212" i="3"/>
  <c r="H212" i="3" s="1"/>
  <c r="E213" i="3"/>
  <c r="G213" i="3" s="1"/>
  <c r="B213" i="3"/>
  <c r="C213" i="3" s="1"/>
  <c r="A214" i="3"/>
  <c r="D213" i="3"/>
  <c r="I213" i="3" s="1"/>
  <c r="J213" i="3"/>
  <c r="D214" i="2"/>
  <c r="I214" i="2" s="1"/>
  <c r="E215" i="2"/>
  <c r="G215" i="2" s="1"/>
  <c r="B215" i="2"/>
  <c r="C215" i="2" s="1"/>
  <c r="F215" i="2"/>
  <c r="H215" i="2" s="1"/>
  <c r="J215" i="2" s="1"/>
  <c r="A216" i="2"/>
  <c r="E214" i="3" l="1"/>
  <c r="G214" i="3" s="1"/>
  <c r="J214" i="3"/>
  <c r="D214" i="3"/>
  <c r="I214" i="3" s="1"/>
  <c r="B214" i="3"/>
  <c r="C214" i="3" s="1"/>
  <c r="A215" i="3"/>
  <c r="F213" i="3"/>
  <c r="H213" i="3" s="1"/>
  <c r="D215" i="2"/>
  <c r="I215" i="2" s="1"/>
  <c r="A217" i="2"/>
  <c r="E216" i="2"/>
  <c r="G216" i="2" s="1"/>
  <c r="B216" i="2"/>
  <c r="C216" i="2" s="1"/>
  <c r="F216" i="2"/>
  <c r="H216" i="2" s="1"/>
  <c r="J216" i="2" s="1"/>
  <c r="F214" i="3" l="1"/>
  <c r="H214" i="3" s="1"/>
  <c r="B215" i="3"/>
  <c r="C215" i="3" s="1"/>
  <c r="A216" i="3"/>
  <c r="D215" i="3"/>
  <c r="I215" i="3" s="1"/>
  <c r="J215" i="3"/>
  <c r="E215" i="3"/>
  <c r="G215" i="3" s="1"/>
  <c r="D216" i="2"/>
  <c r="I216" i="2" s="1"/>
  <c r="E217" i="2"/>
  <c r="B217" i="2"/>
  <c r="C217" i="2" s="1"/>
  <c r="F217" i="2"/>
  <c r="H217" i="2" s="1"/>
  <c r="J217" i="2" s="1"/>
  <c r="A218" i="2"/>
  <c r="D217" i="2" l="1"/>
  <c r="I217" i="2" s="1"/>
  <c r="F215" i="3"/>
  <c r="H215" i="3" s="1"/>
  <c r="J216" i="3"/>
  <c r="B216" i="3"/>
  <c r="C216" i="3" s="1"/>
  <c r="A217" i="3"/>
  <c r="D216" i="3"/>
  <c r="I216" i="3" s="1"/>
  <c r="E216" i="3"/>
  <c r="G216" i="3" s="1"/>
  <c r="G217" i="2"/>
  <c r="A219" i="2"/>
  <c r="E218" i="2"/>
  <c r="B218" i="2"/>
  <c r="C218" i="2" s="1"/>
  <c r="F218" i="2"/>
  <c r="H218" i="2" s="1"/>
  <c r="J218" i="2" s="1"/>
  <c r="G218" i="2" l="1"/>
  <c r="F216" i="3"/>
  <c r="H216" i="3" s="1"/>
  <c r="D217" i="3"/>
  <c r="I217" i="3" s="1"/>
  <c r="E217" i="3"/>
  <c r="G217" i="3" s="1"/>
  <c r="J217" i="3"/>
  <c r="B217" i="3"/>
  <c r="C217" i="3" s="1"/>
  <c r="A218" i="3"/>
  <c r="D218" i="2"/>
  <c r="I218" i="2" s="1"/>
  <c r="E219" i="2"/>
  <c r="G219" i="2" s="1"/>
  <c r="B219" i="2"/>
  <c r="C219" i="2" s="1"/>
  <c r="F219" i="2"/>
  <c r="A220" i="2"/>
  <c r="D219" i="2" l="1"/>
  <c r="I219" i="2" s="1"/>
  <c r="F217" i="3"/>
  <c r="H217" i="3" s="1"/>
  <c r="B218" i="3"/>
  <c r="C218" i="3" s="1"/>
  <c r="A219" i="3"/>
  <c r="E218" i="3"/>
  <c r="G218" i="3" s="1"/>
  <c r="J218" i="3"/>
  <c r="D218" i="3"/>
  <c r="I218" i="3" s="1"/>
  <c r="A221" i="2"/>
  <c r="B220" i="2"/>
  <c r="C220" i="2" s="1"/>
  <c r="F220" i="2"/>
  <c r="H219" i="2"/>
  <c r="J219" i="2" s="1"/>
  <c r="E220" i="2" s="1"/>
  <c r="F218" i="3" l="1"/>
  <c r="H218" i="3" s="1"/>
  <c r="E219" i="3"/>
  <c r="G219" i="3" s="1"/>
  <c r="J219" i="3"/>
  <c r="A220" i="3"/>
  <c r="D219" i="3"/>
  <c r="F219" i="3" s="1"/>
  <c r="B219" i="3"/>
  <c r="C219" i="3" s="1"/>
  <c r="H220" i="2"/>
  <c r="J220" i="2" s="1"/>
  <c r="E221" i="2" s="1"/>
  <c r="G220" i="2"/>
  <c r="D220" i="2"/>
  <c r="I220" i="2" s="1"/>
  <c r="B221" i="2"/>
  <c r="C221" i="2" s="1"/>
  <c r="F221" i="2"/>
  <c r="A222" i="2"/>
  <c r="G221" i="2" l="1"/>
  <c r="H221" i="2"/>
  <c r="J221" i="2" s="1"/>
  <c r="E222" i="2" s="1"/>
  <c r="G222" i="2" s="1"/>
  <c r="I219" i="3"/>
  <c r="H219" i="3"/>
  <c r="E220" i="3"/>
  <c r="G220" i="3" s="1"/>
  <c r="J220" i="3"/>
  <c r="B220" i="3"/>
  <c r="C220" i="3" s="1"/>
  <c r="A221" i="3"/>
  <c r="D220" i="3"/>
  <c r="F220" i="3" s="1"/>
  <c r="D221" i="2"/>
  <c r="I221" i="2" s="1"/>
  <c r="A223" i="2"/>
  <c r="B222" i="2"/>
  <c r="C222" i="2" s="1"/>
  <c r="F222" i="2"/>
  <c r="H222" i="2" l="1"/>
  <c r="J222" i="2" s="1"/>
  <c r="H220" i="3"/>
  <c r="D221" i="3"/>
  <c r="B221" i="3"/>
  <c r="C221" i="3" s="1"/>
  <c r="A222" i="3"/>
  <c r="J221" i="3"/>
  <c r="E221" i="3"/>
  <c r="F221" i="3" s="1"/>
  <c r="H221" i="3" s="1"/>
  <c r="I220" i="3"/>
  <c r="I221" i="3" s="1"/>
  <c r="D222" i="2"/>
  <c r="I222" i="2" s="1"/>
  <c r="E223" i="2"/>
  <c r="G223" i="2" s="1"/>
  <c r="B223" i="2"/>
  <c r="C223" i="2" s="1"/>
  <c r="F223" i="2"/>
  <c r="H223" i="2" s="1"/>
  <c r="J223" i="2" s="1"/>
  <c r="A224" i="2"/>
  <c r="G221" i="3" l="1"/>
  <c r="E222" i="3"/>
  <c r="J222" i="3"/>
  <c r="D222" i="3"/>
  <c r="I222" i="3" s="1"/>
  <c r="B222" i="3"/>
  <c r="C222" i="3" s="1"/>
  <c r="A223" i="3"/>
  <c r="D223" i="2"/>
  <c r="I223" i="2" s="1"/>
  <c r="A225" i="2"/>
  <c r="E224" i="2"/>
  <c r="G224" i="2" s="1"/>
  <c r="B224" i="2"/>
  <c r="C224" i="2" s="1"/>
  <c r="F224" i="2"/>
  <c r="H224" i="2" s="1"/>
  <c r="J224" i="2" s="1"/>
  <c r="G222" i="3" l="1"/>
  <c r="F222" i="3"/>
  <c r="H222" i="3" s="1"/>
  <c r="J223" i="3"/>
  <c r="A224" i="3"/>
  <c r="E223" i="3"/>
  <c r="G223" i="3" s="1"/>
  <c r="B223" i="3"/>
  <c r="C223" i="3" s="1"/>
  <c r="D223" i="3"/>
  <c r="I223" i="3" s="1"/>
  <c r="D224" i="2"/>
  <c r="I224" i="2" s="1"/>
  <c r="E225" i="2"/>
  <c r="G225" i="2" s="1"/>
  <c r="B225" i="2"/>
  <c r="C225" i="2" s="1"/>
  <c r="F225" i="2"/>
  <c r="H225" i="2" s="1"/>
  <c r="J225" i="2" s="1"/>
  <c r="A226" i="2"/>
  <c r="F223" i="3" l="1"/>
  <c r="H223" i="3" s="1"/>
  <c r="D224" i="3"/>
  <c r="I224" i="3" s="1"/>
  <c r="E224" i="3"/>
  <c r="G224" i="3" s="1"/>
  <c r="J224" i="3"/>
  <c r="B224" i="3"/>
  <c r="C224" i="3" s="1"/>
  <c r="A225" i="3"/>
  <c r="D225" i="2"/>
  <c r="I225" i="2" s="1"/>
  <c r="A227" i="2"/>
  <c r="E226" i="2"/>
  <c r="G226" i="2" s="1"/>
  <c r="B226" i="2"/>
  <c r="C226" i="2" s="1"/>
  <c r="F226" i="2"/>
  <c r="D226" i="2" l="1"/>
  <c r="I226" i="2" s="1"/>
  <c r="F224" i="3"/>
  <c r="H224" i="3" s="1"/>
  <c r="E225" i="3"/>
  <c r="G225" i="3" s="1"/>
  <c r="J225" i="3"/>
  <c r="A226" i="3"/>
  <c r="D225" i="3"/>
  <c r="F225" i="3" s="1"/>
  <c r="B225" i="3"/>
  <c r="C225" i="3" s="1"/>
  <c r="H226" i="2"/>
  <c r="J226" i="2" s="1"/>
  <c r="E227" i="2" s="1"/>
  <c r="B227" i="2"/>
  <c r="C227" i="2" s="1"/>
  <c r="F227" i="2"/>
  <c r="A228" i="2"/>
  <c r="H227" i="2" l="1"/>
  <c r="J227" i="2" s="1"/>
  <c r="I225" i="3"/>
  <c r="H225" i="3"/>
  <c r="D226" i="3"/>
  <c r="I226" i="3" s="1"/>
  <c r="B226" i="3"/>
  <c r="C226" i="3" s="1"/>
  <c r="A227" i="3"/>
  <c r="E226" i="3"/>
  <c r="G226" i="3" s="1"/>
  <c r="J226" i="3"/>
  <c r="F226" i="3"/>
  <c r="H226" i="3" s="1"/>
  <c r="G227" i="2"/>
  <c r="D227" i="2"/>
  <c r="I227" i="2" s="1"/>
  <c r="A229" i="2"/>
  <c r="E228" i="2"/>
  <c r="B228" i="2"/>
  <c r="C228" i="2" s="1"/>
  <c r="F228" i="2"/>
  <c r="H228" i="2" s="1"/>
  <c r="J228" i="2" s="1"/>
  <c r="D228" i="2" l="1"/>
  <c r="I228" i="2" s="1"/>
  <c r="A228" i="3"/>
  <c r="D227" i="3"/>
  <c r="I227" i="3" s="1"/>
  <c r="B227" i="3"/>
  <c r="C227" i="3" s="1"/>
  <c r="E227" i="3"/>
  <c r="G227" i="3" s="1"/>
  <c r="J227" i="3"/>
  <c r="E229" i="2"/>
  <c r="B229" i="2"/>
  <c r="C229" i="2" s="1"/>
  <c r="F229" i="2"/>
  <c r="H229" i="2" s="1"/>
  <c r="J229" i="2" s="1"/>
  <c r="A230" i="2"/>
  <c r="G228" i="2"/>
  <c r="F227" i="3" l="1"/>
  <c r="H227" i="3" s="1"/>
  <c r="D228" i="3"/>
  <c r="I228" i="3" s="1"/>
  <c r="E228" i="3"/>
  <c r="G228" i="3" s="1"/>
  <c r="J228" i="3"/>
  <c r="B228" i="3"/>
  <c r="C228" i="3" s="1"/>
  <c r="A229" i="3"/>
  <c r="G229" i="2"/>
  <c r="A231" i="2"/>
  <c r="E230" i="2"/>
  <c r="G230" i="2" s="1"/>
  <c r="B230" i="2"/>
  <c r="C230" i="2" s="1"/>
  <c r="F230" i="2"/>
  <c r="H230" i="2" s="1"/>
  <c r="J230" i="2" s="1"/>
  <c r="D229" i="2"/>
  <c r="I229" i="2" s="1"/>
  <c r="F228" i="3" l="1"/>
  <c r="H228" i="3" s="1"/>
  <c r="B229" i="3"/>
  <c r="C229" i="3" s="1"/>
  <c r="D229" i="3"/>
  <c r="I229" i="3" s="1"/>
  <c r="E229" i="3"/>
  <c r="G229" i="3" s="1"/>
  <c r="A230" i="3"/>
  <c r="J229" i="3"/>
  <c r="D230" i="2"/>
  <c r="I230" i="2" s="1"/>
  <c r="E231" i="2"/>
  <c r="B231" i="2"/>
  <c r="C231" i="2" s="1"/>
  <c r="F231" i="2"/>
  <c r="H231" i="2" s="1"/>
  <c r="J231" i="2" s="1"/>
  <c r="A232" i="2"/>
  <c r="F229" i="3" l="1"/>
  <c r="H229" i="3" s="1"/>
  <c r="D231" i="2"/>
  <c r="I231" i="2" s="1"/>
  <c r="B230" i="3"/>
  <c r="C230" i="3" s="1"/>
  <c r="A231" i="3"/>
  <c r="D230" i="3"/>
  <c r="I230" i="3" s="1"/>
  <c r="E230" i="3"/>
  <c r="G230" i="3" s="1"/>
  <c r="J230" i="3"/>
  <c r="G231" i="2"/>
  <c r="A233" i="2"/>
  <c r="E232" i="2"/>
  <c r="B232" i="2"/>
  <c r="C232" i="2" s="1"/>
  <c r="F232" i="2"/>
  <c r="H232" i="2" s="1"/>
  <c r="J232" i="2" s="1"/>
  <c r="F230" i="3" l="1"/>
  <c r="H230" i="3" s="1"/>
  <c r="D232" i="2"/>
  <c r="J231" i="3"/>
  <c r="D231" i="3"/>
  <c r="I231" i="3" s="1"/>
  <c r="E231" i="3"/>
  <c r="B231" i="3"/>
  <c r="C231" i="3" s="1"/>
  <c r="A232" i="3"/>
  <c r="G232" i="2"/>
  <c r="I232" i="2"/>
  <c r="E233" i="2"/>
  <c r="B233" i="2"/>
  <c r="C233" i="2" s="1"/>
  <c r="F233" i="2"/>
  <c r="H233" i="2" s="1"/>
  <c r="J233" i="2" s="1"/>
  <c r="A234" i="2"/>
  <c r="F231" i="3" l="1"/>
  <c r="H231" i="3" s="1"/>
  <c r="G231" i="3"/>
  <c r="J232" i="3"/>
  <c r="B232" i="3"/>
  <c r="C232" i="3" s="1"/>
  <c r="A233" i="3"/>
  <c r="D232" i="3"/>
  <c r="I232" i="3" s="1"/>
  <c r="E232" i="3"/>
  <c r="G232" i="3" s="1"/>
  <c r="G233" i="2"/>
  <c r="A235" i="2"/>
  <c r="E234" i="2"/>
  <c r="B234" i="2"/>
  <c r="C234" i="2" s="1"/>
  <c r="F234" i="2"/>
  <c r="H234" i="2" s="1"/>
  <c r="J234" i="2" s="1"/>
  <c r="D233" i="2"/>
  <c r="I233" i="2" s="1"/>
  <c r="F232" i="3" l="1"/>
  <c r="H232" i="3" s="1"/>
  <c r="D234" i="2"/>
  <c r="I234" i="2" s="1"/>
  <c r="D233" i="3"/>
  <c r="I233" i="3" s="1"/>
  <c r="E233" i="3"/>
  <c r="G233" i="3" s="1"/>
  <c r="J233" i="3"/>
  <c r="B233" i="3"/>
  <c r="C233" i="3" s="1"/>
  <c r="A234" i="3"/>
  <c r="G234" i="2"/>
  <c r="E235" i="2"/>
  <c r="B235" i="2"/>
  <c r="C235" i="2" s="1"/>
  <c r="F235" i="2"/>
  <c r="H235" i="2" s="1"/>
  <c r="J235" i="2" s="1"/>
  <c r="A236" i="2"/>
  <c r="F233" i="3" l="1"/>
  <c r="H233" i="3" s="1"/>
  <c r="D235" i="2"/>
  <c r="I235" i="2" s="1"/>
  <c r="E234" i="3"/>
  <c r="G234" i="3" s="1"/>
  <c r="J234" i="3"/>
  <c r="D234" i="3"/>
  <c r="B234" i="3"/>
  <c r="C234" i="3" s="1"/>
  <c r="A235" i="3"/>
  <c r="G235" i="2"/>
  <c r="A237" i="2"/>
  <c r="E236" i="2"/>
  <c r="B236" i="2"/>
  <c r="C236" i="2" s="1"/>
  <c r="F236" i="2"/>
  <c r="H236" i="2" s="1"/>
  <c r="J236" i="2" s="1"/>
  <c r="D236" i="2" l="1"/>
  <c r="I236" i="2" s="1"/>
  <c r="F234" i="3"/>
  <c r="H234" i="3" s="1"/>
  <c r="I234" i="3"/>
  <c r="E235" i="3"/>
  <c r="G235" i="3" s="1"/>
  <c r="J235" i="3"/>
  <c r="A236" i="3"/>
  <c r="D235" i="3"/>
  <c r="I235" i="3" s="1"/>
  <c r="B235" i="3"/>
  <c r="C235" i="3" s="1"/>
  <c r="G236" i="2"/>
  <c r="E237" i="2"/>
  <c r="B237" i="2"/>
  <c r="C237" i="2" s="1"/>
  <c r="F237" i="2"/>
  <c r="D237" i="2" s="1"/>
  <c r="I237" i="2" s="1"/>
  <c r="A238" i="2"/>
  <c r="E236" i="3" l="1"/>
  <c r="G236" i="3" s="1"/>
  <c r="J236" i="3"/>
  <c r="B236" i="3"/>
  <c r="C236" i="3" s="1"/>
  <c r="A237" i="3"/>
  <c r="D236" i="3"/>
  <c r="I236" i="3" s="1"/>
  <c r="F235" i="3"/>
  <c r="H235" i="3" s="1"/>
  <c r="G237" i="2"/>
  <c r="A239" i="2"/>
  <c r="B238" i="2"/>
  <c r="C238" i="2" s="1"/>
  <c r="F238" i="2"/>
  <c r="H237" i="2"/>
  <c r="J237" i="2" s="1"/>
  <c r="E238" i="2" s="1"/>
  <c r="G238" i="2" s="1"/>
  <c r="F236" i="3" l="1"/>
  <c r="H236" i="3" s="1"/>
  <c r="A238" i="3"/>
  <c r="E237" i="3"/>
  <c r="G237" i="3" s="1"/>
  <c r="B237" i="3"/>
  <c r="C237" i="3" s="1"/>
  <c r="D237" i="3"/>
  <c r="I237" i="3" s="1"/>
  <c r="J237" i="3"/>
  <c r="H238" i="2"/>
  <c r="J238" i="2" s="1"/>
  <c r="E239" i="2" s="1"/>
  <c r="G239" i="2" s="1"/>
  <c r="D238" i="2"/>
  <c r="I238" i="2" s="1"/>
  <c r="B239" i="2"/>
  <c r="C239" i="2" s="1"/>
  <c r="F239" i="2"/>
  <c r="A240" i="2"/>
  <c r="F237" i="3" l="1"/>
  <c r="H237" i="3" s="1"/>
  <c r="H239" i="2"/>
  <c r="J239" i="2" s="1"/>
  <c r="A239" i="3"/>
  <c r="J238" i="3"/>
  <c r="E238" i="3"/>
  <c r="G238" i="3" s="1"/>
  <c r="D238" i="3"/>
  <c r="I238" i="3" s="1"/>
  <c r="B238" i="3"/>
  <c r="C238" i="3" s="1"/>
  <c r="D239" i="2"/>
  <c r="I239" i="2" s="1"/>
  <c r="A241" i="2"/>
  <c r="E240" i="2"/>
  <c r="B240" i="2"/>
  <c r="C240" i="2" s="1"/>
  <c r="F240" i="2"/>
  <c r="D240" i="2" l="1"/>
  <c r="F238" i="3"/>
  <c r="H238" i="3" s="1"/>
  <c r="H240" i="2"/>
  <c r="J240" i="2" s="1"/>
  <c r="E241" i="2" s="1"/>
  <c r="I240" i="2"/>
  <c r="J239" i="3"/>
  <c r="A240" i="3"/>
  <c r="E239" i="3"/>
  <c r="G239" i="3" s="1"/>
  <c r="B239" i="3"/>
  <c r="C239" i="3" s="1"/>
  <c r="D239" i="3"/>
  <c r="I239" i="3" s="1"/>
  <c r="B241" i="2"/>
  <c r="C241" i="2" s="1"/>
  <c r="F241" i="2"/>
  <c r="H241" i="2" s="1"/>
  <c r="J241" i="2" s="1"/>
  <c r="A242" i="2"/>
  <c r="G240" i="2"/>
  <c r="F239" i="3" l="1"/>
  <c r="H239" i="3" s="1"/>
  <c r="A241" i="3"/>
  <c r="J240" i="3"/>
  <c r="E240" i="3"/>
  <c r="G240" i="3" s="1"/>
  <c r="B240" i="3"/>
  <c r="C240" i="3" s="1"/>
  <c r="D240" i="3"/>
  <c r="G241" i="2"/>
  <c r="D241" i="2"/>
  <c r="I241" i="2" s="1"/>
  <c r="A243" i="2"/>
  <c r="E242" i="2"/>
  <c r="B242" i="2"/>
  <c r="C242" i="2" s="1"/>
  <c r="F242" i="2"/>
  <c r="H242" i="2" s="1"/>
  <c r="J242" i="2" s="1"/>
  <c r="G242" i="2" l="1"/>
  <c r="F240" i="3"/>
  <c r="H240" i="3"/>
  <c r="I240" i="3"/>
  <c r="A242" i="3"/>
  <c r="B241" i="3"/>
  <c r="C241" i="3" s="1"/>
  <c r="E241" i="3"/>
  <c r="J241" i="3"/>
  <c r="D241" i="3"/>
  <c r="G241" i="3"/>
  <c r="D242" i="2"/>
  <c r="I242" i="2" s="1"/>
  <c r="E243" i="2"/>
  <c r="B243" i="2"/>
  <c r="C243" i="2" s="1"/>
  <c r="F243" i="2"/>
  <c r="H243" i="2" s="1"/>
  <c r="J243" i="2" s="1"/>
  <c r="A244" i="2"/>
  <c r="I241" i="3" l="1"/>
  <c r="F241" i="3"/>
  <c r="H241" i="3" s="1"/>
  <c r="B242" i="3"/>
  <c r="C242" i="3" s="1"/>
  <c r="J242" i="3"/>
  <c r="A243" i="3"/>
  <c r="E242" i="3"/>
  <c r="G242" i="3" s="1"/>
  <c r="D242" i="3"/>
  <c r="I242" i="3" s="1"/>
  <c r="D243" i="2"/>
  <c r="I243" i="2" s="1"/>
  <c r="G243" i="2"/>
  <c r="A245" i="2"/>
  <c r="E244" i="2"/>
  <c r="B244" i="2"/>
  <c r="C244" i="2" s="1"/>
  <c r="F244" i="2"/>
  <c r="H244" i="2" s="1"/>
  <c r="J244" i="2" s="1"/>
  <c r="F242" i="3" l="1"/>
  <c r="H242" i="3"/>
  <c r="G244" i="2"/>
  <c r="D243" i="3"/>
  <c r="I243" i="3" s="1"/>
  <c r="J243" i="3"/>
  <c r="B243" i="3"/>
  <c r="C243" i="3" s="1"/>
  <c r="A244" i="3"/>
  <c r="E243" i="3"/>
  <c r="G243" i="3" s="1"/>
  <c r="D244" i="2"/>
  <c r="I244" i="2" s="1"/>
  <c r="E245" i="2"/>
  <c r="G245" i="2" s="1"/>
  <c r="B245" i="2"/>
  <c r="C245" i="2" s="1"/>
  <c r="F245" i="2"/>
  <c r="H245" i="2" s="1"/>
  <c r="J245" i="2" s="1"/>
  <c r="A246" i="2"/>
  <c r="F243" i="3" l="1"/>
  <c r="H243" i="3" s="1"/>
  <c r="B244" i="3"/>
  <c r="C244" i="3" s="1"/>
  <c r="A245" i="3"/>
  <c r="E244" i="3"/>
  <c r="G244" i="3" s="1"/>
  <c r="J244" i="3"/>
  <c r="D244" i="3"/>
  <c r="D245" i="2"/>
  <c r="I245" i="2" s="1"/>
  <c r="A247" i="2"/>
  <c r="B246" i="2"/>
  <c r="C246" i="2" s="1"/>
  <c r="F246" i="2"/>
  <c r="H246" i="2" s="1"/>
  <c r="J246" i="2" s="1"/>
  <c r="E246" i="2"/>
  <c r="G246" i="2" s="1"/>
  <c r="F244" i="3" l="1"/>
  <c r="H244" i="3" s="1"/>
  <c r="I244" i="3"/>
  <c r="D245" i="3"/>
  <c r="A246" i="3"/>
  <c r="B245" i="3"/>
  <c r="C245" i="3" s="1"/>
  <c r="E245" i="3"/>
  <c r="G245" i="3" s="1"/>
  <c r="J245" i="3"/>
  <c r="D246" i="2"/>
  <c r="I246" i="2" s="1"/>
  <c r="B247" i="2"/>
  <c r="C247" i="2" s="1"/>
  <c r="E247" i="2"/>
  <c r="G247" i="2" s="1"/>
  <c r="F247" i="2"/>
  <c r="H247" i="2" s="1"/>
  <c r="J247" i="2" s="1"/>
  <c r="A248" i="2"/>
  <c r="F245" i="3" l="1"/>
  <c r="H245" i="3" s="1"/>
  <c r="I245" i="3"/>
  <c r="E246" i="3"/>
  <c r="G246" i="3" s="1"/>
  <c r="B246" i="3"/>
  <c r="C246" i="3" s="1"/>
  <c r="J246" i="3"/>
  <c r="A247" i="3"/>
  <c r="D246" i="3"/>
  <c r="I246" i="3" s="1"/>
  <c r="B248" i="2"/>
  <c r="C248" i="2" s="1"/>
  <c r="F248" i="2"/>
  <c r="H248" i="2" s="1"/>
  <c r="J248" i="2" s="1"/>
  <c r="E248" i="2"/>
  <c r="A249" i="2"/>
  <c r="G248" i="2"/>
  <c r="D247" i="2"/>
  <c r="I247" i="2" s="1"/>
  <c r="D248" i="2" l="1"/>
  <c r="I248" i="2"/>
  <c r="F246" i="3"/>
  <c r="H246" i="3" s="1"/>
  <c r="D247" i="3"/>
  <c r="I247" i="3" s="1"/>
  <c r="J247" i="3"/>
  <c r="A248" i="3"/>
  <c r="B247" i="3"/>
  <c r="C247" i="3" s="1"/>
  <c r="E247" i="3"/>
  <c r="G247" i="3" s="1"/>
  <c r="E249" i="2"/>
  <c r="F249" i="2"/>
  <c r="H249" i="2" s="1"/>
  <c r="J249" i="2" s="1"/>
  <c r="A250" i="2"/>
  <c r="B249" i="2"/>
  <c r="C249" i="2" s="1"/>
  <c r="F247" i="3" l="1"/>
  <c r="H247" i="3" s="1"/>
  <c r="D249" i="2"/>
  <c r="I249" i="2" s="1"/>
  <c r="E248" i="3"/>
  <c r="G248" i="3" s="1"/>
  <c r="B248" i="3"/>
  <c r="C248" i="3" s="1"/>
  <c r="J248" i="3"/>
  <c r="D248" i="3"/>
  <c r="I248" i="3" s="1"/>
  <c r="A249" i="3"/>
  <c r="B250" i="2"/>
  <c r="C250" i="2" s="1"/>
  <c r="F250" i="2"/>
  <c r="E250" i="2"/>
  <c r="D250" i="2" s="1"/>
  <c r="I250" i="2" s="1"/>
  <c r="A251" i="2"/>
  <c r="H250" i="2"/>
  <c r="J250" i="2" s="1"/>
  <c r="G249" i="2"/>
  <c r="F248" i="3" l="1"/>
  <c r="H248" i="3" s="1"/>
  <c r="D249" i="3"/>
  <c r="I249" i="3" s="1"/>
  <c r="E249" i="3"/>
  <c r="G249" i="3" s="1"/>
  <c r="J249" i="3"/>
  <c r="A250" i="3"/>
  <c r="B249" i="3"/>
  <c r="C249" i="3" s="1"/>
  <c r="G250" i="2"/>
  <c r="E251" i="2"/>
  <c r="F251" i="2"/>
  <c r="H251" i="2" s="1"/>
  <c r="J251" i="2" s="1"/>
  <c r="A252" i="2"/>
  <c r="B251" i="2"/>
  <c r="C251" i="2" s="1"/>
  <c r="D251" i="2" l="1"/>
  <c r="I251" i="2" s="1"/>
  <c r="F249" i="3"/>
  <c r="H249" i="3" s="1"/>
  <c r="G251" i="2"/>
  <c r="A251" i="3"/>
  <c r="E250" i="3"/>
  <c r="D250" i="3"/>
  <c r="J250" i="3"/>
  <c r="G250" i="3"/>
  <c r="B250" i="3"/>
  <c r="C250" i="3" s="1"/>
  <c r="B252" i="2"/>
  <c r="C252" i="2" s="1"/>
  <c r="F252" i="2"/>
  <c r="H252" i="2" s="1"/>
  <c r="J252" i="2" s="1"/>
  <c r="E252" i="2"/>
  <c r="D252" i="2" s="1"/>
  <c r="I252" i="2" s="1"/>
  <c r="A253" i="2"/>
  <c r="F250" i="3" l="1"/>
  <c r="H250" i="3" s="1"/>
  <c r="I250" i="3"/>
  <c r="G252" i="2"/>
  <c r="B251" i="3"/>
  <c r="C251" i="3" s="1"/>
  <c r="E251" i="3"/>
  <c r="G251" i="3" s="1"/>
  <c r="D251" i="3"/>
  <c r="I251" i="3" s="1"/>
  <c r="J251" i="3"/>
  <c r="A252" i="3"/>
  <c r="F253" i="2"/>
  <c r="H253" i="2" s="1"/>
  <c r="J253" i="2" s="1"/>
  <c r="A254" i="2"/>
  <c r="B253" i="2"/>
  <c r="C253" i="2" s="1"/>
  <c r="E253" i="2"/>
  <c r="D253" i="2" l="1"/>
  <c r="I253" i="2" s="1"/>
  <c r="A253" i="3"/>
  <c r="E252" i="3"/>
  <c r="G252" i="3" s="1"/>
  <c r="B252" i="3"/>
  <c r="C252" i="3" s="1"/>
  <c r="J252" i="3"/>
  <c r="D252" i="3"/>
  <c r="I252" i="3" s="1"/>
  <c r="F251" i="3"/>
  <c r="H251" i="3" s="1"/>
  <c r="B254" i="2"/>
  <c r="C254" i="2" s="1"/>
  <c r="F254" i="2"/>
  <c r="H254" i="2" s="1"/>
  <c r="J254" i="2" s="1"/>
  <c r="E254" i="2"/>
  <c r="A255" i="2"/>
  <c r="G253" i="2"/>
  <c r="D254" i="2" l="1"/>
  <c r="I254" i="2" s="1"/>
  <c r="F252" i="3"/>
  <c r="H252" i="3" s="1"/>
  <c r="D253" i="3"/>
  <c r="I253" i="3" s="1"/>
  <c r="E253" i="3"/>
  <c r="G253" i="3" s="1"/>
  <c r="J253" i="3"/>
  <c r="A254" i="3"/>
  <c r="B253" i="3"/>
  <c r="C253" i="3" s="1"/>
  <c r="G254" i="2"/>
  <c r="B255" i="2"/>
  <c r="C255" i="2" s="1"/>
  <c r="E255" i="2"/>
  <c r="G255" i="2" s="1"/>
  <c r="F255" i="2"/>
  <c r="H255" i="2" s="1"/>
  <c r="J255" i="2" s="1"/>
  <c r="A256" i="2"/>
  <c r="F253" i="3" l="1"/>
  <c r="H253" i="3"/>
  <c r="D255" i="2"/>
  <c r="I255" i="2" s="1"/>
  <c r="A255" i="3"/>
  <c r="J254" i="3"/>
  <c r="B254" i="3"/>
  <c r="C254" i="3" s="1"/>
  <c r="E254" i="3"/>
  <c r="G254" i="3" s="1"/>
  <c r="F254" i="3"/>
  <c r="H254" i="3" s="1"/>
  <c r="D254" i="3"/>
  <c r="I254" i="3" s="1"/>
  <c r="B256" i="2"/>
  <c r="C256" i="2" s="1"/>
  <c r="F256" i="2"/>
  <c r="H256" i="2" s="1"/>
  <c r="J256" i="2" s="1"/>
  <c r="E256" i="2"/>
  <c r="D256" i="2" s="1"/>
  <c r="I256" i="2" s="1"/>
  <c r="A257" i="2"/>
  <c r="G256" i="2" l="1"/>
  <c r="B255" i="3"/>
  <c r="C255" i="3" s="1"/>
  <c r="D255" i="3"/>
  <c r="I255" i="3" s="1"/>
  <c r="A256" i="3"/>
  <c r="E255" i="3"/>
  <c r="G255" i="3" s="1"/>
  <c r="J255" i="3"/>
  <c r="E257" i="2"/>
  <c r="F257" i="2"/>
  <c r="H257" i="2" s="1"/>
  <c r="J257" i="2" s="1"/>
  <c r="A258" i="2"/>
  <c r="B257" i="2"/>
  <c r="C257" i="2" s="1"/>
  <c r="G257" i="2"/>
  <c r="D257" i="2" l="1"/>
  <c r="I257" i="2" s="1"/>
  <c r="F255" i="3"/>
  <c r="H255" i="3" s="1"/>
  <c r="D256" i="3"/>
  <c r="I256" i="3" s="1"/>
  <c r="A257" i="3"/>
  <c r="E256" i="3"/>
  <c r="G256" i="3" s="1"/>
  <c r="B256" i="3"/>
  <c r="C256" i="3" s="1"/>
  <c r="J256" i="3"/>
  <c r="B258" i="2"/>
  <c r="C258" i="2" s="1"/>
  <c r="F258" i="2"/>
  <c r="H258" i="2" s="1"/>
  <c r="J258" i="2" s="1"/>
  <c r="E258" i="2"/>
  <c r="A259" i="2"/>
  <c r="F256" i="3" l="1"/>
  <c r="D258" i="2"/>
  <c r="I258" i="2" s="1"/>
  <c r="H256" i="3"/>
  <c r="D257" i="3"/>
  <c r="I257" i="3" s="1"/>
  <c r="A258" i="3"/>
  <c r="B257" i="3"/>
  <c r="C257" i="3" s="1"/>
  <c r="E257" i="3"/>
  <c r="G257" i="3" s="1"/>
  <c r="J257" i="3"/>
  <c r="G258" i="2"/>
  <c r="E259" i="2"/>
  <c r="D259" i="2" s="1"/>
  <c r="I259" i="2" s="1"/>
  <c r="F259" i="2"/>
  <c r="H259" i="2" s="1"/>
  <c r="J259" i="2" s="1"/>
  <c r="A260" i="2"/>
  <c r="B259" i="2"/>
  <c r="C259" i="2" s="1"/>
  <c r="F257" i="3" l="1"/>
  <c r="H257" i="3" s="1"/>
  <c r="G259" i="2"/>
  <c r="E258" i="3"/>
  <c r="G258" i="3" s="1"/>
  <c r="D258" i="3"/>
  <c r="F258" i="3" s="1"/>
  <c r="H258" i="3" s="1"/>
  <c r="B258" i="3"/>
  <c r="C258" i="3" s="1"/>
  <c r="A259" i="3"/>
  <c r="J258" i="3"/>
  <c r="B260" i="2"/>
  <c r="C260" i="2" s="1"/>
  <c r="F260" i="2"/>
  <c r="E260" i="2"/>
  <c r="G260" i="2" s="1"/>
  <c r="A261" i="2"/>
  <c r="H260" i="2"/>
  <c r="J260" i="2" s="1"/>
  <c r="D260" i="2"/>
  <c r="I260" i="2" s="1"/>
  <c r="I258" i="3" l="1"/>
  <c r="B259" i="3"/>
  <c r="C259" i="3" s="1"/>
  <c r="E259" i="3"/>
  <c r="G259" i="3" s="1"/>
  <c r="D259" i="3"/>
  <c r="I259" i="3" s="1"/>
  <c r="J259" i="3"/>
  <c r="A260" i="3"/>
  <c r="F261" i="2"/>
  <c r="H261" i="2" s="1"/>
  <c r="J261" i="2" s="1"/>
  <c r="A262" i="2"/>
  <c r="B261" i="2"/>
  <c r="C261" i="2" s="1"/>
  <c r="E261" i="2"/>
  <c r="D261" i="2" s="1"/>
  <c r="I261" i="2" s="1"/>
  <c r="E260" i="3" l="1"/>
  <c r="B260" i="3"/>
  <c r="C260" i="3" s="1"/>
  <c r="J260" i="3"/>
  <c r="G260" i="3"/>
  <c r="D260" i="3"/>
  <c r="I260" i="3" s="1"/>
  <c r="A261" i="3"/>
  <c r="F260" i="3"/>
  <c r="F259" i="3"/>
  <c r="H259" i="3" s="1"/>
  <c r="B262" i="2"/>
  <c r="C262" i="2" s="1"/>
  <c r="F262" i="2"/>
  <c r="H262" i="2" s="1"/>
  <c r="J262" i="2" s="1"/>
  <c r="E262" i="2"/>
  <c r="A263" i="2"/>
  <c r="G261" i="2"/>
  <c r="G262" i="2" l="1"/>
  <c r="H260" i="3"/>
  <c r="D261" i="3"/>
  <c r="F261" i="3" s="1"/>
  <c r="H261" i="3" s="1"/>
  <c r="B261" i="3"/>
  <c r="C261" i="3" s="1"/>
  <c r="A262" i="3"/>
  <c r="E261" i="3"/>
  <c r="G261" i="3" s="1"/>
  <c r="J261" i="3"/>
  <c r="D262" i="2"/>
  <c r="I262" i="2" s="1"/>
  <c r="B263" i="2"/>
  <c r="C263" i="2" s="1"/>
  <c r="A264" i="2"/>
  <c r="E263" i="2"/>
  <c r="F263" i="2"/>
  <c r="H263" i="2" s="1"/>
  <c r="J263" i="2" s="1"/>
  <c r="I261" i="3" l="1"/>
  <c r="D263" i="2"/>
  <c r="I263" i="2" s="1"/>
  <c r="A263" i="3"/>
  <c r="D262" i="3"/>
  <c r="I262" i="3" s="1"/>
  <c r="B262" i="3"/>
  <c r="C262" i="3" s="1"/>
  <c r="E262" i="3"/>
  <c r="G262" i="3" s="1"/>
  <c r="J262" i="3"/>
  <c r="E264" i="2"/>
  <c r="B264" i="2"/>
  <c r="C264" i="2" s="1"/>
  <c r="F264" i="2"/>
  <c r="A265" i="2"/>
  <c r="G263" i="2"/>
  <c r="D264" i="2" l="1"/>
  <c r="I264" i="2" s="1"/>
  <c r="H264" i="2"/>
  <c r="J264" i="2" s="1"/>
  <c r="G264" i="2"/>
  <c r="F262" i="3"/>
  <c r="H262" i="3" s="1"/>
  <c r="A264" i="3"/>
  <c r="D263" i="3"/>
  <c r="I263" i="3" s="1"/>
  <c r="B263" i="3"/>
  <c r="C263" i="3" s="1"/>
  <c r="J263" i="3"/>
  <c r="E263" i="3"/>
  <c r="G263" i="3" s="1"/>
  <c r="A266" i="2"/>
  <c r="E265" i="2"/>
  <c r="G265" i="2" s="1"/>
  <c r="B265" i="2"/>
  <c r="C265" i="2" s="1"/>
  <c r="F265" i="2"/>
  <c r="H265" i="2" s="1"/>
  <c r="J265" i="2" s="1"/>
  <c r="F263" i="3" l="1"/>
  <c r="H263" i="3" s="1"/>
  <c r="A265" i="3"/>
  <c r="B264" i="3"/>
  <c r="C264" i="3" s="1"/>
  <c r="J264" i="3"/>
  <c r="E264" i="3"/>
  <c r="G264" i="3" s="1"/>
  <c r="D264" i="3"/>
  <c r="I264" i="3" s="1"/>
  <c r="D265" i="2"/>
  <c r="I265" i="2" s="1"/>
  <c r="E266" i="2"/>
  <c r="G266" i="2" s="1"/>
  <c r="B266" i="2"/>
  <c r="C266" i="2" s="1"/>
  <c r="F266" i="2"/>
  <c r="H266" i="2" s="1"/>
  <c r="J266" i="2" s="1"/>
  <c r="A267" i="2"/>
  <c r="F264" i="3" l="1"/>
  <c r="H264" i="3" s="1"/>
  <c r="D266" i="2"/>
  <c r="I266" i="2" s="1"/>
  <c r="J265" i="3"/>
  <c r="B265" i="3"/>
  <c r="C265" i="3" s="1"/>
  <c r="D265" i="3"/>
  <c r="E265" i="3"/>
  <c r="G265" i="3" s="1"/>
  <c r="I265" i="3"/>
  <c r="F265" i="3"/>
  <c r="H265" i="3" s="1"/>
  <c r="A266" i="3"/>
  <c r="A268" i="2"/>
  <c r="E267" i="2"/>
  <c r="G267" i="2" s="1"/>
  <c r="B267" i="2"/>
  <c r="C267" i="2" s="1"/>
  <c r="F267" i="2"/>
  <c r="H267" i="2" s="1"/>
  <c r="J267" i="2" s="1"/>
  <c r="E266" i="3" l="1"/>
  <c r="J266" i="3"/>
  <c r="D266" i="3"/>
  <c r="F266" i="3" s="1"/>
  <c r="H266" i="3" s="1"/>
  <c r="B266" i="3"/>
  <c r="C266" i="3" s="1"/>
  <c r="A267" i="3"/>
  <c r="G266" i="3"/>
  <c r="D267" i="2"/>
  <c r="I267" i="2" s="1"/>
  <c r="E268" i="2"/>
  <c r="D268" i="2" s="1"/>
  <c r="B268" i="2"/>
  <c r="C268" i="2" s="1"/>
  <c r="F268" i="2"/>
  <c r="A269" i="2"/>
  <c r="H268" i="2"/>
  <c r="J268" i="2" s="1"/>
  <c r="I268" i="2" l="1"/>
  <c r="I266" i="3"/>
  <c r="E267" i="3"/>
  <c r="G267" i="3" s="1"/>
  <c r="B267" i="3"/>
  <c r="C267" i="3" s="1"/>
  <c r="A268" i="3"/>
  <c r="J267" i="3"/>
  <c r="D267" i="3"/>
  <c r="F267" i="3" s="1"/>
  <c r="H267" i="3" s="1"/>
  <c r="A270" i="2"/>
  <c r="E269" i="2"/>
  <c r="B269" i="2"/>
  <c r="C269" i="2" s="1"/>
  <c r="F269" i="2"/>
  <c r="H269" i="2" s="1"/>
  <c r="J269" i="2" s="1"/>
  <c r="G268" i="2"/>
  <c r="I267" i="3" l="1"/>
  <c r="G269" i="2"/>
  <c r="E268" i="3"/>
  <c r="G268" i="3" s="1"/>
  <c r="J268" i="3"/>
  <c r="D268" i="3"/>
  <c r="B268" i="3"/>
  <c r="C268" i="3" s="1"/>
  <c r="A269" i="3"/>
  <c r="F268" i="3"/>
  <c r="H268" i="3" s="1"/>
  <c r="D269" i="2"/>
  <c r="I269" i="2" s="1"/>
  <c r="E270" i="2"/>
  <c r="B270" i="2"/>
  <c r="C270" i="2" s="1"/>
  <c r="F270" i="2"/>
  <c r="H270" i="2" s="1"/>
  <c r="J270" i="2" s="1"/>
  <c r="A271" i="2"/>
  <c r="I268" i="3" l="1"/>
  <c r="E269" i="3"/>
  <c r="G269" i="3" s="1"/>
  <c r="B269" i="3"/>
  <c r="C269" i="3" s="1"/>
  <c r="A270" i="3"/>
  <c r="D269" i="3"/>
  <c r="F269" i="3" s="1"/>
  <c r="H269" i="3" s="1"/>
  <c r="J269" i="3"/>
  <c r="D270" i="2"/>
  <c r="I270" i="2" s="1"/>
  <c r="A272" i="2"/>
  <c r="E271" i="2"/>
  <c r="B271" i="2"/>
  <c r="C271" i="2" s="1"/>
  <c r="F271" i="2"/>
  <c r="H271" i="2" s="1"/>
  <c r="J271" i="2" s="1"/>
  <c r="G270" i="2"/>
  <c r="G271" i="2" l="1"/>
  <c r="I269" i="3"/>
  <c r="D270" i="3"/>
  <c r="B270" i="3"/>
  <c r="C270" i="3" s="1"/>
  <c r="A271" i="3"/>
  <c r="E270" i="3"/>
  <c r="G270" i="3" s="1"/>
  <c r="J270" i="3"/>
  <c r="D271" i="2"/>
  <c r="I271" i="2" s="1"/>
  <c r="E272" i="2"/>
  <c r="G272" i="2" s="1"/>
  <c r="B272" i="2"/>
  <c r="C272" i="2" s="1"/>
  <c r="F272" i="2"/>
  <c r="H272" i="2" s="1"/>
  <c r="J272" i="2" s="1"/>
  <c r="A273" i="2"/>
  <c r="F270" i="3" l="1"/>
  <c r="H270" i="3" s="1"/>
  <c r="I270" i="3"/>
  <c r="B271" i="3"/>
  <c r="C271" i="3" s="1"/>
  <c r="A272" i="3"/>
  <c r="D271" i="3"/>
  <c r="I271" i="3" s="1"/>
  <c r="J271" i="3"/>
  <c r="E271" i="3"/>
  <c r="G271" i="3" s="1"/>
  <c r="D272" i="2"/>
  <c r="I272" i="2" s="1"/>
  <c r="A274" i="2"/>
  <c r="E273" i="2"/>
  <c r="G273" i="2" s="1"/>
  <c r="B273" i="2"/>
  <c r="C273" i="2" s="1"/>
  <c r="F273" i="2"/>
  <c r="H273" i="2" s="1"/>
  <c r="J273" i="2" s="1"/>
  <c r="F271" i="3" l="1"/>
  <c r="H271" i="3" s="1"/>
  <c r="D272" i="3"/>
  <c r="I272" i="3" s="1"/>
  <c r="B272" i="3"/>
  <c r="C272" i="3" s="1"/>
  <c r="A273" i="3"/>
  <c r="E272" i="3"/>
  <c r="F272" i="3" s="1"/>
  <c r="H272" i="3" s="1"/>
  <c r="J272" i="3"/>
  <c r="D273" i="2"/>
  <c r="I273" i="2" s="1"/>
  <c r="E274" i="2"/>
  <c r="B274" i="2"/>
  <c r="C274" i="2" s="1"/>
  <c r="F274" i="2"/>
  <c r="H274" i="2" s="1"/>
  <c r="J274" i="2" s="1"/>
  <c r="A275" i="2"/>
  <c r="D274" i="2" l="1"/>
  <c r="I274" i="2" s="1"/>
  <c r="G274" i="2"/>
  <c r="G272" i="3"/>
  <c r="J273" i="3"/>
  <c r="D273" i="3"/>
  <c r="E273" i="3"/>
  <c r="B273" i="3"/>
  <c r="C273" i="3" s="1"/>
  <c r="A274" i="3"/>
  <c r="I273" i="3"/>
  <c r="F273" i="3"/>
  <c r="H273" i="3" s="1"/>
  <c r="A276" i="2"/>
  <c r="E275" i="2"/>
  <c r="B275" i="2"/>
  <c r="C275" i="2" s="1"/>
  <c r="F275" i="2"/>
  <c r="H275" i="2" s="1"/>
  <c r="J275" i="2" s="1"/>
  <c r="G273" i="3" l="1"/>
  <c r="G275" i="2"/>
  <c r="E274" i="3"/>
  <c r="G274" i="3" s="1"/>
  <c r="D274" i="3"/>
  <c r="I274" i="3" s="1"/>
  <c r="B274" i="3"/>
  <c r="C274" i="3" s="1"/>
  <c r="A275" i="3"/>
  <c r="J274" i="3"/>
  <c r="D275" i="2"/>
  <c r="I275" i="2" s="1"/>
  <c r="E276" i="2"/>
  <c r="G276" i="2" s="1"/>
  <c r="B276" i="2"/>
  <c r="C276" i="2" s="1"/>
  <c r="F276" i="2"/>
  <c r="D276" i="2" s="1"/>
  <c r="A277" i="2"/>
  <c r="F274" i="3" l="1"/>
  <c r="H274" i="3" s="1"/>
  <c r="H276" i="2"/>
  <c r="J276" i="2" s="1"/>
  <c r="I276" i="2"/>
  <c r="J275" i="3"/>
  <c r="E275" i="3"/>
  <c r="B275" i="3"/>
  <c r="C275" i="3" s="1"/>
  <c r="A276" i="3"/>
  <c r="D275" i="3"/>
  <c r="F275" i="3" s="1"/>
  <c r="H275" i="3" s="1"/>
  <c r="G275" i="3"/>
  <c r="A278" i="2"/>
  <c r="E277" i="2"/>
  <c r="G277" i="2" s="1"/>
  <c r="B277" i="2"/>
  <c r="C277" i="2" s="1"/>
  <c r="F277" i="2"/>
  <c r="H277" i="2" s="1"/>
  <c r="J277" i="2" s="1"/>
  <c r="I275" i="3" l="1"/>
  <c r="D276" i="3"/>
  <c r="I276" i="3" s="1"/>
  <c r="A277" i="3"/>
  <c r="B276" i="3"/>
  <c r="C276" i="3" s="1"/>
  <c r="E276" i="3"/>
  <c r="G276" i="3" s="1"/>
  <c r="J276" i="3"/>
  <c r="D277" i="2"/>
  <c r="I277" i="2" s="1"/>
  <c r="E278" i="2"/>
  <c r="G278" i="2" s="1"/>
  <c r="B278" i="2"/>
  <c r="C278" i="2" s="1"/>
  <c r="F278" i="2"/>
  <c r="H278" i="2" s="1"/>
  <c r="J278" i="2" s="1"/>
  <c r="A279" i="2"/>
  <c r="D278" i="2" l="1"/>
  <c r="F276" i="3"/>
  <c r="H276" i="3" s="1"/>
  <c r="I278" i="2"/>
  <c r="J277" i="3"/>
  <c r="E277" i="3"/>
  <c r="G277" i="3" s="1"/>
  <c r="A278" i="3"/>
  <c r="D277" i="3"/>
  <c r="I277" i="3" s="1"/>
  <c r="B277" i="3"/>
  <c r="C277" i="3" s="1"/>
  <c r="A280" i="2"/>
  <c r="E279" i="2"/>
  <c r="B279" i="2"/>
  <c r="C279" i="2" s="1"/>
  <c r="F279" i="2"/>
  <c r="H279" i="2" s="1"/>
  <c r="J279" i="2" s="1"/>
  <c r="F277" i="3" l="1"/>
  <c r="H277" i="3" s="1"/>
  <c r="E278" i="3"/>
  <c r="G278" i="3" s="1"/>
  <c r="J278" i="3"/>
  <c r="D278" i="3"/>
  <c r="I278" i="3" s="1"/>
  <c r="B278" i="3"/>
  <c r="C278" i="3" s="1"/>
  <c r="A279" i="3"/>
  <c r="F278" i="3"/>
  <c r="H278" i="3" s="1"/>
  <c r="D279" i="2"/>
  <c r="I279" i="2" s="1"/>
  <c r="G279" i="2"/>
  <c r="G280" i="2" s="1"/>
  <c r="E280" i="2"/>
  <c r="B280" i="2"/>
  <c r="C280" i="2" s="1"/>
  <c r="F280" i="2"/>
  <c r="D280" i="2" s="1"/>
  <c r="A281" i="2"/>
  <c r="I280" i="2" l="1"/>
  <c r="E279" i="3"/>
  <c r="G279" i="3" s="1"/>
  <c r="A280" i="3"/>
  <c r="B279" i="3"/>
  <c r="C279" i="3" s="1"/>
  <c r="J279" i="3"/>
  <c r="D279" i="3"/>
  <c r="I279" i="3" s="1"/>
  <c r="A282" i="2"/>
  <c r="B281" i="2"/>
  <c r="C281" i="2" s="1"/>
  <c r="F281" i="2"/>
  <c r="H280" i="2"/>
  <c r="J280" i="2" s="1"/>
  <c r="E281" i="2" s="1"/>
  <c r="F279" i="3" l="1"/>
  <c r="H279" i="3" s="1"/>
  <c r="A281" i="3"/>
  <c r="E280" i="3"/>
  <c r="G280" i="3" s="1"/>
  <c r="J280" i="3"/>
  <c r="D280" i="3"/>
  <c r="I280" i="3" s="1"/>
  <c r="B280" i="3"/>
  <c r="C280" i="3" s="1"/>
  <c r="H281" i="2"/>
  <c r="J281" i="2" s="1"/>
  <c r="E282" i="2" s="1"/>
  <c r="G281" i="2"/>
  <c r="D281" i="2"/>
  <c r="I281" i="2" s="1"/>
  <c r="B282" i="2"/>
  <c r="C282" i="2" s="1"/>
  <c r="F282" i="2"/>
  <c r="H282" i="2" s="1"/>
  <c r="J282" i="2" s="1"/>
  <c r="A283" i="2"/>
  <c r="F280" i="3" l="1"/>
  <c r="H280" i="3" s="1"/>
  <c r="D282" i="2"/>
  <c r="I282" i="2" s="1"/>
  <c r="J281" i="3"/>
  <c r="E281" i="3"/>
  <c r="G281" i="3" s="1"/>
  <c r="B281" i="3"/>
  <c r="C281" i="3" s="1"/>
  <c r="A282" i="3"/>
  <c r="D281" i="3"/>
  <c r="I281" i="3" s="1"/>
  <c r="G282" i="2"/>
  <c r="A284" i="2"/>
  <c r="E283" i="2"/>
  <c r="B283" i="2"/>
  <c r="C283" i="2" s="1"/>
  <c r="F283" i="2"/>
  <c r="H283" i="2" s="1"/>
  <c r="J283" i="2" s="1"/>
  <c r="G283" i="2" l="1"/>
  <c r="F281" i="3"/>
  <c r="H281" i="3" s="1"/>
  <c r="D282" i="3"/>
  <c r="I282" i="3" s="1"/>
  <c r="B282" i="3"/>
  <c r="C282" i="3" s="1"/>
  <c r="A283" i="3"/>
  <c r="E282" i="3"/>
  <c r="G282" i="3" s="1"/>
  <c r="J282" i="3"/>
  <c r="D283" i="2"/>
  <c r="I283" i="2" s="1"/>
  <c r="E284" i="2"/>
  <c r="B284" i="2"/>
  <c r="C284" i="2" s="1"/>
  <c r="F284" i="2"/>
  <c r="H284" i="2" s="1"/>
  <c r="J284" i="2" s="1"/>
  <c r="A285" i="2"/>
  <c r="D284" i="2" l="1"/>
  <c r="F282" i="3"/>
  <c r="H282" i="3" s="1"/>
  <c r="J283" i="3"/>
  <c r="E283" i="3"/>
  <c r="G283" i="3" s="1"/>
  <c r="B283" i="3"/>
  <c r="C283" i="3" s="1"/>
  <c r="A284" i="3"/>
  <c r="D283" i="3"/>
  <c r="F283" i="3" s="1"/>
  <c r="I284" i="2"/>
  <c r="G284" i="2"/>
  <c r="A286" i="2"/>
  <c r="E285" i="2"/>
  <c r="B285" i="2"/>
  <c r="C285" i="2" s="1"/>
  <c r="F285" i="2"/>
  <c r="H285" i="2" s="1"/>
  <c r="J285" i="2" s="1"/>
  <c r="H283" i="3" l="1"/>
  <c r="I283" i="3"/>
  <c r="D285" i="2"/>
  <c r="I285" i="2" s="1"/>
  <c r="E284" i="3"/>
  <c r="G284" i="3" s="1"/>
  <c r="J284" i="3"/>
  <c r="D284" i="3"/>
  <c r="B284" i="3"/>
  <c r="C284" i="3" s="1"/>
  <c r="A285" i="3"/>
  <c r="E286" i="2"/>
  <c r="B286" i="2"/>
  <c r="C286" i="2" s="1"/>
  <c r="F286" i="2"/>
  <c r="H286" i="2" s="1"/>
  <c r="J286" i="2" s="1"/>
  <c r="A287" i="2"/>
  <c r="G285" i="2"/>
  <c r="G286" i="2" s="1"/>
  <c r="F284" i="3" l="1"/>
  <c r="H284" i="3" s="1"/>
  <c r="J285" i="3"/>
  <c r="B285" i="3"/>
  <c r="C285" i="3" s="1"/>
  <c r="A286" i="3"/>
  <c r="E285" i="3"/>
  <c r="G285" i="3" s="1"/>
  <c r="D285" i="3"/>
  <c r="I284" i="3"/>
  <c r="D286" i="2"/>
  <c r="I286" i="2" s="1"/>
  <c r="A288" i="2"/>
  <c r="E287" i="2"/>
  <c r="G287" i="2" s="1"/>
  <c r="B287" i="2"/>
  <c r="C287" i="2" s="1"/>
  <c r="F287" i="2"/>
  <c r="H287" i="2" s="1"/>
  <c r="J287" i="2" s="1"/>
  <c r="I285" i="3" l="1"/>
  <c r="F285" i="3"/>
  <c r="H285" i="3" s="1"/>
  <c r="D286" i="3"/>
  <c r="I286" i="3" s="1"/>
  <c r="B286" i="3"/>
  <c r="C286" i="3" s="1"/>
  <c r="A287" i="3"/>
  <c r="E286" i="3"/>
  <c r="J286" i="3"/>
  <c r="D287" i="2"/>
  <c r="I287" i="2" s="1"/>
  <c r="E288" i="2"/>
  <c r="G288" i="2" s="1"/>
  <c r="B288" i="2"/>
  <c r="C288" i="2" s="1"/>
  <c r="F288" i="2"/>
  <c r="D288" i="2" s="1"/>
  <c r="A289" i="2"/>
  <c r="F286" i="3" l="1"/>
  <c r="H286" i="3" s="1"/>
  <c r="H288" i="2"/>
  <c r="J288" i="2" s="1"/>
  <c r="I288" i="2"/>
  <c r="G286" i="3"/>
  <c r="J287" i="3"/>
  <c r="E287" i="3"/>
  <c r="G287" i="3" s="1"/>
  <c r="B287" i="3"/>
  <c r="C287" i="3" s="1"/>
  <c r="A288" i="3"/>
  <c r="D287" i="3"/>
  <c r="I287" i="3" s="1"/>
  <c r="A290" i="2"/>
  <c r="E289" i="2"/>
  <c r="G289" i="2" s="1"/>
  <c r="B289" i="2"/>
  <c r="C289" i="2" s="1"/>
  <c r="F289" i="2"/>
  <c r="H289" i="2" s="1"/>
  <c r="J289" i="2" s="1"/>
  <c r="D288" i="3" l="1"/>
  <c r="B288" i="3"/>
  <c r="C288" i="3" s="1"/>
  <c r="A289" i="3"/>
  <c r="J288" i="3"/>
  <c r="E288" i="3"/>
  <c r="F288" i="3" s="1"/>
  <c r="I288" i="3"/>
  <c r="F287" i="3"/>
  <c r="H287" i="3" s="1"/>
  <c r="D289" i="2"/>
  <c r="I289" i="2" s="1"/>
  <c r="E290" i="2"/>
  <c r="B290" i="2"/>
  <c r="C290" i="2" s="1"/>
  <c r="F290" i="2"/>
  <c r="H290" i="2" s="1"/>
  <c r="J290" i="2" s="1"/>
  <c r="A291" i="2"/>
  <c r="D290" i="2" l="1"/>
  <c r="G288" i="3"/>
  <c r="H288" i="3"/>
  <c r="G289" i="3"/>
  <c r="E289" i="3"/>
  <c r="B289" i="3"/>
  <c r="C289" i="3" s="1"/>
  <c r="A290" i="3"/>
  <c r="D289" i="3"/>
  <c r="F289" i="3" s="1"/>
  <c r="H289" i="3" s="1"/>
  <c r="J289" i="3"/>
  <c r="I290" i="2"/>
  <c r="A292" i="2"/>
  <c r="E291" i="2"/>
  <c r="G291" i="2" s="1"/>
  <c r="B291" i="2"/>
  <c r="C291" i="2" s="1"/>
  <c r="F291" i="2"/>
  <c r="H291" i="2" s="1"/>
  <c r="J291" i="2" s="1"/>
  <c r="G290" i="2"/>
  <c r="I289" i="3" l="1"/>
  <c r="E290" i="3"/>
  <c r="J290" i="3"/>
  <c r="G290" i="3"/>
  <c r="D290" i="3"/>
  <c r="I290" i="3" s="1"/>
  <c r="B290" i="3"/>
  <c r="C290" i="3" s="1"/>
  <c r="A291" i="3"/>
  <c r="H290" i="3"/>
  <c r="F290" i="3"/>
  <c r="D291" i="2"/>
  <c r="I291" i="2" s="1"/>
  <c r="E292" i="2"/>
  <c r="G292" i="2" s="1"/>
  <c r="B292" i="2"/>
  <c r="C292" i="2" s="1"/>
  <c r="F292" i="2"/>
  <c r="A293" i="2"/>
  <c r="D292" i="2" l="1"/>
  <c r="H292" i="2"/>
  <c r="J292" i="2" s="1"/>
  <c r="I292" i="2"/>
  <c r="E291" i="3"/>
  <c r="G291" i="3" s="1"/>
  <c r="B291" i="3"/>
  <c r="C291" i="3" s="1"/>
  <c r="A292" i="3"/>
  <c r="D291" i="3"/>
  <c r="I291" i="3" s="1"/>
  <c r="J291" i="3"/>
  <c r="A294" i="2"/>
  <c r="E293" i="2"/>
  <c r="G293" i="2" s="1"/>
  <c r="B293" i="2"/>
  <c r="C293" i="2" s="1"/>
  <c r="F293" i="2"/>
  <c r="H293" i="2" s="1"/>
  <c r="J293" i="2" s="1"/>
  <c r="F291" i="3" l="1"/>
  <c r="H291" i="3" s="1"/>
  <c r="E292" i="3"/>
  <c r="G292" i="3" s="1"/>
  <c r="J292" i="3"/>
  <c r="D292" i="3"/>
  <c r="I292" i="3" s="1"/>
  <c r="B292" i="3"/>
  <c r="C292" i="3" s="1"/>
  <c r="A293" i="3"/>
  <c r="D293" i="2"/>
  <c r="I293" i="2" s="1"/>
  <c r="E294" i="2"/>
  <c r="G294" i="2" s="1"/>
  <c r="B294" i="2"/>
  <c r="C294" i="2" s="1"/>
  <c r="F294" i="2"/>
  <c r="A295" i="2"/>
  <c r="H294" i="2"/>
  <c r="J294" i="2" s="1"/>
  <c r="D294" i="2" l="1"/>
  <c r="F292" i="3"/>
  <c r="H292" i="3" s="1"/>
  <c r="I294" i="2"/>
  <c r="J293" i="3"/>
  <c r="E293" i="3"/>
  <c r="G293" i="3" s="1"/>
  <c r="B293" i="3"/>
  <c r="C293" i="3" s="1"/>
  <c r="A294" i="3"/>
  <c r="D293" i="3"/>
  <c r="I293" i="3" s="1"/>
  <c r="A296" i="2"/>
  <c r="E295" i="2"/>
  <c r="G295" i="2" s="1"/>
  <c r="B295" i="2"/>
  <c r="C295" i="2" s="1"/>
  <c r="F295" i="2"/>
  <c r="H295" i="2" s="1"/>
  <c r="J295" i="2" s="1"/>
  <c r="F293" i="3" l="1"/>
  <c r="H293" i="3" s="1"/>
  <c r="E294" i="3"/>
  <c r="G294" i="3" s="1"/>
  <c r="J294" i="3"/>
  <c r="D294" i="3"/>
  <c r="F294" i="3" s="1"/>
  <c r="H294" i="3" s="1"/>
  <c r="B294" i="3"/>
  <c r="C294" i="3" s="1"/>
  <c r="A295" i="3"/>
  <c r="D295" i="2"/>
  <c r="I295" i="2" s="1"/>
  <c r="E296" i="2"/>
  <c r="G296" i="2" s="1"/>
  <c r="B296" i="2"/>
  <c r="C296" i="2" s="1"/>
  <c r="F296" i="2"/>
  <c r="A297" i="2"/>
  <c r="D296" i="2" l="1"/>
  <c r="I294" i="3"/>
  <c r="I296" i="2"/>
  <c r="J295" i="3"/>
  <c r="E295" i="3"/>
  <c r="G295" i="3" s="1"/>
  <c r="D295" i="3"/>
  <c r="B295" i="3"/>
  <c r="C295" i="3" s="1"/>
  <c r="A296" i="3"/>
  <c r="H296" i="2"/>
  <c r="J296" i="2" s="1"/>
  <c r="E297" i="2" s="1"/>
  <c r="A298" i="2"/>
  <c r="B297" i="2"/>
  <c r="C297" i="2" s="1"/>
  <c r="F297" i="2"/>
  <c r="D297" i="2" l="1"/>
  <c r="I297" i="2" s="1"/>
  <c r="F295" i="3"/>
  <c r="H295" i="3" s="1"/>
  <c r="I295" i="3"/>
  <c r="H297" i="2"/>
  <c r="J297" i="2" s="1"/>
  <c r="D296" i="3"/>
  <c r="I296" i="3" s="1"/>
  <c r="B296" i="3"/>
  <c r="C296" i="3" s="1"/>
  <c r="A297" i="3"/>
  <c r="F296" i="3"/>
  <c r="H296" i="3" s="1"/>
  <c r="E296" i="3"/>
  <c r="G296" i="3" s="1"/>
  <c r="J296" i="3"/>
  <c r="G297" i="2"/>
  <c r="E298" i="2"/>
  <c r="B298" i="2"/>
  <c r="C298" i="2" s="1"/>
  <c r="F298" i="2"/>
  <c r="H298" i="2" s="1"/>
  <c r="J298" i="2" s="1"/>
  <c r="A299" i="2"/>
  <c r="D298" i="2" l="1"/>
  <c r="I298" i="2" s="1"/>
  <c r="G298" i="2"/>
  <c r="J297" i="3"/>
  <c r="E297" i="3"/>
  <c r="G297" i="3" s="1"/>
  <c r="A298" i="3"/>
  <c r="B297" i="3"/>
  <c r="C297" i="3" s="1"/>
  <c r="D297" i="3"/>
  <c r="I297" i="3" s="1"/>
  <c r="A300" i="2"/>
  <c r="E299" i="2"/>
  <c r="B299" i="2"/>
  <c r="C299" i="2" s="1"/>
  <c r="F299" i="2"/>
  <c r="H299" i="2" s="1"/>
  <c r="J299" i="2" s="1"/>
  <c r="D299" i="2" l="1"/>
  <c r="I299" i="2" s="1"/>
  <c r="F297" i="3"/>
  <c r="H297" i="3" s="1"/>
  <c r="E298" i="3"/>
  <c r="G298" i="3" s="1"/>
  <c r="J298" i="3"/>
  <c r="D298" i="3"/>
  <c r="I298" i="3" s="1"/>
  <c r="B298" i="3"/>
  <c r="C298" i="3" s="1"/>
  <c r="A299" i="3"/>
  <c r="G299" i="2"/>
  <c r="E300" i="2"/>
  <c r="B300" i="2"/>
  <c r="C300" i="2" s="1"/>
  <c r="F300" i="2"/>
  <c r="H300" i="2" s="1"/>
  <c r="J300" i="2" s="1"/>
  <c r="A301" i="2"/>
  <c r="D300" i="2" l="1"/>
  <c r="I300" i="2" s="1"/>
  <c r="F298" i="3"/>
  <c r="H298" i="3" s="1"/>
  <c r="J299" i="3"/>
  <c r="E299" i="3"/>
  <c r="G299" i="3" s="1"/>
  <c r="B299" i="3"/>
  <c r="C299" i="3" s="1"/>
  <c r="A300" i="3"/>
  <c r="D299" i="3"/>
  <c r="F299" i="3" s="1"/>
  <c r="G300" i="2"/>
  <c r="A302" i="2"/>
  <c r="E301" i="2"/>
  <c r="B301" i="2"/>
  <c r="C301" i="2" s="1"/>
  <c r="F301" i="2"/>
  <c r="H301" i="2" s="1"/>
  <c r="J301" i="2" s="1"/>
  <c r="I299" i="3" l="1"/>
  <c r="H299" i="3"/>
  <c r="D300" i="3"/>
  <c r="I300" i="3" s="1"/>
  <c r="B300" i="3"/>
  <c r="C300" i="3" s="1"/>
  <c r="A301" i="3"/>
  <c r="E300" i="3"/>
  <c r="J300" i="3"/>
  <c r="D301" i="2"/>
  <c r="I301" i="2" s="1"/>
  <c r="G301" i="2"/>
  <c r="E302" i="2"/>
  <c r="B302" i="2"/>
  <c r="C302" i="2" s="1"/>
  <c r="F302" i="2"/>
  <c r="H302" i="2" s="1"/>
  <c r="J302" i="2" s="1"/>
  <c r="A303" i="2"/>
  <c r="F300" i="3" l="1"/>
  <c r="H300" i="3" s="1"/>
  <c r="D302" i="2"/>
  <c r="G300" i="3"/>
  <c r="B301" i="3"/>
  <c r="C301" i="3" s="1"/>
  <c r="A302" i="3"/>
  <c r="D301" i="3"/>
  <c r="I301" i="3" s="1"/>
  <c r="E301" i="3"/>
  <c r="J301" i="3"/>
  <c r="I302" i="2"/>
  <c r="G302" i="2"/>
  <c r="A304" i="2"/>
  <c r="E303" i="2"/>
  <c r="D303" i="2" s="1"/>
  <c r="I303" i="2" s="1"/>
  <c r="B303" i="2"/>
  <c r="C303" i="2" s="1"/>
  <c r="F303" i="2"/>
  <c r="H303" i="2" s="1"/>
  <c r="J303" i="2" s="1"/>
  <c r="G301" i="3" l="1"/>
  <c r="G303" i="2"/>
  <c r="E302" i="3"/>
  <c r="G302" i="3"/>
  <c r="B302" i="3"/>
  <c r="C302" i="3" s="1"/>
  <c r="A303" i="3"/>
  <c r="D302" i="3"/>
  <c r="F302" i="3" s="1"/>
  <c r="I302" i="3"/>
  <c r="J302" i="3"/>
  <c r="F301" i="3"/>
  <c r="H301" i="3" s="1"/>
  <c r="E304" i="2"/>
  <c r="G304" i="2" s="1"/>
  <c r="B304" i="2"/>
  <c r="C304" i="2" s="1"/>
  <c r="F304" i="2"/>
  <c r="H304" i="2" s="1"/>
  <c r="J304" i="2" s="1"/>
  <c r="A305" i="2"/>
  <c r="H302" i="3" l="1"/>
  <c r="J303" i="3"/>
  <c r="D303" i="3"/>
  <c r="B303" i="3"/>
  <c r="C303" i="3" s="1"/>
  <c r="A304" i="3"/>
  <c r="E303" i="3"/>
  <c r="G303" i="3" s="1"/>
  <c r="D304" i="2"/>
  <c r="I304" i="2" s="1"/>
  <c r="A306" i="2"/>
  <c r="E305" i="2"/>
  <c r="G305" i="2" s="1"/>
  <c r="B305" i="2"/>
  <c r="C305" i="2" s="1"/>
  <c r="F305" i="2"/>
  <c r="H305" i="2" s="1"/>
  <c r="J305" i="2" s="1"/>
  <c r="F303" i="3" l="1"/>
  <c r="H303" i="3" s="1"/>
  <c r="D304" i="3"/>
  <c r="J304" i="3"/>
  <c r="E304" i="3"/>
  <c r="G304" i="3" s="1"/>
  <c r="B304" i="3"/>
  <c r="C304" i="3" s="1"/>
  <c r="A305" i="3"/>
  <c r="I303" i="3"/>
  <c r="I304" i="3" s="1"/>
  <c r="D305" i="2"/>
  <c r="I305" i="2" s="1"/>
  <c r="E306" i="2"/>
  <c r="G306" i="2" s="1"/>
  <c r="B306" i="2"/>
  <c r="C306" i="2" s="1"/>
  <c r="F306" i="2"/>
  <c r="D306" i="2" s="1"/>
  <c r="A307" i="2"/>
  <c r="F304" i="3" l="1"/>
  <c r="H304" i="3" s="1"/>
  <c r="H306" i="2"/>
  <c r="J306" i="2" s="1"/>
  <c r="I306" i="2"/>
  <c r="J305" i="3"/>
  <c r="D305" i="3"/>
  <c r="I305" i="3" s="1"/>
  <c r="E305" i="3"/>
  <c r="G305" i="3" s="1"/>
  <c r="B305" i="3"/>
  <c r="C305" i="3" s="1"/>
  <c r="A306" i="3"/>
  <c r="A308" i="2"/>
  <c r="E307" i="2"/>
  <c r="G307" i="2" s="1"/>
  <c r="B307" i="2"/>
  <c r="C307" i="2" s="1"/>
  <c r="F307" i="2"/>
  <c r="H307" i="2" s="1"/>
  <c r="J307" i="2" s="1"/>
  <c r="F305" i="3" l="1"/>
  <c r="H305" i="3" s="1"/>
  <c r="D306" i="3"/>
  <c r="J306" i="3"/>
  <c r="I306" i="3"/>
  <c r="E306" i="3"/>
  <c r="G306" i="3" s="1"/>
  <c r="B306" i="3"/>
  <c r="C306" i="3" s="1"/>
  <c r="A307" i="3"/>
  <c r="D307" i="2"/>
  <c r="I307" i="2" s="1"/>
  <c r="E308" i="2"/>
  <c r="G308" i="2" s="1"/>
  <c r="B308" i="2"/>
  <c r="C308" i="2" s="1"/>
  <c r="F308" i="2"/>
  <c r="H308" i="2" s="1"/>
  <c r="J308" i="2" s="1"/>
  <c r="A309" i="2"/>
  <c r="F306" i="3" l="1"/>
  <c r="H306" i="3" s="1"/>
  <c r="D308" i="2"/>
  <c r="I308" i="2" s="1"/>
  <c r="J307" i="3"/>
  <c r="D307" i="3"/>
  <c r="A308" i="3"/>
  <c r="B307" i="3"/>
  <c r="C307" i="3" s="1"/>
  <c r="E307" i="3"/>
  <c r="G307" i="3" s="1"/>
  <c r="A310" i="2"/>
  <c r="E309" i="2"/>
  <c r="B309" i="2"/>
  <c r="C309" i="2" s="1"/>
  <c r="F309" i="2"/>
  <c r="H309" i="2" s="1"/>
  <c r="J309" i="2" s="1"/>
  <c r="F307" i="3" l="1"/>
  <c r="H307" i="3" s="1"/>
  <c r="I307" i="3"/>
  <c r="D309" i="2"/>
  <c r="I309" i="2" s="1"/>
  <c r="E308" i="3"/>
  <c r="G308" i="3" s="1"/>
  <c r="B308" i="3"/>
  <c r="C308" i="3" s="1"/>
  <c r="A309" i="3"/>
  <c r="D308" i="3"/>
  <c r="J308" i="3"/>
  <c r="I308" i="3"/>
  <c r="E310" i="2"/>
  <c r="B310" i="2"/>
  <c r="C310" i="2" s="1"/>
  <c r="F310" i="2"/>
  <c r="D310" i="2" s="1"/>
  <c r="I310" i="2" s="1"/>
  <c r="A311" i="2"/>
  <c r="G309" i="2"/>
  <c r="F308" i="3" l="1"/>
  <c r="H308" i="3" s="1"/>
  <c r="H310" i="2"/>
  <c r="J310" i="2" s="1"/>
  <c r="G310" i="2"/>
  <c r="E309" i="3"/>
  <c r="G309" i="3" s="1"/>
  <c r="J309" i="3"/>
  <c r="D309" i="3"/>
  <c r="B309" i="3"/>
  <c r="C309" i="3" s="1"/>
  <c r="A310" i="3"/>
  <c r="A312" i="2"/>
  <c r="E311" i="2"/>
  <c r="B311" i="2"/>
  <c r="C311" i="2" s="1"/>
  <c r="F311" i="2"/>
  <c r="H311" i="2" s="1"/>
  <c r="J311" i="2" s="1"/>
  <c r="F309" i="3" l="1"/>
  <c r="H309" i="3" s="1"/>
  <c r="G311" i="2"/>
  <c r="I309" i="3"/>
  <c r="E310" i="3"/>
  <c r="G310" i="3" s="1"/>
  <c r="B310" i="3"/>
  <c r="C310" i="3" s="1"/>
  <c r="A311" i="3"/>
  <c r="D310" i="3"/>
  <c r="I310" i="3" s="1"/>
  <c r="J310" i="3"/>
  <c r="D311" i="2"/>
  <c r="I311" i="2" s="1"/>
  <c r="E312" i="2"/>
  <c r="B312" i="2"/>
  <c r="C312" i="2" s="1"/>
  <c r="F312" i="2"/>
  <c r="D312" i="2" s="1"/>
  <c r="G312" i="2"/>
  <c r="A313" i="2"/>
  <c r="I312" i="2" l="1"/>
  <c r="H312" i="2"/>
  <c r="J312" i="2" s="1"/>
  <c r="F310" i="3"/>
  <c r="H310" i="3" s="1"/>
  <c r="J311" i="3"/>
  <c r="D311" i="3"/>
  <c r="B311" i="3"/>
  <c r="C311" i="3" s="1"/>
  <c r="E311" i="3"/>
  <c r="G311" i="3" s="1"/>
  <c r="A312" i="3"/>
  <c r="I311" i="3"/>
  <c r="A314" i="2"/>
  <c r="E313" i="2"/>
  <c r="G313" i="2" s="1"/>
  <c r="B313" i="2"/>
  <c r="C313" i="2" s="1"/>
  <c r="F313" i="2"/>
  <c r="F311" i="3" l="1"/>
  <c r="H311" i="3" s="1"/>
  <c r="D313" i="2"/>
  <c r="I313" i="2" s="1"/>
  <c r="A313" i="3"/>
  <c r="E312" i="3"/>
  <c r="G312" i="3" s="1"/>
  <c r="D312" i="3"/>
  <c r="B312" i="3"/>
  <c r="C312" i="3" s="1"/>
  <c r="I312" i="3"/>
  <c r="J312" i="3"/>
  <c r="H313" i="2"/>
  <c r="J313" i="2" s="1"/>
  <c r="E314" i="2" s="1"/>
  <c r="B314" i="2"/>
  <c r="C314" i="2" s="1"/>
  <c r="F314" i="2"/>
  <c r="A315" i="2"/>
  <c r="F312" i="3" l="1"/>
  <c r="H312" i="3" s="1"/>
  <c r="E313" i="3"/>
  <c r="G313" i="3" s="1"/>
  <c r="B313" i="3"/>
  <c r="C313" i="3" s="1"/>
  <c r="J313" i="3"/>
  <c r="A314" i="3"/>
  <c r="D313" i="3"/>
  <c r="F313" i="3" s="1"/>
  <c r="H313" i="3" s="1"/>
  <c r="H314" i="2"/>
  <c r="J314" i="2" s="1"/>
  <c r="D314" i="2"/>
  <c r="I314" i="2" s="1"/>
  <c r="G314" i="2"/>
  <c r="A316" i="2"/>
  <c r="E315" i="2"/>
  <c r="B315" i="2"/>
  <c r="C315" i="2" s="1"/>
  <c r="F315" i="2"/>
  <c r="H315" i="2" l="1"/>
  <c r="J315" i="2" s="1"/>
  <c r="E314" i="3"/>
  <c r="G314" i="3" s="1"/>
  <c r="A315" i="3"/>
  <c r="J314" i="3"/>
  <c r="D314" i="3"/>
  <c r="F314" i="3" s="1"/>
  <c r="H314" i="3" s="1"/>
  <c r="B314" i="3"/>
  <c r="C314" i="3" s="1"/>
  <c r="G315" i="2"/>
  <c r="G316" i="2" s="1"/>
  <c r="I313" i="3"/>
  <c r="D315" i="2"/>
  <c r="I315" i="2" s="1"/>
  <c r="E316" i="2"/>
  <c r="B316" i="2"/>
  <c r="C316" i="2" s="1"/>
  <c r="F316" i="2"/>
  <c r="D316" i="2" s="1"/>
  <c r="A317" i="2"/>
  <c r="D315" i="3" l="1"/>
  <c r="I315" i="3" s="1"/>
  <c r="B315" i="3"/>
  <c r="C315" i="3" s="1"/>
  <c r="A316" i="3"/>
  <c r="E315" i="3"/>
  <c r="G315" i="3" s="1"/>
  <c r="J315" i="3"/>
  <c r="H316" i="2"/>
  <c r="J316" i="2" s="1"/>
  <c r="E317" i="2" s="1"/>
  <c r="D317" i="2" s="1"/>
  <c r="I317" i="2" s="1"/>
  <c r="I316" i="2"/>
  <c r="I314" i="3"/>
  <c r="B317" i="2"/>
  <c r="C317" i="2" s="1"/>
  <c r="F317" i="2"/>
  <c r="H317" i="2" s="1"/>
  <c r="J317" i="2" s="1"/>
  <c r="A318" i="2"/>
  <c r="F315" i="3" l="1"/>
  <c r="H315" i="3" s="1"/>
  <c r="J316" i="3"/>
  <c r="E316" i="3"/>
  <c r="G316" i="3" s="1"/>
  <c r="B316" i="3"/>
  <c r="C316" i="3" s="1"/>
  <c r="A317" i="3"/>
  <c r="D316" i="3"/>
  <c r="I316" i="3" s="1"/>
  <c r="B318" i="2"/>
  <c r="C318" i="2" s="1"/>
  <c r="F318" i="2"/>
  <c r="H318" i="2" s="1"/>
  <c r="J318" i="2" s="1"/>
  <c r="A319" i="2"/>
  <c r="E318" i="2"/>
  <c r="G317" i="2"/>
  <c r="G318" i="2" l="1"/>
  <c r="F316" i="3"/>
  <c r="H316" i="3" s="1"/>
  <c r="D317" i="3"/>
  <c r="I317" i="3" s="1"/>
  <c r="B317" i="3"/>
  <c r="C317" i="3" s="1"/>
  <c r="A318" i="3"/>
  <c r="E317" i="3"/>
  <c r="F317" i="3" s="1"/>
  <c r="H317" i="3" s="1"/>
  <c r="J317" i="3"/>
  <c r="B319" i="2"/>
  <c r="C319" i="2" s="1"/>
  <c r="F319" i="2"/>
  <c r="H319" i="2" s="1"/>
  <c r="J319" i="2" s="1"/>
  <c r="E319" i="2"/>
  <c r="A320" i="2"/>
  <c r="D318" i="2"/>
  <c r="I318" i="2" s="1"/>
  <c r="G317" i="3" l="1"/>
  <c r="D319" i="2"/>
  <c r="B318" i="3"/>
  <c r="C318" i="3" s="1"/>
  <c r="A319" i="3"/>
  <c r="D318" i="3"/>
  <c r="J318" i="3"/>
  <c r="E318" i="3"/>
  <c r="I319" i="2"/>
  <c r="G319" i="2"/>
  <c r="E320" i="2"/>
  <c r="F320" i="2"/>
  <c r="H320" i="2" s="1"/>
  <c r="J320" i="2" s="1"/>
  <c r="A321" i="2"/>
  <c r="B320" i="2"/>
  <c r="C320" i="2" s="1"/>
  <c r="G320" i="2"/>
  <c r="F318" i="3" l="1"/>
  <c r="H318" i="3" s="1"/>
  <c r="G318" i="3"/>
  <c r="I318" i="3"/>
  <c r="E319" i="3"/>
  <c r="G319" i="3" s="1"/>
  <c r="J319" i="3"/>
  <c r="A320" i="3"/>
  <c r="D319" i="3"/>
  <c r="I319" i="3" s="1"/>
  <c r="B319" i="3"/>
  <c r="C319" i="3" s="1"/>
  <c r="D320" i="2"/>
  <c r="I320" i="2" s="1"/>
  <c r="B321" i="2"/>
  <c r="C321" i="2" s="1"/>
  <c r="F321" i="2"/>
  <c r="H321" i="2" s="1"/>
  <c r="J321" i="2" s="1"/>
  <c r="E321" i="2"/>
  <c r="G321" i="2" s="1"/>
  <c r="A322" i="2"/>
  <c r="D321" i="2" l="1"/>
  <c r="I321" i="2" s="1"/>
  <c r="J320" i="3"/>
  <c r="E320" i="3"/>
  <c r="G320" i="3" s="1"/>
  <c r="B320" i="3"/>
  <c r="C320" i="3" s="1"/>
  <c r="A321" i="3"/>
  <c r="D320" i="3"/>
  <c r="I320" i="3" s="1"/>
  <c r="F319" i="3"/>
  <c r="H319" i="3" s="1"/>
  <c r="F322" i="2"/>
  <c r="H322" i="2" s="1"/>
  <c r="J322" i="2" s="1"/>
  <c r="A323" i="2"/>
  <c r="B322" i="2"/>
  <c r="C322" i="2" s="1"/>
  <c r="E322" i="2"/>
  <c r="D322" i="2" l="1"/>
  <c r="I322" i="2" s="1"/>
  <c r="F320" i="3"/>
  <c r="H320" i="3" s="1"/>
  <c r="E321" i="3"/>
  <c r="G321" i="3" s="1"/>
  <c r="J321" i="3"/>
  <c r="D321" i="3"/>
  <c r="I321" i="3" s="1"/>
  <c r="B321" i="3"/>
  <c r="C321" i="3" s="1"/>
  <c r="A322" i="3"/>
  <c r="F321" i="3"/>
  <c r="B323" i="2"/>
  <c r="C323" i="2" s="1"/>
  <c r="F323" i="2"/>
  <c r="H323" i="2" s="1"/>
  <c r="J323" i="2" s="1"/>
  <c r="E323" i="2"/>
  <c r="A324" i="2"/>
  <c r="G322" i="2"/>
  <c r="D323" i="2" l="1"/>
  <c r="I323" i="2" s="1"/>
  <c r="H321" i="3"/>
  <c r="E322" i="3"/>
  <c r="B322" i="3"/>
  <c r="C322" i="3" s="1"/>
  <c r="D322" i="3"/>
  <c r="I322" i="3" s="1"/>
  <c r="G322" i="3"/>
  <c r="J322" i="3"/>
  <c r="A323" i="3"/>
  <c r="G323" i="2"/>
  <c r="B324" i="2"/>
  <c r="C324" i="2" s="1"/>
  <c r="E324" i="2"/>
  <c r="F324" i="2"/>
  <c r="H324" i="2" s="1"/>
  <c r="J324" i="2" s="1"/>
  <c r="A325" i="2"/>
  <c r="F322" i="3" l="1"/>
  <c r="H322" i="3" s="1"/>
  <c r="G324" i="2"/>
  <c r="J323" i="3"/>
  <c r="D323" i="3"/>
  <c r="I323" i="3" s="1"/>
  <c r="B323" i="3"/>
  <c r="C323" i="3" s="1"/>
  <c r="A324" i="3"/>
  <c r="E323" i="3"/>
  <c r="F323" i="3" s="1"/>
  <c r="H323" i="3" s="1"/>
  <c r="B325" i="2"/>
  <c r="C325" i="2" s="1"/>
  <c r="F325" i="2"/>
  <c r="H325" i="2" s="1"/>
  <c r="J325" i="2" s="1"/>
  <c r="E325" i="2"/>
  <c r="G325" i="2" s="1"/>
  <c r="A326" i="2"/>
  <c r="D324" i="2"/>
  <c r="I324" i="2" s="1"/>
  <c r="D325" i="2" l="1"/>
  <c r="I325" i="2" s="1"/>
  <c r="G323" i="3"/>
  <c r="B324" i="3"/>
  <c r="C324" i="3" s="1"/>
  <c r="A325" i="3"/>
  <c r="D324" i="3"/>
  <c r="J324" i="3"/>
  <c r="E324" i="3"/>
  <c r="G324" i="3" s="1"/>
  <c r="E326" i="2"/>
  <c r="F326" i="2"/>
  <c r="H326" i="2" s="1"/>
  <c r="J326" i="2" s="1"/>
  <c r="A327" i="2"/>
  <c r="B326" i="2"/>
  <c r="C326" i="2" s="1"/>
  <c r="F324" i="3" l="1"/>
  <c r="H324" i="3" s="1"/>
  <c r="D326" i="2"/>
  <c r="I326" i="2" s="1"/>
  <c r="I324" i="3"/>
  <c r="J325" i="3"/>
  <c r="E325" i="3"/>
  <c r="G325" i="3" s="1"/>
  <c r="D325" i="3"/>
  <c r="I325" i="3" s="1"/>
  <c r="B325" i="3"/>
  <c r="C325" i="3" s="1"/>
  <c r="A326" i="3"/>
  <c r="B327" i="2"/>
  <c r="C327" i="2" s="1"/>
  <c r="F327" i="2"/>
  <c r="E327" i="2"/>
  <c r="D327" i="2" s="1"/>
  <c r="I327" i="2" s="1"/>
  <c r="A328" i="2"/>
  <c r="H327" i="2"/>
  <c r="J327" i="2" s="1"/>
  <c r="G326" i="2"/>
  <c r="F325" i="3" l="1"/>
  <c r="H325" i="3" s="1"/>
  <c r="J326" i="3"/>
  <c r="B326" i="3"/>
  <c r="C326" i="3" s="1"/>
  <c r="A327" i="3"/>
  <c r="D326" i="3"/>
  <c r="I326" i="3" s="1"/>
  <c r="E326" i="3"/>
  <c r="G326" i="3" s="1"/>
  <c r="G327" i="2"/>
  <c r="E328" i="2"/>
  <c r="F328" i="2"/>
  <c r="H328" i="2" s="1"/>
  <c r="J328" i="2" s="1"/>
  <c r="A329" i="2"/>
  <c r="B328" i="2"/>
  <c r="C328" i="2" s="1"/>
  <c r="G328" i="2" l="1"/>
  <c r="F326" i="3"/>
  <c r="H326" i="3" s="1"/>
  <c r="E327" i="3"/>
  <c r="G327" i="3" s="1"/>
  <c r="J327" i="3"/>
  <c r="D327" i="3"/>
  <c r="F327" i="3" s="1"/>
  <c r="B327" i="3"/>
  <c r="C327" i="3" s="1"/>
  <c r="A328" i="3"/>
  <c r="B329" i="2"/>
  <c r="C329" i="2" s="1"/>
  <c r="F329" i="2"/>
  <c r="H329" i="2" s="1"/>
  <c r="J329" i="2" s="1"/>
  <c r="E329" i="2"/>
  <c r="G329" i="2" s="1"/>
  <c r="A330" i="2"/>
  <c r="D328" i="2"/>
  <c r="I328" i="2" s="1"/>
  <c r="H327" i="3" l="1"/>
  <c r="I327" i="3"/>
  <c r="J328" i="3"/>
  <c r="E328" i="3"/>
  <c r="G328" i="3" s="1"/>
  <c r="B328" i="3"/>
  <c r="C328" i="3" s="1"/>
  <c r="A329" i="3"/>
  <c r="D328" i="3"/>
  <c r="I328" i="3" s="1"/>
  <c r="D329" i="2"/>
  <c r="I329" i="2" s="1"/>
  <c r="F330" i="2"/>
  <c r="H330" i="2" s="1"/>
  <c r="J330" i="2" s="1"/>
  <c r="A331" i="2"/>
  <c r="B330" i="2"/>
  <c r="C330" i="2" s="1"/>
  <c r="E330" i="2"/>
  <c r="D330" i="2" l="1"/>
  <c r="F328" i="3"/>
  <c r="H328" i="3" s="1"/>
  <c r="E329" i="3"/>
  <c r="G329" i="3" s="1"/>
  <c r="J329" i="3"/>
  <c r="D329" i="3"/>
  <c r="I329" i="3" s="1"/>
  <c r="B329" i="3"/>
  <c r="C329" i="3" s="1"/>
  <c r="A330" i="3"/>
  <c r="F329" i="3"/>
  <c r="H329" i="3" s="1"/>
  <c r="I330" i="2"/>
  <c r="G330" i="2"/>
  <c r="B331" i="2"/>
  <c r="C331" i="2" s="1"/>
  <c r="F331" i="2"/>
  <c r="H331" i="2" s="1"/>
  <c r="J331" i="2" s="1"/>
  <c r="E331" i="2"/>
  <c r="A332" i="2"/>
  <c r="G331" i="2" l="1"/>
  <c r="E330" i="3"/>
  <c r="G330" i="3" s="1"/>
  <c r="B330" i="3"/>
  <c r="C330" i="3" s="1"/>
  <c r="A331" i="3"/>
  <c r="J330" i="3"/>
  <c r="D330" i="3"/>
  <c r="I330" i="3" s="1"/>
  <c r="D331" i="2"/>
  <c r="I331" i="2" s="1"/>
  <c r="B332" i="2"/>
  <c r="C332" i="2" s="1"/>
  <c r="E332" i="2"/>
  <c r="G332" i="2" s="1"/>
  <c r="F332" i="2"/>
  <c r="H332" i="2" s="1"/>
  <c r="J332" i="2" s="1"/>
  <c r="A333" i="2"/>
  <c r="F330" i="3" l="1"/>
  <c r="H330" i="3" s="1"/>
  <c r="D331" i="3"/>
  <c r="I331" i="3" s="1"/>
  <c r="B331" i="3"/>
  <c r="C331" i="3" s="1"/>
  <c r="A332" i="3"/>
  <c r="E331" i="3"/>
  <c r="G331" i="3" s="1"/>
  <c r="J331" i="3"/>
  <c r="H331" i="3"/>
  <c r="F331" i="3"/>
  <c r="B333" i="2"/>
  <c r="C333" i="2" s="1"/>
  <c r="F333" i="2"/>
  <c r="H333" i="2" s="1"/>
  <c r="J333" i="2" s="1"/>
  <c r="E333" i="2"/>
  <c r="D333" i="2" s="1"/>
  <c r="A334" i="2"/>
  <c r="D332" i="2"/>
  <c r="I332" i="2" s="1"/>
  <c r="G333" i="2" l="1"/>
  <c r="I333" i="2"/>
  <c r="J332" i="3"/>
  <c r="E332" i="3"/>
  <c r="G332" i="3" s="1"/>
  <c r="B332" i="3"/>
  <c r="C332" i="3" s="1"/>
  <c r="A333" i="3"/>
  <c r="D332" i="3"/>
  <c r="F332" i="3" s="1"/>
  <c r="H332" i="3" s="1"/>
  <c r="E334" i="2"/>
  <c r="F334" i="2"/>
  <c r="H334" i="2" s="1"/>
  <c r="J334" i="2" s="1"/>
  <c r="B334" i="2"/>
  <c r="C334" i="2" s="1"/>
  <c r="A335" i="2"/>
  <c r="I332" i="3" l="1"/>
  <c r="D334" i="2"/>
  <c r="I334" i="2" s="1"/>
  <c r="D333" i="3"/>
  <c r="I333" i="3" s="1"/>
  <c r="B333" i="3"/>
  <c r="C333" i="3" s="1"/>
  <c r="A334" i="3"/>
  <c r="E333" i="3"/>
  <c r="G333" i="3" s="1"/>
  <c r="J333" i="3"/>
  <c r="B335" i="2"/>
  <c r="C335" i="2" s="1"/>
  <c r="F335" i="2"/>
  <c r="H335" i="2" s="1"/>
  <c r="J335" i="2" s="1"/>
  <c r="A336" i="2"/>
  <c r="E335" i="2"/>
  <c r="D335" i="2" s="1"/>
  <c r="I335" i="2" s="1"/>
  <c r="G334" i="2"/>
  <c r="F333" i="3" l="1"/>
  <c r="H333" i="3" s="1"/>
  <c r="J334" i="3"/>
  <c r="B334" i="3"/>
  <c r="C334" i="3" s="1"/>
  <c r="A335" i="3"/>
  <c r="E334" i="3"/>
  <c r="D334" i="3"/>
  <c r="I334" i="3" s="1"/>
  <c r="G335" i="2"/>
  <c r="E336" i="2"/>
  <c r="B336" i="2"/>
  <c r="C336" i="2" s="1"/>
  <c r="F336" i="2"/>
  <c r="H336" i="2" s="1"/>
  <c r="J336" i="2" s="1"/>
  <c r="A337" i="2"/>
  <c r="D336" i="2" l="1"/>
  <c r="I336" i="2" s="1"/>
  <c r="F334" i="3"/>
  <c r="H334" i="3" s="1"/>
  <c r="G336" i="2"/>
  <c r="G334" i="3"/>
  <c r="E335" i="3"/>
  <c r="J335" i="3"/>
  <c r="B335" i="3"/>
  <c r="C335" i="3" s="1"/>
  <c r="G335" i="3"/>
  <c r="D335" i="3"/>
  <c r="I335" i="3" s="1"/>
  <c r="A336" i="3"/>
  <c r="B337" i="2"/>
  <c r="C337" i="2" s="1"/>
  <c r="F337" i="2"/>
  <c r="H337" i="2" s="1"/>
  <c r="J337" i="2" s="1"/>
  <c r="A338" i="2"/>
  <c r="E337" i="2"/>
  <c r="D337" i="2" s="1"/>
  <c r="I337" i="2" s="1"/>
  <c r="D336" i="3" l="1"/>
  <c r="J336" i="3"/>
  <c r="B336" i="3"/>
  <c r="C336" i="3" s="1"/>
  <c r="A337" i="3"/>
  <c r="I336" i="3"/>
  <c r="E336" i="3"/>
  <c r="G336" i="3" s="1"/>
  <c r="F335" i="3"/>
  <c r="H335" i="3" s="1"/>
  <c r="G337" i="2"/>
  <c r="E338" i="2"/>
  <c r="B338" i="2"/>
  <c r="C338" i="2" s="1"/>
  <c r="F338" i="2"/>
  <c r="H338" i="2" s="1"/>
  <c r="J338" i="2" s="1"/>
  <c r="A339" i="2"/>
  <c r="D338" i="2" l="1"/>
  <c r="I338" i="2" s="1"/>
  <c r="F336" i="3"/>
  <c r="H336" i="3" s="1"/>
  <c r="G338" i="2"/>
  <c r="J337" i="3"/>
  <c r="D337" i="3"/>
  <c r="I337" i="3" s="1"/>
  <c r="B337" i="3"/>
  <c r="C337" i="3" s="1"/>
  <c r="A338" i="3"/>
  <c r="E337" i="3"/>
  <c r="G337" i="3" s="1"/>
  <c r="B339" i="2"/>
  <c r="C339" i="2" s="1"/>
  <c r="F339" i="2"/>
  <c r="H339" i="2" s="1"/>
  <c r="J339" i="2" s="1"/>
  <c r="A340" i="2"/>
  <c r="E339" i="2"/>
  <c r="D339" i="2" l="1"/>
  <c r="I339" i="2" s="1"/>
  <c r="F337" i="3"/>
  <c r="H337" i="3" s="1"/>
  <c r="J338" i="3"/>
  <c r="E338" i="3"/>
  <c r="G338" i="3" s="1"/>
  <c r="B338" i="3"/>
  <c r="C338" i="3" s="1"/>
  <c r="A339" i="3"/>
  <c r="D338" i="3"/>
  <c r="F338" i="3" s="1"/>
  <c r="G339" i="2"/>
  <c r="E340" i="2"/>
  <c r="B340" i="2"/>
  <c r="C340" i="2" s="1"/>
  <c r="F340" i="2"/>
  <c r="H340" i="2" s="1"/>
  <c r="J340" i="2" s="1"/>
  <c r="A341" i="2"/>
  <c r="H338" i="3" l="1"/>
  <c r="I338" i="3"/>
  <c r="B339" i="3"/>
  <c r="C339" i="3" s="1"/>
  <c r="E339" i="3"/>
  <c r="J339" i="3"/>
  <c r="D339" i="3"/>
  <c r="A340" i="3"/>
  <c r="I339" i="3"/>
  <c r="G339" i="3"/>
  <c r="G340" i="2"/>
  <c r="D340" i="2"/>
  <c r="I340" i="2" s="1"/>
  <c r="B341" i="2"/>
  <c r="C341" i="2" s="1"/>
  <c r="F341" i="2"/>
  <c r="A342" i="2"/>
  <c r="H341" i="2"/>
  <c r="J341" i="2" s="1"/>
  <c r="E341" i="2"/>
  <c r="G341" i="2" s="1"/>
  <c r="F339" i="3" l="1"/>
  <c r="H339" i="3" s="1"/>
  <c r="D340" i="3"/>
  <c r="J340" i="3"/>
  <c r="A341" i="3"/>
  <c r="E340" i="3"/>
  <c r="F340" i="3" s="1"/>
  <c r="H340" i="3" s="1"/>
  <c r="B340" i="3"/>
  <c r="C340" i="3" s="1"/>
  <c r="I340" i="3"/>
  <c r="E342" i="2"/>
  <c r="B342" i="2"/>
  <c r="C342" i="2" s="1"/>
  <c r="F342" i="2"/>
  <c r="H342" i="2" s="1"/>
  <c r="J342" i="2" s="1"/>
  <c r="A343" i="2"/>
  <c r="D341" i="2"/>
  <c r="I341" i="2" s="1"/>
  <c r="D341" i="3" l="1"/>
  <c r="B341" i="3"/>
  <c r="C341" i="3" s="1"/>
  <c r="A342" i="3"/>
  <c r="E341" i="3"/>
  <c r="F341" i="3" s="1"/>
  <c r="H341" i="3" s="1"/>
  <c r="J341" i="3"/>
  <c r="I341" i="3"/>
  <c r="D342" i="2"/>
  <c r="I342" i="2" s="1"/>
  <c r="G340" i="3"/>
  <c r="G341" i="3" s="1"/>
  <c r="G342" i="2"/>
  <c r="B343" i="2"/>
  <c r="C343" i="2" s="1"/>
  <c r="F343" i="2"/>
  <c r="H343" i="2" s="1"/>
  <c r="J343" i="2" s="1"/>
  <c r="A344" i="2"/>
  <c r="E343" i="2"/>
  <c r="E342" i="3" l="1"/>
  <c r="G342" i="3" s="1"/>
  <c r="J342" i="3"/>
  <c r="B342" i="3"/>
  <c r="C342" i="3" s="1"/>
  <c r="A343" i="3"/>
  <c r="D342" i="3"/>
  <c r="F342" i="3" s="1"/>
  <c r="H342" i="3" s="1"/>
  <c r="D343" i="2"/>
  <c r="I343" i="2" s="1"/>
  <c r="E344" i="2"/>
  <c r="D344" i="2" s="1"/>
  <c r="I344" i="2" s="1"/>
  <c r="F344" i="2"/>
  <c r="H344" i="2" s="1"/>
  <c r="J344" i="2" s="1"/>
  <c r="B344" i="2"/>
  <c r="C344" i="2" s="1"/>
  <c r="A345" i="2"/>
  <c r="G343" i="2"/>
  <c r="I342" i="3" l="1"/>
  <c r="E343" i="3"/>
  <c r="G343" i="3" s="1"/>
  <c r="J343" i="3"/>
  <c r="D343" i="3"/>
  <c r="F343" i="3" s="1"/>
  <c r="H343" i="3" s="1"/>
  <c r="B343" i="3"/>
  <c r="C343" i="3" s="1"/>
  <c r="A344" i="3"/>
  <c r="B345" i="2"/>
  <c r="C345" i="2" s="1"/>
  <c r="F345" i="2"/>
  <c r="H345" i="2" s="1"/>
  <c r="J345" i="2" s="1"/>
  <c r="A346" i="2"/>
  <c r="E345" i="2"/>
  <c r="G344" i="2"/>
  <c r="D345" i="2" l="1"/>
  <c r="I345" i="2" s="1"/>
  <c r="J344" i="3"/>
  <c r="D344" i="3"/>
  <c r="I344" i="3" s="1"/>
  <c r="E344" i="3"/>
  <c r="G344" i="3" s="1"/>
  <c r="B344" i="3"/>
  <c r="C344" i="3" s="1"/>
  <c r="A345" i="3"/>
  <c r="I343" i="3"/>
  <c r="G345" i="2"/>
  <c r="E346" i="2"/>
  <c r="B346" i="2"/>
  <c r="C346" i="2" s="1"/>
  <c r="F346" i="2"/>
  <c r="H346" i="2" s="1"/>
  <c r="J346" i="2" s="1"/>
  <c r="G346" i="2"/>
  <c r="A347" i="2"/>
  <c r="D346" i="2" l="1"/>
  <c r="I346" i="2" s="1"/>
  <c r="F344" i="3"/>
  <c r="H344" i="3" s="1"/>
  <c r="E345" i="3"/>
  <c r="G345" i="3" s="1"/>
  <c r="J345" i="3"/>
  <c r="D345" i="3"/>
  <c r="I345" i="3" s="1"/>
  <c r="B345" i="3"/>
  <c r="C345" i="3" s="1"/>
  <c r="A346" i="3"/>
  <c r="B347" i="2"/>
  <c r="C347" i="2" s="1"/>
  <c r="F347" i="2"/>
  <c r="H347" i="2" s="1"/>
  <c r="J347" i="2" s="1"/>
  <c r="A348" i="2"/>
  <c r="E347" i="2"/>
  <c r="F345" i="3" l="1"/>
  <c r="H345" i="3" s="1"/>
  <c r="D347" i="2"/>
  <c r="I347" i="2" s="1"/>
  <c r="D346" i="3"/>
  <c r="F346" i="3" s="1"/>
  <c r="H346" i="3" s="1"/>
  <c r="J346" i="3"/>
  <c r="E346" i="3"/>
  <c r="B346" i="3"/>
  <c r="C346" i="3" s="1"/>
  <c r="A347" i="3"/>
  <c r="G346" i="3"/>
  <c r="G347" i="2"/>
  <c r="E348" i="2"/>
  <c r="F348" i="2"/>
  <c r="H348" i="2" s="1"/>
  <c r="J348" i="2" s="1"/>
  <c r="B348" i="2"/>
  <c r="C348" i="2" s="1"/>
  <c r="A349" i="2"/>
  <c r="I346" i="3" l="1"/>
  <c r="G348" i="2"/>
  <c r="D347" i="3"/>
  <c r="I347" i="3" s="1"/>
  <c r="B347" i="3"/>
  <c r="C347" i="3" s="1"/>
  <c r="A348" i="3"/>
  <c r="E347" i="3"/>
  <c r="F347" i="3" s="1"/>
  <c r="H347" i="3" s="1"/>
  <c r="J347" i="3"/>
  <c r="D348" i="2"/>
  <c r="I348" i="2" s="1"/>
  <c r="B349" i="2"/>
  <c r="C349" i="2" s="1"/>
  <c r="F349" i="2"/>
  <c r="H349" i="2" s="1"/>
  <c r="J349" i="2" s="1"/>
  <c r="A350" i="2"/>
  <c r="E349" i="2"/>
  <c r="D349" i="2" l="1"/>
  <c r="I349" i="2" s="1"/>
  <c r="G347" i="3"/>
  <c r="G348" i="3" s="1"/>
  <c r="J348" i="3"/>
  <c r="E348" i="3"/>
  <c r="B348" i="3"/>
  <c r="C348" i="3" s="1"/>
  <c r="A349" i="3"/>
  <c r="D348" i="3"/>
  <c r="F348" i="3" s="1"/>
  <c r="H348" i="3" s="1"/>
  <c r="E350" i="2"/>
  <c r="F350" i="2"/>
  <c r="H350" i="2" s="1"/>
  <c r="J350" i="2" s="1"/>
  <c r="B350" i="2"/>
  <c r="C350" i="2" s="1"/>
  <c r="A351" i="2"/>
  <c r="G349" i="2"/>
  <c r="I348" i="3" l="1"/>
  <c r="D350" i="2"/>
  <c r="I350" i="2" s="1"/>
  <c r="E349" i="3"/>
  <c r="G349" i="3" s="1"/>
  <c r="J349" i="3"/>
  <c r="D349" i="3"/>
  <c r="B349" i="3"/>
  <c r="C349" i="3" s="1"/>
  <c r="A350" i="3"/>
  <c r="I349" i="3"/>
  <c r="B351" i="2"/>
  <c r="C351" i="2" s="1"/>
  <c r="F351" i="2"/>
  <c r="H351" i="2" s="1"/>
  <c r="J351" i="2" s="1"/>
  <c r="A352" i="2"/>
  <c r="E351" i="2"/>
  <c r="G350" i="2"/>
  <c r="D351" i="2" l="1"/>
  <c r="I351" i="2" s="1"/>
  <c r="J350" i="3"/>
  <c r="E350" i="3"/>
  <c r="G350" i="3" s="1"/>
  <c r="B350" i="3"/>
  <c r="C350" i="3" s="1"/>
  <c r="A351" i="3"/>
  <c r="D350" i="3"/>
  <c r="I350" i="3" s="1"/>
  <c r="F349" i="3"/>
  <c r="H349" i="3" s="1"/>
  <c r="G351" i="2"/>
  <c r="E352" i="2"/>
  <c r="B352" i="2"/>
  <c r="C352" i="2" s="1"/>
  <c r="F352" i="2"/>
  <c r="H352" i="2" s="1"/>
  <c r="J352" i="2" s="1"/>
  <c r="A353" i="2"/>
  <c r="G352" i="2" l="1"/>
  <c r="F350" i="3"/>
  <c r="H350" i="3" s="1"/>
  <c r="D351" i="3"/>
  <c r="I351" i="3" s="1"/>
  <c r="B351" i="3"/>
  <c r="C351" i="3" s="1"/>
  <c r="A352" i="3"/>
  <c r="J351" i="3"/>
  <c r="E351" i="3"/>
  <c r="G351" i="3" s="1"/>
  <c r="D352" i="2"/>
  <c r="I352" i="2" s="1"/>
  <c r="B353" i="2"/>
  <c r="C353" i="2" s="1"/>
  <c r="F353" i="2"/>
  <c r="H353" i="2" s="1"/>
  <c r="J353" i="2" s="1"/>
  <c r="A354" i="2"/>
  <c r="E353" i="2"/>
  <c r="G353" i="2" s="1"/>
  <c r="F351" i="3" l="1"/>
  <c r="H351" i="3" s="1"/>
  <c r="H352" i="3" s="1"/>
  <c r="J352" i="3"/>
  <c r="G352" i="3"/>
  <c r="E352" i="3"/>
  <c r="B352" i="3"/>
  <c r="C352" i="3" s="1"/>
  <c r="A353" i="3"/>
  <c r="D352" i="3"/>
  <c r="F352" i="3" s="1"/>
  <c r="D353" i="2"/>
  <c r="I353" i="2" s="1"/>
  <c r="E354" i="2"/>
  <c r="G354" i="2" s="1"/>
  <c r="F354" i="2"/>
  <c r="H354" i="2" s="1"/>
  <c r="J354" i="2" s="1"/>
  <c r="B354" i="2"/>
  <c r="C354" i="2" s="1"/>
  <c r="A355" i="2"/>
  <c r="D354" i="2" l="1"/>
  <c r="I354" i="2" s="1"/>
  <c r="I352" i="3"/>
  <c r="D353" i="3"/>
  <c r="I353" i="3" s="1"/>
  <c r="B353" i="3"/>
  <c r="C353" i="3" s="1"/>
  <c r="A354" i="3"/>
  <c r="E353" i="3"/>
  <c r="F353" i="3" s="1"/>
  <c r="H353" i="3" s="1"/>
  <c r="J353" i="3"/>
  <c r="B355" i="2"/>
  <c r="C355" i="2" s="1"/>
  <c r="F355" i="2"/>
  <c r="A356" i="2"/>
  <c r="H355" i="2"/>
  <c r="J355" i="2" s="1"/>
  <c r="E355" i="2"/>
  <c r="D355" i="2" s="1"/>
  <c r="I355" i="2" l="1"/>
  <c r="J354" i="3"/>
  <c r="B354" i="3"/>
  <c r="C354" i="3" s="1"/>
  <c r="A355" i="3"/>
  <c r="D354" i="3"/>
  <c r="I354" i="3" s="1"/>
  <c r="E354" i="3"/>
  <c r="G355" i="2"/>
  <c r="G353" i="3"/>
  <c r="G354" i="3" s="1"/>
  <c r="E356" i="2"/>
  <c r="F356" i="2"/>
  <c r="D356" i="2" s="1"/>
  <c r="I356" i="2" s="1"/>
  <c r="B356" i="2"/>
  <c r="C356" i="2" s="1"/>
  <c r="G356" i="2"/>
  <c r="A357" i="2"/>
  <c r="F354" i="3" l="1"/>
  <c r="H354" i="3" s="1"/>
  <c r="H356" i="2"/>
  <c r="J356" i="2" s="1"/>
  <c r="D355" i="3"/>
  <c r="I355" i="3" s="1"/>
  <c r="A356" i="3"/>
  <c r="B355" i="3"/>
  <c r="C355" i="3" s="1"/>
  <c r="E355" i="3"/>
  <c r="G355" i="3" s="1"/>
  <c r="J355" i="3"/>
  <c r="B357" i="2"/>
  <c r="C357" i="2" s="1"/>
  <c r="A358" i="2"/>
  <c r="F357" i="2"/>
  <c r="H357" i="2" s="1"/>
  <c r="J357" i="2" s="1"/>
  <c r="E357" i="2"/>
  <c r="G357" i="2" s="1"/>
  <c r="F355" i="3" l="1"/>
  <c r="H355" i="3"/>
  <c r="D357" i="2"/>
  <c r="I357" i="2" s="1"/>
  <c r="E356" i="3"/>
  <c r="G356" i="3" s="1"/>
  <c r="B356" i="3"/>
  <c r="C356" i="3" s="1"/>
  <c r="A357" i="3"/>
  <c r="D356" i="3"/>
  <c r="I356" i="3" s="1"/>
  <c r="J356" i="3"/>
  <c r="E358" i="2"/>
  <c r="D358" i="2" s="1"/>
  <c r="I358" i="2" s="1"/>
  <c r="B358" i="2"/>
  <c r="C358" i="2" s="1"/>
  <c r="F358" i="2"/>
  <c r="H358" i="2" s="1"/>
  <c r="J358" i="2" s="1"/>
  <c r="A359" i="2"/>
  <c r="G358" i="2" l="1"/>
  <c r="F356" i="3"/>
  <c r="H356" i="3" s="1"/>
  <c r="E357" i="3"/>
  <c r="D357" i="3"/>
  <c r="I357" i="3" s="1"/>
  <c r="A358" i="3"/>
  <c r="B357" i="3"/>
  <c r="C357" i="3" s="1"/>
  <c r="F357" i="3"/>
  <c r="J357" i="3"/>
  <c r="G357" i="3"/>
  <c r="B359" i="2"/>
  <c r="C359" i="2" s="1"/>
  <c r="G359" i="2"/>
  <c r="A360" i="2"/>
  <c r="F359" i="2"/>
  <c r="H359" i="2" s="1"/>
  <c r="J359" i="2" s="1"/>
  <c r="E359" i="2"/>
  <c r="D359" i="2" l="1"/>
  <c r="I359" i="2" s="1"/>
  <c r="H357" i="3"/>
  <c r="D358" i="3"/>
  <c r="I358" i="3" s="1"/>
  <c r="J358" i="3"/>
  <c r="E358" i="3"/>
  <c r="B358" i="3"/>
  <c r="C358" i="3" s="1"/>
  <c r="A359" i="3"/>
  <c r="E360" i="2"/>
  <c r="F360" i="2"/>
  <c r="D360" i="2" s="1"/>
  <c r="I360" i="2" s="1"/>
  <c r="B360" i="2"/>
  <c r="C360" i="2" s="1"/>
  <c r="H360" i="2"/>
  <c r="J360" i="2" s="1"/>
  <c r="G360" i="2"/>
  <c r="A361" i="2"/>
  <c r="F358" i="3" l="1"/>
  <c r="H358" i="3" s="1"/>
  <c r="G358" i="3"/>
  <c r="G359" i="3" s="1"/>
  <c r="J359" i="3"/>
  <c r="E359" i="3"/>
  <c r="D359" i="3"/>
  <c r="I359" i="3" s="1"/>
  <c r="B359" i="3"/>
  <c r="C359" i="3" s="1"/>
  <c r="A360" i="3"/>
  <c r="B361" i="2"/>
  <c r="C361" i="2" s="1"/>
  <c r="A362" i="2"/>
  <c r="F361" i="2"/>
  <c r="H361" i="2"/>
  <c r="J361" i="2" s="1"/>
  <c r="E361" i="2"/>
  <c r="G361" i="2" s="1"/>
  <c r="D361" i="2" l="1"/>
  <c r="I361" i="2" s="1"/>
  <c r="F359" i="3"/>
  <c r="H359" i="3" s="1"/>
  <c r="D360" i="3"/>
  <c r="F360" i="3" s="1"/>
  <c r="H360" i="3" s="1"/>
  <c r="J360" i="3"/>
  <c r="A361" i="3"/>
  <c r="E360" i="3"/>
  <c r="G360" i="3" s="1"/>
  <c r="B360" i="3"/>
  <c r="C360" i="3" s="1"/>
  <c r="I360" i="3"/>
  <c r="E362" i="2"/>
  <c r="G362" i="2" s="1"/>
  <c r="B362" i="2"/>
  <c r="C362" i="2" s="1"/>
  <c r="F362" i="2"/>
  <c r="H362" i="2" s="1"/>
  <c r="J362" i="2" s="1"/>
  <c r="A363" i="2"/>
  <c r="D362" i="2" l="1"/>
  <c r="I362" i="2" s="1"/>
  <c r="D361" i="3"/>
  <c r="I361" i="3" s="1"/>
  <c r="B361" i="3"/>
  <c r="C361" i="3" s="1"/>
  <c r="A362" i="3"/>
  <c r="E361" i="3"/>
  <c r="G361" i="3" s="1"/>
  <c r="J361" i="3"/>
  <c r="B363" i="2"/>
  <c r="C363" i="2" s="1"/>
  <c r="A364" i="2"/>
  <c r="F363" i="2"/>
  <c r="H363" i="2" s="1"/>
  <c r="J363" i="2" s="1"/>
  <c r="E363" i="2"/>
  <c r="G363" i="2" s="1"/>
  <c r="D363" i="2" l="1"/>
  <c r="I363" i="2" s="1"/>
  <c r="F361" i="3"/>
  <c r="H361" i="3" s="1"/>
  <c r="B362" i="3"/>
  <c r="C362" i="3" s="1"/>
  <c r="D362" i="3"/>
  <c r="I362" i="3" s="1"/>
  <c r="J362" i="3"/>
  <c r="G362" i="3"/>
  <c r="A363" i="3"/>
  <c r="E362" i="3"/>
  <c r="F362" i="3" s="1"/>
  <c r="H362" i="3" s="1"/>
  <c r="E364" i="2"/>
  <c r="G364" i="2" s="1"/>
  <c r="F364" i="2"/>
  <c r="H364" i="2" s="1"/>
  <c r="J364" i="2" s="1"/>
  <c r="B364" i="2"/>
  <c r="C364" i="2" s="1"/>
  <c r="A365" i="2"/>
  <c r="D364" i="2" l="1"/>
  <c r="I364" i="2" s="1"/>
  <c r="E363" i="3"/>
  <c r="G363" i="3" s="1"/>
  <c r="D363" i="3"/>
  <c r="J363" i="3"/>
  <c r="B363" i="3"/>
  <c r="C363" i="3" s="1"/>
  <c r="A364" i="3"/>
  <c r="E365" i="2"/>
  <c r="G365" i="2" s="1"/>
  <c r="H1" i="2" s="1"/>
  <c r="B365" i="2"/>
  <c r="C365" i="2" s="1"/>
  <c r="F365" i="2"/>
  <c r="D365" i="2" s="1"/>
  <c r="F363" i="3" l="1"/>
  <c r="H363" i="3" s="1"/>
  <c r="I363" i="3"/>
  <c r="E3" i="2"/>
  <c r="H10" i="1" s="1"/>
  <c r="J10" i="1" s="1"/>
  <c r="E2" i="2"/>
  <c r="I365" i="2"/>
  <c r="H2" i="2" s="1"/>
  <c r="H11" i="1" s="1"/>
  <c r="H12" i="1" s="1"/>
  <c r="H365" i="2"/>
  <c r="J365" i="2" s="1"/>
  <c r="B364" i="3"/>
  <c r="C364" i="3" s="1"/>
  <c r="D364" i="3"/>
  <c r="F364" i="3" s="1"/>
  <c r="H364" i="3" s="1"/>
  <c r="J364" i="3"/>
  <c r="E364" i="3"/>
  <c r="G364" i="3" s="1"/>
  <c r="A365" i="3"/>
  <c r="I364" i="3" l="1"/>
  <c r="E365" i="3"/>
  <c r="G365" i="3" s="1"/>
  <c r="H1" i="3" s="1"/>
  <c r="D365" i="3"/>
  <c r="I365" i="3" s="1"/>
  <c r="H2" i="3" s="1"/>
  <c r="I11" i="1" s="1"/>
  <c r="B365" i="3"/>
  <c r="C365" i="3" s="1"/>
  <c r="J365" i="3"/>
  <c r="F365" i="3" l="1"/>
  <c r="H365" i="3" s="1"/>
  <c r="I12" i="1"/>
  <c r="J12" i="1" s="1"/>
  <c r="J11" i="1"/>
</calcChain>
</file>

<file path=xl/sharedStrings.xml><?xml version="1.0" encoding="utf-8"?>
<sst xmlns="http://schemas.openxmlformats.org/spreadsheetml/2006/main" count="52" uniqueCount="34">
  <si>
    <t>Loan Value</t>
  </si>
  <si>
    <t>years</t>
  </si>
  <si>
    <t>months</t>
  </si>
  <si>
    <t>Loan rate</t>
  </si>
  <si>
    <t>Loan payment</t>
  </si>
  <si>
    <t>Nr</t>
  </si>
  <si>
    <t>Date</t>
  </si>
  <si>
    <t>First Payment date</t>
  </si>
  <si>
    <t>Amount of credit</t>
  </si>
  <si>
    <t>q</t>
  </si>
  <si>
    <t>WIBOR</t>
  </si>
  <si>
    <t>Margin</t>
  </si>
  <si>
    <t>Month</t>
  </si>
  <si>
    <t>Payment</t>
  </si>
  <si>
    <t>Interest part</t>
  </si>
  <si>
    <t>Capital part</t>
  </si>
  <si>
    <t xml:space="preserve"> Payment to go</t>
  </si>
  <si>
    <t>Sume of Payments</t>
  </si>
  <si>
    <t>Sume of Interest part</t>
  </si>
  <si>
    <t>Sume of Capital part</t>
  </si>
  <si>
    <t>Monthly Payments:</t>
  </si>
  <si>
    <t>Monthly Payments</t>
  </si>
  <si>
    <t>Max</t>
  </si>
  <si>
    <t>Min</t>
  </si>
  <si>
    <t>Sume of interest:</t>
  </si>
  <si>
    <t>Whole  payment:</t>
  </si>
  <si>
    <t>Decreasing</t>
  </si>
  <si>
    <t xml:space="preserve">Equal </t>
  </si>
  <si>
    <t>Monthly Installment</t>
  </si>
  <si>
    <t>First Payment</t>
  </si>
  <si>
    <t>Last Payment</t>
  </si>
  <si>
    <t>Sum of Payments</t>
  </si>
  <si>
    <t xml:space="preserve">Sum of interest 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</si>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</sst>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\ _z_ł"/>
    <numFmt numFmtId="165" formatCode="#,##0.00\ &quot;zł&quot;"/>
  </numFmts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center" vertical="center"/>
    </xf>
    <xf numFmtId="165" fontId="0" fillId="2" borderId="0" xfId="0" applyNumberFormat="1" applyFill="1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165" fontId="0" fillId="0" borderId="0" xfId="0" applyNumberFormat="1" applyAlignment="1">
      <alignment horizontal="center" vertical="center"/>
    </xf>
    <xf numFmtId="10" fontId="0" fillId="0" borderId="0" xfId="0" applyNumberFormat="1"/>
    <xf numFmtId="10" fontId="0" fillId="2" borderId="0" xfId="0" applyNumberFormat="1" applyFill="1"/>
    <xf numFmtId="10" fontId="0" fillId="0" borderId="0" xfId="0" applyNumberFormat="1" applyFill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Inputs!$A$1</c:f>
              <c:strCache>
                <c:ptCount val="1"/>
                <c:pt idx="0">
                  <c:v>Loan Value</c:v>
                </c:pt>
              </c:strCache>
            </c:strRef>
          </c:tx>
          <c:invertIfNegative val="0"/>
          <c:cat>
            <c:strRef>
              <c:f>Inputs!$H$8:$I$8</c:f>
              <c:strCache>
                <c:ptCount val="2"/>
                <c:pt idx="0">
                  <c:v>Decreasing</c:v>
                </c:pt>
                <c:pt idx="1">
                  <c:v>Equal </c:v>
                </c:pt>
              </c:strCache>
            </c:strRef>
          </c:cat>
          <c:val>
            <c:numRef>
              <c:f>(Inputs!$B$1,Inputs!$B$1)</c:f>
              <c:numCache>
                <c:formatCode>#,##0.00\ "zł"</c:formatCode>
                <c:ptCount val="2"/>
                <c:pt idx="0">
                  <c:v>250000</c:v>
                </c:pt>
                <c:pt idx="1">
                  <c:v>250000</c:v>
                </c:pt>
              </c:numCache>
            </c:numRef>
          </c:val>
        </c:ser>
        <c:ser>
          <c:idx val="1"/>
          <c:order val="1"/>
          <c:tx>
            <c:strRef>
              <c:f>Inputs!$G$12</c:f>
              <c:strCache>
                <c:ptCount val="1"/>
                <c:pt idx="0">
                  <c:v>Sum of interest </c:v>
                </c:pt>
              </c:strCache>
            </c:strRef>
          </c:tx>
          <c:invertIfNegative val="0"/>
          <c:cat>
            <c:strRef>
              <c:f>Inputs!$H$8:$I$8</c:f>
              <c:strCache>
                <c:ptCount val="2"/>
                <c:pt idx="0">
                  <c:v>Decreasing</c:v>
                </c:pt>
                <c:pt idx="1">
                  <c:v>Equal </c:v>
                </c:pt>
              </c:strCache>
            </c:strRef>
          </c:cat>
          <c:val>
            <c:numRef>
              <c:f>Inputs!$H$12:$I$12</c:f>
              <c:numCache>
                <c:formatCode>#,##0.00\ "zł"</c:formatCode>
                <c:ptCount val="2"/>
                <c:pt idx="0">
                  <c:v>142347.91666666651</c:v>
                </c:pt>
                <c:pt idx="1">
                  <c:v>168578.9948939514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3638528"/>
        <c:axId val="233640320"/>
      </c:barChart>
      <c:catAx>
        <c:axId val="233638528"/>
        <c:scaling>
          <c:orientation val="minMax"/>
        </c:scaling>
        <c:delete val="0"/>
        <c:axPos val="b"/>
        <c:majorTickMark val="out"/>
        <c:minorTickMark val="none"/>
        <c:tickLblPos val="nextTo"/>
        <c:crossAx val="233640320"/>
        <c:crosses val="autoZero"/>
        <c:auto val="1"/>
        <c:lblAlgn val="ctr"/>
        <c:lblOffset val="100"/>
        <c:noMultiLvlLbl val="0"/>
      </c:catAx>
      <c:valAx>
        <c:axId val="233640320"/>
        <c:scaling>
          <c:orientation val="minMax"/>
        </c:scaling>
        <c:delete val="0"/>
        <c:axPos val="l"/>
        <c:majorGridlines/>
        <c:numFmt formatCode="#,##0.00\ &quot;zł&quot;" sourceLinked="1"/>
        <c:majorTickMark val="out"/>
        <c:minorTickMark val="none"/>
        <c:tickLblPos val="nextTo"/>
        <c:crossAx val="2336385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Inputs!$H$8</c:f>
              <c:strCache>
                <c:ptCount val="1"/>
                <c:pt idx="0">
                  <c:v>Decreasing</c:v>
                </c:pt>
              </c:strCache>
            </c:strRef>
          </c:tx>
          <c:cat>
            <c:strRef>
              <c:f>'Decreasing installments'!$A$6:$A$365</c:f>
              <c:strCache>
                <c:ptCount val="3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</c:strCache>
            </c:strRef>
          </c:cat>
          <c:val>
            <c:numRef>
              <c:f>'Decreasing installments'!$D$6:$D$365</c:f>
              <c:numCache>
                <c:formatCode>#,##0.00\ _z_ł</c:formatCode>
                <c:ptCount val="360"/>
                <c:pt idx="0">
                  <c:v>1779.1666666666667</c:v>
                </c:pt>
                <c:pt idx="1">
                  <c:v>1776.0138888888889</c:v>
                </c:pt>
                <c:pt idx="2">
                  <c:v>1772.8611111111113</c:v>
                </c:pt>
                <c:pt idx="3">
                  <c:v>1769.7083333333335</c:v>
                </c:pt>
                <c:pt idx="4">
                  <c:v>1766.5555555555557</c:v>
                </c:pt>
                <c:pt idx="5">
                  <c:v>1763.4027777777778</c:v>
                </c:pt>
                <c:pt idx="6">
                  <c:v>1760.25</c:v>
                </c:pt>
                <c:pt idx="7">
                  <c:v>1757.0972222222222</c:v>
                </c:pt>
                <c:pt idx="8">
                  <c:v>1753.9444444444446</c:v>
                </c:pt>
                <c:pt idx="9">
                  <c:v>1750.7916666666667</c:v>
                </c:pt>
                <c:pt idx="10">
                  <c:v>1747.6388888888889</c:v>
                </c:pt>
                <c:pt idx="11">
                  <c:v>1744.4861111111113</c:v>
                </c:pt>
                <c:pt idx="12">
                  <c:v>1741.3333333333335</c:v>
                </c:pt>
                <c:pt idx="13">
                  <c:v>1738.1805555555557</c:v>
                </c:pt>
                <c:pt idx="14">
                  <c:v>1735.0277777777778</c:v>
                </c:pt>
                <c:pt idx="15">
                  <c:v>1731.875</c:v>
                </c:pt>
                <c:pt idx="16">
                  <c:v>1728.7222222222222</c:v>
                </c:pt>
                <c:pt idx="17">
                  <c:v>1725.5694444444446</c:v>
                </c:pt>
                <c:pt idx="18">
                  <c:v>1722.4166666666667</c:v>
                </c:pt>
                <c:pt idx="19">
                  <c:v>1719.2638888888889</c:v>
                </c:pt>
                <c:pt idx="20">
                  <c:v>1716.1111111111113</c:v>
                </c:pt>
                <c:pt idx="21">
                  <c:v>1712.9583333333335</c:v>
                </c:pt>
                <c:pt idx="22">
                  <c:v>1709.8055555555557</c:v>
                </c:pt>
                <c:pt idx="23">
                  <c:v>1706.6527777777778</c:v>
                </c:pt>
                <c:pt idx="24">
                  <c:v>1703.5</c:v>
                </c:pt>
                <c:pt idx="25">
                  <c:v>1700.3472222222222</c:v>
                </c:pt>
                <c:pt idx="26">
                  <c:v>1697.1944444444446</c:v>
                </c:pt>
                <c:pt idx="27">
                  <c:v>1694.0416666666667</c:v>
                </c:pt>
                <c:pt idx="28">
                  <c:v>1690.8888888888891</c:v>
                </c:pt>
                <c:pt idx="29">
                  <c:v>1687.7361111111113</c:v>
                </c:pt>
                <c:pt idx="30">
                  <c:v>1684.5833333333335</c:v>
                </c:pt>
                <c:pt idx="31">
                  <c:v>1681.4305555555557</c:v>
                </c:pt>
                <c:pt idx="32">
                  <c:v>1678.2777777777778</c:v>
                </c:pt>
                <c:pt idx="33">
                  <c:v>1675.125</c:v>
                </c:pt>
                <c:pt idx="34">
                  <c:v>1671.9722222222224</c:v>
                </c:pt>
                <c:pt idx="35">
                  <c:v>1668.8194444444446</c:v>
                </c:pt>
                <c:pt idx="36">
                  <c:v>1665.6666666666667</c:v>
                </c:pt>
                <c:pt idx="37">
                  <c:v>1662.5138888888891</c:v>
                </c:pt>
                <c:pt idx="38">
                  <c:v>1659.3611111111113</c:v>
                </c:pt>
                <c:pt idx="39">
                  <c:v>1656.2083333333335</c:v>
                </c:pt>
                <c:pt idx="40">
                  <c:v>1653.0555555555557</c:v>
                </c:pt>
                <c:pt idx="41">
                  <c:v>1649.9027777777778</c:v>
                </c:pt>
                <c:pt idx="42">
                  <c:v>1646.75</c:v>
                </c:pt>
                <c:pt idx="43">
                  <c:v>1643.5972222222224</c:v>
                </c:pt>
                <c:pt idx="44">
                  <c:v>1640.4444444444446</c:v>
                </c:pt>
                <c:pt idx="45">
                  <c:v>1637.2916666666667</c:v>
                </c:pt>
                <c:pt idx="46">
                  <c:v>1634.1388888888891</c:v>
                </c:pt>
                <c:pt idx="47">
                  <c:v>1630.9861111111113</c:v>
                </c:pt>
                <c:pt idx="48">
                  <c:v>1627.8333333333335</c:v>
                </c:pt>
                <c:pt idx="49">
                  <c:v>1624.6805555555557</c:v>
                </c:pt>
                <c:pt idx="50">
                  <c:v>1621.5277777777778</c:v>
                </c:pt>
                <c:pt idx="51">
                  <c:v>1618.375</c:v>
                </c:pt>
                <c:pt idx="52">
                  <c:v>1615.2222222222222</c:v>
                </c:pt>
                <c:pt idx="53">
                  <c:v>1612.0694444444446</c:v>
                </c:pt>
                <c:pt idx="54">
                  <c:v>1608.9166666666667</c:v>
                </c:pt>
                <c:pt idx="55">
                  <c:v>1605.7638888888889</c:v>
                </c:pt>
                <c:pt idx="56">
                  <c:v>1602.6111111111113</c:v>
                </c:pt>
                <c:pt idx="57">
                  <c:v>1599.4583333333335</c:v>
                </c:pt>
                <c:pt idx="58">
                  <c:v>1596.3055555555557</c:v>
                </c:pt>
                <c:pt idx="59">
                  <c:v>1593.1527777777778</c:v>
                </c:pt>
                <c:pt idx="60">
                  <c:v>1590</c:v>
                </c:pt>
                <c:pt idx="61">
                  <c:v>1586.8472222222222</c:v>
                </c:pt>
                <c:pt idx="62">
                  <c:v>1583.6944444444443</c:v>
                </c:pt>
                <c:pt idx="63">
                  <c:v>1580.5416666666667</c:v>
                </c:pt>
                <c:pt idx="64">
                  <c:v>1577.3888888888889</c:v>
                </c:pt>
                <c:pt idx="65">
                  <c:v>1574.2361111111111</c:v>
                </c:pt>
                <c:pt idx="66">
                  <c:v>1571.0833333333333</c:v>
                </c:pt>
                <c:pt idx="67">
                  <c:v>1567.9305555555557</c:v>
                </c:pt>
                <c:pt idx="68">
                  <c:v>1564.7777777777778</c:v>
                </c:pt>
                <c:pt idx="69">
                  <c:v>1561.625</c:v>
                </c:pt>
                <c:pt idx="70">
                  <c:v>1558.4722222222222</c:v>
                </c:pt>
                <c:pt idx="71">
                  <c:v>1555.3194444444443</c:v>
                </c:pt>
                <c:pt idx="72">
                  <c:v>1552.1666666666665</c:v>
                </c:pt>
                <c:pt idx="73">
                  <c:v>1549.0138888888887</c:v>
                </c:pt>
                <c:pt idx="74">
                  <c:v>1545.8611111111109</c:v>
                </c:pt>
                <c:pt idx="75">
                  <c:v>1542.7083333333333</c:v>
                </c:pt>
                <c:pt idx="76">
                  <c:v>1539.5555555555554</c:v>
                </c:pt>
                <c:pt idx="77">
                  <c:v>1536.4027777777776</c:v>
                </c:pt>
                <c:pt idx="78">
                  <c:v>1533.25</c:v>
                </c:pt>
                <c:pt idx="79">
                  <c:v>1530.0972222222222</c:v>
                </c:pt>
                <c:pt idx="80">
                  <c:v>1526.9444444444443</c:v>
                </c:pt>
                <c:pt idx="81">
                  <c:v>1523.7916666666665</c:v>
                </c:pt>
                <c:pt idx="82">
                  <c:v>1520.6388888888889</c:v>
                </c:pt>
                <c:pt idx="83">
                  <c:v>1517.4861111111111</c:v>
                </c:pt>
                <c:pt idx="84">
                  <c:v>1514.3333333333333</c:v>
                </c:pt>
                <c:pt idx="85">
                  <c:v>1511.1805555555554</c:v>
                </c:pt>
                <c:pt idx="86">
                  <c:v>1508.0277777777778</c:v>
                </c:pt>
                <c:pt idx="87">
                  <c:v>1504.875</c:v>
                </c:pt>
                <c:pt idx="88">
                  <c:v>1501.7222222222222</c:v>
                </c:pt>
                <c:pt idx="89">
                  <c:v>1498.5694444444443</c:v>
                </c:pt>
                <c:pt idx="90">
                  <c:v>1495.4166666666667</c:v>
                </c:pt>
                <c:pt idx="91">
                  <c:v>1492.2638888888889</c:v>
                </c:pt>
                <c:pt idx="92">
                  <c:v>1489.1111111111111</c:v>
                </c:pt>
                <c:pt idx="93">
                  <c:v>1485.9583333333335</c:v>
                </c:pt>
                <c:pt idx="94">
                  <c:v>1482.8055555555557</c:v>
                </c:pt>
                <c:pt idx="95">
                  <c:v>1479.6527777777778</c:v>
                </c:pt>
                <c:pt idx="96">
                  <c:v>1476.5</c:v>
                </c:pt>
                <c:pt idx="97">
                  <c:v>1473.3472222222224</c:v>
                </c:pt>
                <c:pt idx="98">
                  <c:v>1470.1944444444448</c:v>
                </c:pt>
                <c:pt idx="99">
                  <c:v>1467.041666666667</c:v>
                </c:pt>
                <c:pt idx="100">
                  <c:v>1463.8888888888891</c:v>
                </c:pt>
                <c:pt idx="101">
                  <c:v>1460.7361111111113</c:v>
                </c:pt>
                <c:pt idx="102">
                  <c:v>1457.5833333333335</c:v>
                </c:pt>
                <c:pt idx="103">
                  <c:v>1454.4305555555559</c:v>
                </c:pt>
                <c:pt idx="104">
                  <c:v>1451.2777777777781</c:v>
                </c:pt>
                <c:pt idx="105">
                  <c:v>1448.1250000000002</c:v>
                </c:pt>
                <c:pt idx="106">
                  <c:v>1444.9722222222226</c:v>
                </c:pt>
                <c:pt idx="107">
                  <c:v>1441.8194444444448</c:v>
                </c:pt>
                <c:pt idx="108">
                  <c:v>1438.666666666667</c:v>
                </c:pt>
                <c:pt idx="109">
                  <c:v>1435.5138888888891</c:v>
                </c:pt>
                <c:pt idx="110">
                  <c:v>1432.3611111111115</c:v>
                </c:pt>
                <c:pt idx="111">
                  <c:v>1429.2083333333337</c:v>
                </c:pt>
                <c:pt idx="112">
                  <c:v>1426.0555555555559</c:v>
                </c:pt>
                <c:pt idx="113">
                  <c:v>1422.9027777777783</c:v>
                </c:pt>
                <c:pt idx="114">
                  <c:v>1419.7500000000005</c:v>
                </c:pt>
                <c:pt idx="115">
                  <c:v>1416.5972222222226</c:v>
                </c:pt>
                <c:pt idx="116">
                  <c:v>1413.4444444444448</c:v>
                </c:pt>
                <c:pt idx="117">
                  <c:v>1410.2916666666672</c:v>
                </c:pt>
                <c:pt idx="118">
                  <c:v>1407.1388888888896</c:v>
                </c:pt>
                <c:pt idx="119">
                  <c:v>1403.9861111111118</c:v>
                </c:pt>
                <c:pt idx="120">
                  <c:v>1400.8333333333339</c:v>
                </c:pt>
                <c:pt idx="121">
                  <c:v>1397.6805555555561</c:v>
                </c:pt>
                <c:pt idx="122">
                  <c:v>1394.5277777777785</c:v>
                </c:pt>
                <c:pt idx="123">
                  <c:v>1391.3750000000007</c:v>
                </c:pt>
                <c:pt idx="124">
                  <c:v>1388.2222222222229</c:v>
                </c:pt>
                <c:pt idx="125">
                  <c:v>1385.0694444444453</c:v>
                </c:pt>
                <c:pt idx="126">
                  <c:v>1381.9166666666674</c:v>
                </c:pt>
                <c:pt idx="127">
                  <c:v>1378.7638888888896</c:v>
                </c:pt>
                <c:pt idx="128">
                  <c:v>1375.6111111111118</c:v>
                </c:pt>
                <c:pt idx="129">
                  <c:v>1372.4583333333339</c:v>
                </c:pt>
                <c:pt idx="130">
                  <c:v>1369.3055555555563</c:v>
                </c:pt>
                <c:pt idx="131">
                  <c:v>1366.1527777777785</c:v>
                </c:pt>
                <c:pt idx="132">
                  <c:v>1363.0000000000007</c:v>
                </c:pt>
                <c:pt idx="133">
                  <c:v>1359.8472222222231</c:v>
                </c:pt>
                <c:pt idx="134">
                  <c:v>1356.6944444444453</c:v>
                </c:pt>
                <c:pt idx="135">
                  <c:v>1353.5416666666674</c:v>
                </c:pt>
                <c:pt idx="136">
                  <c:v>1350.3888888888896</c:v>
                </c:pt>
                <c:pt idx="137">
                  <c:v>1347.236111111112</c:v>
                </c:pt>
                <c:pt idx="138">
                  <c:v>1344.0833333333344</c:v>
                </c:pt>
                <c:pt idx="139">
                  <c:v>1340.9305555555566</c:v>
                </c:pt>
                <c:pt idx="140">
                  <c:v>1337.7777777777787</c:v>
                </c:pt>
                <c:pt idx="141">
                  <c:v>1334.6250000000009</c:v>
                </c:pt>
                <c:pt idx="142">
                  <c:v>1331.4722222222233</c:v>
                </c:pt>
                <c:pt idx="143">
                  <c:v>1328.3194444444455</c:v>
                </c:pt>
                <c:pt idx="144">
                  <c:v>1325.1666666666677</c:v>
                </c:pt>
                <c:pt idx="145">
                  <c:v>1322.0138888888901</c:v>
                </c:pt>
                <c:pt idx="146">
                  <c:v>1318.8611111111122</c:v>
                </c:pt>
                <c:pt idx="147">
                  <c:v>1315.7083333333344</c:v>
                </c:pt>
                <c:pt idx="148">
                  <c:v>1312.5555555555566</c:v>
                </c:pt>
                <c:pt idx="149">
                  <c:v>1309.4027777777787</c:v>
                </c:pt>
                <c:pt idx="150">
                  <c:v>1306.2500000000011</c:v>
                </c:pt>
                <c:pt idx="151">
                  <c:v>1303.0972222222233</c:v>
                </c:pt>
                <c:pt idx="152">
                  <c:v>1299.9444444444457</c:v>
                </c:pt>
                <c:pt idx="153">
                  <c:v>1296.7916666666679</c:v>
                </c:pt>
                <c:pt idx="154">
                  <c:v>1293.6388888888901</c:v>
                </c:pt>
                <c:pt idx="155">
                  <c:v>1290.4861111111122</c:v>
                </c:pt>
                <c:pt idx="156">
                  <c:v>1287.3333333333346</c:v>
                </c:pt>
                <c:pt idx="157">
                  <c:v>1284.1805555555568</c:v>
                </c:pt>
                <c:pt idx="158">
                  <c:v>1281.027777777779</c:v>
                </c:pt>
                <c:pt idx="159">
                  <c:v>1277.8750000000011</c:v>
                </c:pt>
                <c:pt idx="160">
                  <c:v>1274.7222222222233</c:v>
                </c:pt>
                <c:pt idx="161">
                  <c:v>1271.5694444444455</c:v>
                </c:pt>
                <c:pt idx="162">
                  <c:v>1268.4166666666677</c:v>
                </c:pt>
                <c:pt idx="163">
                  <c:v>1265.2638888888901</c:v>
                </c:pt>
                <c:pt idx="164">
                  <c:v>1262.1111111111122</c:v>
                </c:pt>
                <c:pt idx="165">
                  <c:v>1258.9583333333344</c:v>
                </c:pt>
                <c:pt idx="166">
                  <c:v>1255.8055555555566</c:v>
                </c:pt>
                <c:pt idx="167">
                  <c:v>1252.6527777777787</c:v>
                </c:pt>
                <c:pt idx="168">
                  <c:v>1249.5000000000009</c:v>
                </c:pt>
                <c:pt idx="169">
                  <c:v>1246.3472222222231</c:v>
                </c:pt>
                <c:pt idx="170">
                  <c:v>1243.1944444444453</c:v>
                </c:pt>
                <c:pt idx="171">
                  <c:v>1240.0416666666674</c:v>
                </c:pt>
                <c:pt idx="172">
                  <c:v>1236.8888888888896</c:v>
                </c:pt>
                <c:pt idx="173">
                  <c:v>1233.7361111111118</c:v>
                </c:pt>
                <c:pt idx="174">
                  <c:v>1230.5833333333339</c:v>
                </c:pt>
                <c:pt idx="175">
                  <c:v>1227.4305555555561</c:v>
                </c:pt>
                <c:pt idx="176">
                  <c:v>1224.2777777777783</c:v>
                </c:pt>
                <c:pt idx="177">
                  <c:v>1221.1250000000005</c:v>
                </c:pt>
                <c:pt idx="178">
                  <c:v>1217.9722222222226</c:v>
                </c:pt>
                <c:pt idx="179">
                  <c:v>1214.8194444444448</c:v>
                </c:pt>
                <c:pt idx="180">
                  <c:v>1211.666666666667</c:v>
                </c:pt>
                <c:pt idx="181">
                  <c:v>1208.5138888888891</c:v>
                </c:pt>
                <c:pt idx="182">
                  <c:v>1205.3611111111113</c:v>
                </c:pt>
                <c:pt idx="183">
                  <c:v>1202.2083333333335</c:v>
                </c:pt>
                <c:pt idx="184">
                  <c:v>1199.0555555555557</c:v>
                </c:pt>
                <c:pt idx="185">
                  <c:v>1195.9027777777781</c:v>
                </c:pt>
                <c:pt idx="186">
                  <c:v>1192.7500000000002</c:v>
                </c:pt>
                <c:pt idx="187">
                  <c:v>1189.5972222222224</c:v>
                </c:pt>
                <c:pt idx="188">
                  <c:v>1186.4444444444446</c:v>
                </c:pt>
                <c:pt idx="189">
                  <c:v>1183.2916666666667</c:v>
                </c:pt>
                <c:pt idx="190">
                  <c:v>1180.1388888888889</c:v>
                </c:pt>
                <c:pt idx="191">
                  <c:v>1176.9861111111111</c:v>
                </c:pt>
                <c:pt idx="192">
                  <c:v>1173.8333333333333</c:v>
                </c:pt>
                <c:pt idx="193">
                  <c:v>1170.6805555555554</c:v>
                </c:pt>
                <c:pt idx="194">
                  <c:v>1167.5277777777776</c:v>
                </c:pt>
                <c:pt idx="195">
                  <c:v>1164.3749999999998</c:v>
                </c:pt>
                <c:pt idx="196">
                  <c:v>1161.2222222222219</c:v>
                </c:pt>
                <c:pt idx="197">
                  <c:v>1158.0694444444441</c:v>
                </c:pt>
                <c:pt idx="198">
                  <c:v>1154.9166666666665</c:v>
                </c:pt>
                <c:pt idx="199">
                  <c:v>1151.7638888888887</c:v>
                </c:pt>
                <c:pt idx="200">
                  <c:v>1148.6111111111109</c:v>
                </c:pt>
                <c:pt idx="201">
                  <c:v>1145.458333333333</c:v>
                </c:pt>
                <c:pt idx="202">
                  <c:v>1142.3055555555552</c:v>
                </c:pt>
                <c:pt idx="203">
                  <c:v>1139.1527777777774</c:v>
                </c:pt>
                <c:pt idx="204">
                  <c:v>1135.9999999999995</c:v>
                </c:pt>
                <c:pt idx="205">
                  <c:v>1132.8472222222217</c:v>
                </c:pt>
                <c:pt idx="206">
                  <c:v>1129.6944444444439</c:v>
                </c:pt>
                <c:pt idx="207">
                  <c:v>1126.5416666666661</c:v>
                </c:pt>
                <c:pt idx="208">
                  <c:v>1123.3888888888882</c:v>
                </c:pt>
                <c:pt idx="209">
                  <c:v>1120.2361111111104</c:v>
                </c:pt>
                <c:pt idx="210">
                  <c:v>1117.0833333333326</c:v>
                </c:pt>
                <c:pt idx="211">
                  <c:v>1113.9305555555547</c:v>
                </c:pt>
                <c:pt idx="212">
                  <c:v>1110.7777777777769</c:v>
                </c:pt>
                <c:pt idx="213">
                  <c:v>1107.6249999999991</c:v>
                </c:pt>
                <c:pt idx="214">
                  <c:v>1104.4722222222213</c:v>
                </c:pt>
                <c:pt idx="215">
                  <c:v>1101.3194444444434</c:v>
                </c:pt>
                <c:pt idx="216">
                  <c:v>1098.1666666666656</c:v>
                </c:pt>
                <c:pt idx="217">
                  <c:v>1095.013888888888</c:v>
                </c:pt>
                <c:pt idx="218">
                  <c:v>1091.8611111111102</c:v>
                </c:pt>
                <c:pt idx="219">
                  <c:v>1088.7083333333323</c:v>
                </c:pt>
                <c:pt idx="220">
                  <c:v>1085.5555555555545</c:v>
                </c:pt>
                <c:pt idx="221">
                  <c:v>1082.4027777777767</c:v>
                </c:pt>
                <c:pt idx="222">
                  <c:v>1079.2499999999989</c:v>
                </c:pt>
                <c:pt idx="223">
                  <c:v>1076.097222222221</c:v>
                </c:pt>
                <c:pt idx="224">
                  <c:v>1072.9444444444432</c:v>
                </c:pt>
                <c:pt idx="225">
                  <c:v>1069.7916666666654</c:v>
                </c:pt>
                <c:pt idx="226">
                  <c:v>1066.6388888888875</c:v>
                </c:pt>
                <c:pt idx="227">
                  <c:v>1063.4861111111097</c:v>
                </c:pt>
                <c:pt idx="228">
                  <c:v>1060.3333333333319</c:v>
                </c:pt>
                <c:pt idx="229">
                  <c:v>1057.1805555555541</c:v>
                </c:pt>
                <c:pt idx="230">
                  <c:v>1054.0277777777762</c:v>
                </c:pt>
                <c:pt idx="231">
                  <c:v>1050.8749999999986</c:v>
                </c:pt>
                <c:pt idx="232">
                  <c:v>1047.7222222222208</c:v>
                </c:pt>
                <c:pt idx="233">
                  <c:v>1044.569444444443</c:v>
                </c:pt>
                <c:pt idx="234">
                  <c:v>1041.4166666666652</c:v>
                </c:pt>
                <c:pt idx="235">
                  <c:v>1038.2638888888873</c:v>
                </c:pt>
                <c:pt idx="236">
                  <c:v>1035.1111111111095</c:v>
                </c:pt>
                <c:pt idx="237">
                  <c:v>1031.9583333333317</c:v>
                </c:pt>
                <c:pt idx="238">
                  <c:v>1028.8055555555538</c:v>
                </c:pt>
                <c:pt idx="239">
                  <c:v>1025.652777777776</c:v>
                </c:pt>
                <c:pt idx="240">
                  <c:v>1022.4999999999982</c:v>
                </c:pt>
                <c:pt idx="241">
                  <c:v>1019.3472222222204</c:v>
                </c:pt>
                <c:pt idx="242">
                  <c:v>1016.1944444444425</c:v>
                </c:pt>
                <c:pt idx="243">
                  <c:v>1013.0416666666647</c:v>
                </c:pt>
                <c:pt idx="244">
                  <c:v>1009.8888888888869</c:v>
                </c:pt>
                <c:pt idx="245">
                  <c:v>1006.7361111111092</c:v>
                </c:pt>
                <c:pt idx="246">
                  <c:v>1003.5833333333313</c:v>
                </c:pt>
                <c:pt idx="247">
                  <c:v>1000.4305555555535</c:v>
                </c:pt>
                <c:pt idx="248">
                  <c:v>997.27777777777567</c:v>
                </c:pt>
                <c:pt idx="249">
                  <c:v>994.12499999999784</c:v>
                </c:pt>
                <c:pt idx="250">
                  <c:v>990.97222222222001</c:v>
                </c:pt>
                <c:pt idx="251">
                  <c:v>987.81944444444218</c:v>
                </c:pt>
                <c:pt idx="252">
                  <c:v>984.66666666666436</c:v>
                </c:pt>
                <c:pt idx="253">
                  <c:v>981.51388888888664</c:v>
                </c:pt>
                <c:pt idx="254">
                  <c:v>978.36111111110881</c:v>
                </c:pt>
                <c:pt idx="255">
                  <c:v>975.20833333333098</c:v>
                </c:pt>
                <c:pt idx="256">
                  <c:v>972.05555555555316</c:v>
                </c:pt>
                <c:pt idx="257">
                  <c:v>968.90277777777533</c:v>
                </c:pt>
                <c:pt idx="258">
                  <c:v>965.7499999999975</c:v>
                </c:pt>
                <c:pt idx="259">
                  <c:v>962.59722222221967</c:v>
                </c:pt>
                <c:pt idx="260">
                  <c:v>959.44444444444184</c:v>
                </c:pt>
                <c:pt idx="261">
                  <c:v>956.29166666666401</c:v>
                </c:pt>
                <c:pt idx="262">
                  <c:v>953.1388888888863</c:v>
                </c:pt>
                <c:pt idx="263">
                  <c:v>949.98611111110847</c:v>
                </c:pt>
                <c:pt idx="264">
                  <c:v>946.83333333333064</c:v>
                </c:pt>
                <c:pt idx="265">
                  <c:v>943.68055555555281</c:v>
                </c:pt>
                <c:pt idx="266">
                  <c:v>940.52777777777499</c:v>
                </c:pt>
                <c:pt idx="267">
                  <c:v>937.37499999999716</c:v>
                </c:pt>
                <c:pt idx="268">
                  <c:v>934.22222222221933</c:v>
                </c:pt>
                <c:pt idx="269">
                  <c:v>931.06944444444161</c:v>
                </c:pt>
                <c:pt idx="270">
                  <c:v>927.91666666666379</c:v>
                </c:pt>
                <c:pt idx="271">
                  <c:v>924.76388888888596</c:v>
                </c:pt>
                <c:pt idx="272">
                  <c:v>921.61111111110813</c:v>
                </c:pt>
                <c:pt idx="273">
                  <c:v>918.4583333333303</c:v>
                </c:pt>
                <c:pt idx="274">
                  <c:v>915.30555555555247</c:v>
                </c:pt>
                <c:pt idx="275">
                  <c:v>912.15277777777465</c:v>
                </c:pt>
                <c:pt idx="276">
                  <c:v>908.99999999999682</c:v>
                </c:pt>
                <c:pt idx="277">
                  <c:v>905.84722222221899</c:v>
                </c:pt>
                <c:pt idx="278">
                  <c:v>902.69444444444116</c:v>
                </c:pt>
                <c:pt idx="279">
                  <c:v>899.54166666666345</c:v>
                </c:pt>
                <c:pt idx="280">
                  <c:v>896.38888888888562</c:v>
                </c:pt>
                <c:pt idx="281">
                  <c:v>893.23611111110779</c:v>
                </c:pt>
                <c:pt idx="282">
                  <c:v>890.08333333332996</c:v>
                </c:pt>
                <c:pt idx="283">
                  <c:v>886.93055555555213</c:v>
                </c:pt>
                <c:pt idx="284">
                  <c:v>883.7777777777743</c:v>
                </c:pt>
                <c:pt idx="285">
                  <c:v>880.62499999999648</c:v>
                </c:pt>
                <c:pt idx="286">
                  <c:v>877.47222222221876</c:v>
                </c:pt>
                <c:pt idx="287">
                  <c:v>874.31944444444093</c:v>
                </c:pt>
                <c:pt idx="288">
                  <c:v>871.1666666666631</c:v>
                </c:pt>
                <c:pt idx="289">
                  <c:v>868.01388888888528</c:v>
                </c:pt>
                <c:pt idx="290">
                  <c:v>864.86111111110745</c:v>
                </c:pt>
                <c:pt idx="291">
                  <c:v>861.70833333332962</c:v>
                </c:pt>
                <c:pt idx="292">
                  <c:v>858.55555555555179</c:v>
                </c:pt>
                <c:pt idx="293">
                  <c:v>855.40277777777396</c:v>
                </c:pt>
                <c:pt idx="294">
                  <c:v>852.24999999999613</c:v>
                </c:pt>
                <c:pt idx="295">
                  <c:v>849.09722222221842</c:v>
                </c:pt>
                <c:pt idx="296">
                  <c:v>845.94444444444059</c:v>
                </c:pt>
                <c:pt idx="297">
                  <c:v>842.79166666666276</c:v>
                </c:pt>
                <c:pt idx="298">
                  <c:v>839.63888888888494</c:v>
                </c:pt>
                <c:pt idx="299">
                  <c:v>836.48611111110711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Inputs!$I$8</c:f>
              <c:strCache>
                <c:ptCount val="1"/>
                <c:pt idx="0">
                  <c:v>Equal </c:v>
                </c:pt>
              </c:strCache>
            </c:strRef>
          </c:tx>
          <c:val>
            <c:numRef>
              <c:f>Annuite!$D$6:$D$365</c:f>
              <c:numCache>
                <c:formatCode>#,##0.00\ _z_ł</c:formatCode>
                <c:ptCount val="360"/>
                <c:pt idx="0">
                  <c:v>1395.2633163131788</c:v>
                </c:pt>
                <c:pt idx="1">
                  <c:v>1395.2633163131788</c:v>
                </c:pt>
                <c:pt idx="2">
                  <c:v>1395.2633163131788</c:v>
                </c:pt>
                <c:pt idx="3">
                  <c:v>1395.2633163131788</c:v>
                </c:pt>
                <c:pt idx="4">
                  <c:v>1395.2633163131788</c:v>
                </c:pt>
                <c:pt idx="5">
                  <c:v>1395.2633163131788</c:v>
                </c:pt>
                <c:pt idx="6">
                  <c:v>1395.2633163131788</c:v>
                </c:pt>
                <c:pt idx="7">
                  <c:v>1395.2633163131788</c:v>
                </c:pt>
                <c:pt idx="8">
                  <c:v>1395.2633163131788</c:v>
                </c:pt>
                <c:pt idx="9">
                  <c:v>1395.2633163131788</c:v>
                </c:pt>
                <c:pt idx="10">
                  <c:v>1395.2633163131788</c:v>
                </c:pt>
                <c:pt idx="11">
                  <c:v>1395.2633163131788</c:v>
                </c:pt>
                <c:pt idx="12">
                  <c:v>1395.2633163131788</c:v>
                </c:pt>
                <c:pt idx="13">
                  <c:v>1395.2633163131788</c:v>
                </c:pt>
                <c:pt idx="14">
                  <c:v>1395.2633163131788</c:v>
                </c:pt>
                <c:pt idx="15">
                  <c:v>1395.2633163131788</c:v>
                </c:pt>
                <c:pt idx="16">
                  <c:v>1395.2633163131788</c:v>
                </c:pt>
                <c:pt idx="17">
                  <c:v>1395.2633163131788</c:v>
                </c:pt>
                <c:pt idx="18">
                  <c:v>1395.2633163131788</c:v>
                </c:pt>
                <c:pt idx="19">
                  <c:v>1395.2633163131788</c:v>
                </c:pt>
                <c:pt idx="20">
                  <c:v>1395.2633163131788</c:v>
                </c:pt>
                <c:pt idx="21">
                  <c:v>1395.2633163131788</c:v>
                </c:pt>
                <c:pt idx="22">
                  <c:v>1395.2633163131788</c:v>
                </c:pt>
                <c:pt idx="23">
                  <c:v>1395.2633163131788</c:v>
                </c:pt>
                <c:pt idx="24">
                  <c:v>1395.2633163131788</c:v>
                </c:pt>
                <c:pt idx="25">
                  <c:v>1395.2633163131788</c:v>
                </c:pt>
                <c:pt idx="26">
                  <c:v>1395.2633163131788</c:v>
                </c:pt>
                <c:pt idx="27">
                  <c:v>1395.2633163131788</c:v>
                </c:pt>
                <c:pt idx="28">
                  <c:v>1395.2633163131788</c:v>
                </c:pt>
                <c:pt idx="29">
                  <c:v>1395.2633163131788</c:v>
                </c:pt>
                <c:pt idx="30">
                  <c:v>1395.2633163131788</c:v>
                </c:pt>
                <c:pt idx="31">
                  <c:v>1395.2633163131788</c:v>
                </c:pt>
                <c:pt idx="32">
                  <c:v>1395.2633163131788</c:v>
                </c:pt>
                <c:pt idx="33">
                  <c:v>1395.2633163131788</c:v>
                </c:pt>
                <c:pt idx="34">
                  <c:v>1395.2633163131788</c:v>
                </c:pt>
                <c:pt idx="35">
                  <c:v>1395.2633163131788</c:v>
                </c:pt>
                <c:pt idx="36">
                  <c:v>1395.2633163131788</c:v>
                </c:pt>
                <c:pt idx="37">
                  <c:v>1395.2633163131788</c:v>
                </c:pt>
                <c:pt idx="38">
                  <c:v>1395.2633163131788</c:v>
                </c:pt>
                <c:pt idx="39">
                  <c:v>1395.2633163131788</c:v>
                </c:pt>
                <c:pt idx="40">
                  <c:v>1395.2633163131788</c:v>
                </c:pt>
                <c:pt idx="41">
                  <c:v>1395.2633163131788</c:v>
                </c:pt>
                <c:pt idx="42">
                  <c:v>1395.2633163131788</c:v>
                </c:pt>
                <c:pt idx="43">
                  <c:v>1395.2633163131788</c:v>
                </c:pt>
                <c:pt idx="44">
                  <c:v>1395.2633163131788</c:v>
                </c:pt>
                <c:pt idx="45">
                  <c:v>1395.2633163131788</c:v>
                </c:pt>
                <c:pt idx="46">
                  <c:v>1395.2633163131788</c:v>
                </c:pt>
                <c:pt idx="47">
                  <c:v>1395.2633163131788</c:v>
                </c:pt>
                <c:pt idx="48">
                  <c:v>1395.2633163131788</c:v>
                </c:pt>
                <c:pt idx="49">
                  <c:v>1395.2633163131788</c:v>
                </c:pt>
                <c:pt idx="50">
                  <c:v>1395.2633163131788</c:v>
                </c:pt>
                <c:pt idx="51">
                  <c:v>1395.2633163131788</c:v>
                </c:pt>
                <c:pt idx="52">
                  <c:v>1395.2633163131788</c:v>
                </c:pt>
                <c:pt idx="53">
                  <c:v>1395.2633163131788</c:v>
                </c:pt>
                <c:pt idx="54">
                  <c:v>1395.2633163131788</c:v>
                </c:pt>
                <c:pt idx="55">
                  <c:v>1395.2633163131788</c:v>
                </c:pt>
                <c:pt idx="56">
                  <c:v>1395.2633163131788</c:v>
                </c:pt>
                <c:pt idx="57">
                  <c:v>1395.2633163131788</c:v>
                </c:pt>
                <c:pt idx="58">
                  <c:v>1395.2633163131788</c:v>
                </c:pt>
                <c:pt idx="59">
                  <c:v>1395.2633163131788</c:v>
                </c:pt>
                <c:pt idx="60">
                  <c:v>1395.2633163131788</c:v>
                </c:pt>
                <c:pt idx="61">
                  <c:v>1395.2633163131788</c:v>
                </c:pt>
                <c:pt idx="62">
                  <c:v>1395.2633163131788</c:v>
                </c:pt>
                <c:pt idx="63">
                  <c:v>1395.2633163131788</c:v>
                </c:pt>
                <c:pt idx="64">
                  <c:v>1395.2633163131788</c:v>
                </c:pt>
                <c:pt idx="65">
                  <c:v>1395.2633163131788</c:v>
                </c:pt>
                <c:pt idx="66">
                  <c:v>1395.2633163131788</c:v>
                </c:pt>
                <c:pt idx="67">
                  <c:v>1395.2633163131788</c:v>
                </c:pt>
                <c:pt idx="68">
                  <c:v>1395.2633163131788</c:v>
                </c:pt>
                <c:pt idx="69">
                  <c:v>1395.2633163131788</c:v>
                </c:pt>
                <c:pt idx="70">
                  <c:v>1395.2633163131788</c:v>
                </c:pt>
                <c:pt idx="71">
                  <c:v>1395.2633163131788</c:v>
                </c:pt>
                <c:pt idx="72">
                  <c:v>1395.2633163131788</c:v>
                </c:pt>
                <c:pt idx="73">
                  <c:v>1395.2633163131788</c:v>
                </c:pt>
                <c:pt idx="74">
                  <c:v>1395.2633163131788</c:v>
                </c:pt>
                <c:pt idx="75">
                  <c:v>1395.2633163131788</c:v>
                </c:pt>
                <c:pt idx="76">
                  <c:v>1395.2633163131788</c:v>
                </c:pt>
                <c:pt idx="77">
                  <c:v>1395.2633163131788</c:v>
                </c:pt>
                <c:pt idx="78">
                  <c:v>1395.2633163131788</c:v>
                </c:pt>
                <c:pt idx="79">
                  <c:v>1395.2633163131788</c:v>
                </c:pt>
                <c:pt idx="80">
                  <c:v>1395.2633163131788</c:v>
                </c:pt>
                <c:pt idx="81">
                  <c:v>1395.2633163131788</c:v>
                </c:pt>
                <c:pt idx="82">
                  <c:v>1395.2633163131788</c:v>
                </c:pt>
                <c:pt idx="83">
                  <c:v>1395.2633163131788</c:v>
                </c:pt>
                <c:pt idx="84">
                  <c:v>1395.2633163131788</c:v>
                </c:pt>
                <c:pt idx="85">
                  <c:v>1395.2633163131788</c:v>
                </c:pt>
                <c:pt idx="86">
                  <c:v>1395.2633163131788</c:v>
                </c:pt>
                <c:pt idx="87">
                  <c:v>1395.2633163131788</c:v>
                </c:pt>
                <c:pt idx="88">
                  <c:v>1395.2633163131788</c:v>
                </c:pt>
                <c:pt idx="89">
                  <c:v>1395.2633163131788</c:v>
                </c:pt>
                <c:pt idx="90">
                  <c:v>1395.2633163131788</c:v>
                </c:pt>
                <c:pt idx="91">
                  <c:v>1395.2633163131788</c:v>
                </c:pt>
                <c:pt idx="92">
                  <c:v>1395.2633163131788</c:v>
                </c:pt>
                <c:pt idx="93">
                  <c:v>1395.2633163131788</c:v>
                </c:pt>
                <c:pt idx="94">
                  <c:v>1395.2633163131788</c:v>
                </c:pt>
                <c:pt idx="95">
                  <c:v>1395.2633163131788</c:v>
                </c:pt>
                <c:pt idx="96">
                  <c:v>1395.2633163131788</c:v>
                </c:pt>
                <c:pt idx="97">
                  <c:v>1395.2633163131788</c:v>
                </c:pt>
                <c:pt idx="98">
                  <c:v>1395.2633163131788</c:v>
                </c:pt>
                <c:pt idx="99">
                  <c:v>1395.2633163131788</c:v>
                </c:pt>
                <c:pt idx="100">
                  <c:v>1395.2633163131788</c:v>
                </c:pt>
                <c:pt idx="101">
                  <c:v>1395.2633163131788</c:v>
                </c:pt>
                <c:pt idx="102">
                  <c:v>1395.2633163131788</c:v>
                </c:pt>
                <c:pt idx="103">
                  <c:v>1395.2633163131788</c:v>
                </c:pt>
                <c:pt idx="104">
                  <c:v>1395.2633163131788</c:v>
                </c:pt>
                <c:pt idx="105">
                  <c:v>1395.2633163131788</c:v>
                </c:pt>
                <c:pt idx="106">
                  <c:v>1395.2633163131788</c:v>
                </c:pt>
                <c:pt idx="107">
                  <c:v>1395.2633163131788</c:v>
                </c:pt>
                <c:pt idx="108">
                  <c:v>1395.2633163131788</c:v>
                </c:pt>
                <c:pt idx="109">
                  <c:v>1395.2633163131788</c:v>
                </c:pt>
                <c:pt idx="110">
                  <c:v>1395.2633163131788</c:v>
                </c:pt>
                <c:pt idx="111">
                  <c:v>1395.2633163131788</c:v>
                </c:pt>
                <c:pt idx="112">
                  <c:v>1395.2633163131788</c:v>
                </c:pt>
                <c:pt idx="113">
                  <c:v>1395.2633163131788</c:v>
                </c:pt>
                <c:pt idx="114">
                  <c:v>1395.2633163131788</c:v>
                </c:pt>
                <c:pt idx="115">
                  <c:v>1395.2633163131788</c:v>
                </c:pt>
                <c:pt idx="116">
                  <c:v>1395.2633163131788</c:v>
                </c:pt>
                <c:pt idx="117">
                  <c:v>1395.2633163131788</c:v>
                </c:pt>
                <c:pt idx="118">
                  <c:v>1395.2633163131788</c:v>
                </c:pt>
                <c:pt idx="119">
                  <c:v>1395.2633163131788</c:v>
                </c:pt>
                <c:pt idx="120">
                  <c:v>1395.2633163131788</c:v>
                </c:pt>
                <c:pt idx="121">
                  <c:v>1395.2633163131788</c:v>
                </c:pt>
                <c:pt idx="122">
                  <c:v>1395.2633163131788</c:v>
                </c:pt>
                <c:pt idx="123">
                  <c:v>1395.2633163131788</c:v>
                </c:pt>
                <c:pt idx="124">
                  <c:v>1395.2633163131788</c:v>
                </c:pt>
                <c:pt idx="125">
                  <c:v>1395.2633163131788</c:v>
                </c:pt>
                <c:pt idx="126">
                  <c:v>1395.2633163131788</c:v>
                </c:pt>
                <c:pt idx="127">
                  <c:v>1395.2633163131788</c:v>
                </c:pt>
                <c:pt idx="128">
                  <c:v>1395.2633163131788</c:v>
                </c:pt>
                <c:pt idx="129">
                  <c:v>1395.2633163131788</c:v>
                </c:pt>
                <c:pt idx="130">
                  <c:v>1395.2633163131788</c:v>
                </c:pt>
                <c:pt idx="131">
                  <c:v>1395.2633163131788</c:v>
                </c:pt>
                <c:pt idx="132">
                  <c:v>1395.2633163131788</c:v>
                </c:pt>
                <c:pt idx="133">
                  <c:v>1395.2633163131788</c:v>
                </c:pt>
                <c:pt idx="134">
                  <c:v>1395.2633163131788</c:v>
                </c:pt>
                <c:pt idx="135">
                  <c:v>1395.2633163131788</c:v>
                </c:pt>
                <c:pt idx="136">
                  <c:v>1395.2633163131788</c:v>
                </c:pt>
                <c:pt idx="137">
                  <c:v>1395.2633163131788</c:v>
                </c:pt>
                <c:pt idx="138">
                  <c:v>1395.2633163131788</c:v>
                </c:pt>
                <c:pt idx="139">
                  <c:v>1395.2633163131788</c:v>
                </c:pt>
                <c:pt idx="140">
                  <c:v>1395.2633163131788</c:v>
                </c:pt>
                <c:pt idx="141">
                  <c:v>1395.2633163131788</c:v>
                </c:pt>
                <c:pt idx="142">
                  <c:v>1395.2633163131788</c:v>
                </c:pt>
                <c:pt idx="143">
                  <c:v>1395.2633163131788</c:v>
                </c:pt>
                <c:pt idx="144">
                  <c:v>1395.2633163131788</c:v>
                </c:pt>
                <c:pt idx="145">
                  <c:v>1395.2633163131788</c:v>
                </c:pt>
                <c:pt idx="146">
                  <c:v>1395.2633163131788</c:v>
                </c:pt>
                <c:pt idx="147">
                  <c:v>1395.2633163131788</c:v>
                </c:pt>
                <c:pt idx="148">
                  <c:v>1395.2633163131788</c:v>
                </c:pt>
                <c:pt idx="149">
                  <c:v>1395.2633163131788</c:v>
                </c:pt>
                <c:pt idx="150">
                  <c:v>1395.2633163131788</c:v>
                </c:pt>
                <c:pt idx="151">
                  <c:v>1395.2633163131788</c:v>
                </c:pt>
                <c:pt idx="152">
                  <c:v>1395.2633163131788</c:v>
                </c:pt>
                <c:pt idx="153">
                  <c:v>1395.2633163131788</c:v>
                </c:pt>
                <c:pt idx="154">
                  <c:v>1395.2633163131788</c:v>
                </c:pt>
                <c:pt idx="155">
                  <c:v>1395.2633163131788</c:v>
                </c:pt>
                <c:pt idx="156">
                  <c:v>1395.2633163131788</c:v>
                </c:pt>
                <c:pt idx="157">
                  <c:v>1395.2633163131788</c:v>
                </c:pt>
                <c:pt idx="158">
                  <c:v>1395.2633163131788</c:v>
                </c:pt>
                <c:pt idx="159">
                  <c:v>1395.2633163131788</c:v>
                </c:pt>
                <c:pt idx="160">
                  <c:v>1395.2633163131788</c:v>
                </c:pt>
                <c:pt idx="161">
                  <c:v>1395.2633163131788</c:v>
                </c:pt>
                <c:pt idx="162">
                  <c:v>1395.2633163131788</c:v>
                </c:pt>
                <c:pt idx="163">
                  <c:v>1395.2633163131788</c:v>
                </c:pt>
                <c:pt idx="164">
                  <c:v>1395.2633163131788</c:v>
                </c:pt>
                <c:pt idx="165">
                  <c:v>1395.2633163131788</c:v>
                </c:pt>
                <c:pt idx="166">
                  <c:v>1395.2633163131788</c:v>
                </c:pt>
                <c:pt idx="167">
                  <c:v>1395.2633163131788</c:v>
                </c:pt>
                <c:pt idx="168">
                  <c:v>1395.2633163131788</c:v>
                </c:pt>
                <c:pt idx="169">
                  <c:v>1395.2633163131788</c:v>
                </c:pt>
                <c:pt idx="170">
                  <c:v>1395.2633163131788</c:v>
                </c:pt>
                <c:pt idx="171">
                  <c:v>1395.2633163131788</c:v>
                </c:pt>
                <c:pt idx="172">
                  <c:v>1395.2633163131788</c:v>
                </c:pt>
                <c:pt idx="173">
                  <c:v>1395.2633163131788</c:v>
                </c:pt>
                <c:pt idx="174">
                  <c:v>1395.2633163131788</c:v>
                </c:pt>
                <c:pt idx="175">
                  <c:v>1395.2633163131788</c:v>
                </c:pt>
                <c:pt idx="176">
                  <c:v>1395.2633163131788</c:v>
                </c:pt>
                <c:pt idx="177">
                  <c:v>1395.2633163131788</c:v>
                </c:pt>
                <c:pt idx="178">
                  <c:v>1395.2633163131788</c:v>
                </c:pt>
                <c:pt idx="179">
                  <c:v>1395.2633163131788</c:v>
                </c:pt>
                <c:pt idx="180">
                  <c:v>1395.2633163131788</c:v>
                </c:pt>
                <c:pt idx="181">
                  <c:v>1395.2633163131788</c:v>
                </c:pt>
                <c:pt idx="182">
                  <c:v>1395.2633163131788</c:v>
                </c:pt>
                <c:pt idx="183">
                  <c:v>1395.2633163131788</c:v>
                </c:pt>
                <c:pt idx="184">
                  <c:v>1395.2633163131788</c:v>
                </c:pt>
                <c:pt idx="185">
                  <c:v>1395.2633163131788</c:v>
                </c:pt>
                <c:pt idx="186">
                  <c:v>1395.2633163131788</c:v>
                </c:pt>
                <c:pt idx="187">
                  <c:v>1395.2633163131788</c:v>
                </c:pt>
                <c:pt idx="188">
                  <c:v>1395.2633163131788</c:v>
                </c:pt>
                <c:pt idx="189">
                  <c:v>1395.2633163131788</c:v>
                </c:pt>
                <c:pt idx="190">
                  <c:v>1395.2633163131788</c:v>
                </c:pt>
                <c:pt idx="191">
                  <c:v>1395.2633163131788</c:v>
                </c:pt>
                <c:pt idx="192">
                  <c:v>1395.2633163131788</c:v>
                </c:pt>
                <c:pt idx="193">
                  <c:v>1395.2633163131788</c:v>
                </c:pt>
                <c:pt idx="194">
                  <c:v>1395.2633163131788</c:v>
                </c:pt>
                <c:pt idx="195">
                  <c:v>1395.2633163131788</c:v>
                </c:pt>
                <c:pt idx="196">
                  <c:v>1395.2633163131788</c:v>
                </c:pt>
                <c:pt idx="197">
                  <c:v>1395.2633163131788</c:v>
                </c:pt>
                <c:pt idx="198">
                  <c:v>1395.2633163131788</c:v>
                </c:pt>
                <c:pt idx="199">
                  <c:v>1395.2633163131788</c:v>
                </c:pt>
                <c:pt idx="200">
                  <c:v>1395.2633163131788</c:v>
                </c:pt>
                <c:pt idx="201">
                  <c:v>1395.2633163131788</c:v>
                </c:pt>
                <c:pt idx="202">
                  <c:v>1395.2633163131788</c:v>
                </c:pt>
                <c:pt idx="203">
                  <c:v>1395.2633163131788</c:v>
                </c:pt>
                <c:pt idx="204">
                  <c:v>1395.2633163131788</c:v>
                </c:pt>
                <c:pt idx="205">
                  <c:v>1395.2633163131788</c:v>
                </c:pt>
                <c:pt idx="206">
                  <c:v>1395.2633163131788</c:v>
                </c:pt>
                <c:pt idx="207">
                  <c:v>1395.2633163131788</c:v>
                </c:pt>
                <c:pt idx="208">
                  <c:v>1395.2633163131788</c:v>
                </c:pt>
                <c:pt idx="209">
                  <c:v>1395.2633163131788</c:v>
                </c:pt>
                <c:pt idx="210">
                  <c:v>1395.2633163131788</c:v>
                </c:pt>
                <c:pt idx="211">
                  <c:v>1395.2633163131788</c:v>
                </c:pt>
                <c:pt idx="212">
                  <c:v>1395.2633163131788</c:v>
                </c:pt>
                <c:pt idx="213">
                  <c:v>1395.2633163131788</c:v>
                </c:pt>
                <c:pt idx="214">
                  <c:v>1395.2633163131788</c:v>
                </c:pt>
                <c:pt idx="215">
                  <c:v>1395.2633163131788</c:v>
                </c:pt>
                <c:pt idx="216">
                  <c:v>1395.2633163131788</c:v>
                </c:pt>
                <c:pt idx="217">
                  <c:v>1395.2633163131788</c:v>
                </c:pt>
                <c:pt idx="218">
                  <c:v>1395.2633163131788</c:v>
                </c:pt>
                <c:pt idx="219">
                  <c:v>1395.2633163131788</c:v>
                </c:pt>
                <c:pt idx="220">
                  <c:v>1395.2633163131788</c:v>
                </c:pt>
                <c:pt idx="221">
                  <c:v>1395.2633163131788</c:v>
                </c:pt>
                <c:pt idx="222">
                  <c:v>1395.2633163131788</c:v>
                </c:pt>
                <c:pt idx="223">
                  <c:v>1395.2633163131788</c:v>
                </c:pt>
                <c:pt idx="224">
                  <c:v>1395.2633163131788</c:v>
                </c:pt>
                <c:pt idx="225">
                  <c:v>1395.2633163131788</c:v>
                </c:pt>
                <c:pt idx="226">
                  <c:v>1395.2633163131788</c:v>
                </c:pt>
                <c:pt idx="227">
                  <c:v>1395.2633163131788</c:v>
                </c:pt>
                <c:pt idx="228">
                  <c:v>1395.2633163131788</c:v>
                </c:pt>
                <c:pt idx="229">
                  <c:v>1395.2633163131788</c:v>
                </c:pt>
                <c:pt idx="230">
                  <c:v>1395.2633163131788</c:v>
                </c:pt>
                <c:pt idx="231">
                  <c:v>1395.2633163131788</c:v>
                </c:pt>
                <c:pt idx="232">
                  <c:v>1395.2633163131788</c:v>
                </c:pt>
                <c:pt idx="233">
                  <c:v>1395.2633163131788</c:v>
                </c:pt>
                <c:pt idx="234">
                  <c:v>1395.2633163131788</c:v>
                </c:pt>
                <c:pt idx="235">
                  <c:v>1395.2633163131788</c:v>
                </c:pt>
                <c:pt idx="236">
                  <c:v>1395.2633163131788</c:v>
                </c:pt>
                <c:pt idx="237">
                  <c:v>1395.2633163131788</c:v>
                </c:pt>
                <c:pt idx="238">
                  <c:v>1395.2633163131788</c:v>
                </c:pt>
                <c:pt idx="239">
                  <c:v>1395.2633163131788</c:v>
                </c:pt>
                <c:pt idx="240">
                  <c:v>1395.2633163131788</c:v>
                </c:pt>
                <c:pt idx="241">
                  <c:v>1395.2633163131788</c:v>
                </c:pt>
                <c:pt idx="242">
                  <c:v>1395.2633163131788</c:v>
                </c:pt>
                <c:pt idx="243">
                  <c:v>1395.2633163131788</c:v>
                </c:pt>
                <c:pt idx="244">
                  <c:v>1395.2633163131788</c:v>
                </c:pt>
                <c:pt idx="245">
                  <c:v>1395.2633163131788</c:v>
                </c:pt>
                <c:pt idx="246">
                  <c:v>1395.2633163131788</c:v>
                </c:pt>
                <c:pt idx="247">
                  <c:v>1395.2633163131788</c:v>
                </c:pt>
                <c:pt idx="248">
                  <c:v>1395.2633163131788</c:v>
                </c:pt>
                <c:pt idx="249">
                  <c:v>1395.2633163131788</c:v>
                </c:pt>
                <c:pt idx="250">
                  <c:v>1395.2633163131788</c:v>
                </c:pt>
                <c:pt idx="251">
                  <c:v>1395.2633163131788</c:v>
                </c:pt>
                <c:pt idx="252">
                  <c:v>1395.2633163131788</c:v>
                </c:pt>
                <c:pt idx="253">
                  <c:v>1395.2633163131788</c:v>
                </c:pt>
                <c:pt idx="254">
                  <c:v>1395.2633163131788</c:v>
                </c:pt>
                <c:pt idx="255">
                  <c:v>1395.2633163131788</c:v>
                </c:pt>
                <c:pt idx="256">
                  <c:v>1395.2633163131788</c:v>
                </c:pt>
                <c:pt idx="257">
                  <c:v>1395.2633163131788</c:v>
                </c:pt>
                <c:pt idx="258">
                  <c:v>1395.2633163131788</c:v>
                </c:pt>
                <c:pt idx="259">
                  <c:v>1395.2633163131788</c:v>
                </c:pt>
                <c:pt idx="260">
                  <c:v>1395.2633163131788</c:v>
                </c:pt>
                <c:pt idx="261">
                  <c:v>1395.2633163131788</c:v>
                </c:pt>
                <c:pt idx="262">
                  <c:v>1395.2633163131788</c:v>
                </c:pt>
                <c:pt idx="263">
                  <c:v>1395.2633163131788</c:v>
                </c:pt>
                <c:pt idx="264">
                  <c:v>1395.2633163131788</c:v>
                </c:pt>
                <c:pt idx="265">
                  <c:v>1395.2633163131788</c:v>
                </c:pt>
                <c:pt idx="266">
                  <c:v>1395.2633163131788</c:v>
                </c:pt>
                <c:pt idx="267">
                  <c:v>1395.2633163131788</c:v>
                </c:pt>
                <c:pt idx="268">
                  <c:v>1395.2633163131788</c:v>
                </c:pt>
                <c:pt idx="269">
                  <c:v>1395.2633163131788</c:v>
                </c:pt>
                <c:pt idx="270">
                  <c:v>1395.2633163131788</c:v>
                </c:pt>
                <c:pt idx="271">
                  <c:v>1395.2633163131788</c:v>
                </c:pt>
                <c:pt idx="272">
                  <c:v>1395.2633163131788</c:v>
                </c:pt>
                <c:pt idx="273">
                  <c:v>1395.2633163131788</c:v>
                </c:pt>
                <c:pt idx="274">
                  <c:v>1395.2633163131788</c:v>
                </c:pt>
                <c:pt idx="275">
                  <c:v>1395.2633163131788</c:v>
                </c:pt>
                <c:pt idx="276">
                  <c:v>1395.2633163131788</c:v>
                </c:pt>
                <c:pt idx="277">
                  <c:v>1395.2633163131788</c:v>
                </c:pt>
                <c:pt idx="278">
                  <c:v>1395.2633163131788</c:v>
                </c:pt>
                <c:pt idx="279">
                  <c:v>1395.2633163131788</c:v>
                </c:pt>
                <c:pt idx="280">
                  <c:v>1395.2633163131788</c:v>
                </c:pt>
                <c:pt idx="281">
                  <c:v>1395.2633163131788</c:v>
                </c:pt>
                <c:pt idx="282">
                  <c:v>1395.2633163131788</c:v>
                </c:pt>
                <c:pt idx="283">
                  <c:v>1395.2633163131788</c:v>
                </c:pt>
                <c:pt idx="284">
                  <c:v>1395.2633163131788</c:v>
                </c:pt>
                <c:pt idx="285">
                  <c:v>1395.2633163131788</c:v>
                </c:pt>
                <c:pt idx="286">
                  <c:v>1395.2633163131788</c:v>
                </c:pt>
                <c:pt idx="287">
                  <c:v>1395.2633163131788</c:v>
                </c:pt>
                <c:pt idx="288">
                  <c:v>1395.2633163131788</c:v>
                </c:pt>
                <c:pt idx="289">
                  <c:v>1395.2633163131788</c:v>
                </c:pt>
                <c:pt idx="290">
                  <c:v>1395.2633163131788</c:v>
                </c:pt>
                <c:pt idx="291">
                  <c:v>1395.2633163131788</c:v>
                </c:pt>
                <c:pt idx="292">
                  <c:v>1395.2633163131788</c:v>
                </c:pt>
                <c:pt idx="293">
                  <c:v>1395.2633163131788</c:v>
                </c:pt>
                <c:pt idx="294">
                  <c:v>1395.2633163131788</c:v>
                </c:pt>
                <c:pt idx="295">
                  <c:v>1395.2633163131788</c:v>
                </c:pt>
                <c:pt idx="296">
                  <c:v>1395.2633163131788</c:v>
                </c:pt>
                <c:pt idx="297">
                  <c:v>1395.2633163131788</c:v>
                </c:pt>
                <c:pt idx="298">
                  <c:v>1395.2633163131788</c:v>
                </c:pt>
                <c:pt idx="299">
                  <c:v>1395.2633163131788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648896"/>
        <c:axId val="233650432"/>
      </c:lineChart>
      <c:catAx>
        <c:axId val="233648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3650432"/>
        <c:crosses val="autoZero"/>
        <c:auto val="1"/>
        <c:lblAlgn val="ctr"/>
        <c:lblOffset val="100"/>
        <c:noMultiLvlLbl val="0"/>
      </c:catAx>
      <c:valAx>
        <c:axId val="233650432"/>
        <c:scaling>
          <c:orientation val="minMax"/>
        </c:scaling>
        <c:delete val="0"/>
        <c:axPos val="l"/>
        <c:majorGridlines/>
        <c:numFmt formatCode="#,##0.00\ _z_ł" sourceLinked="1"/>
        <c:majorTickMark val="out"/>
        <c:minorTickMark val="none"/>
        <c:tickLblPos val="nextTo"/>
        <c:crossAx val="233648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361950</xdr:colOff>
      <xdr:row>8</xdr:row>
      <xdr:rowOff>0</xdr:rowOff>
    </xdr:from>
    <xdr:to>
      <xdr:col>13</xdr:col>
      <xdr:colOff>209340</xdr:colOff>
      <xdr:row>11</xdr:row>
      <xdr:rowOff>133262</xdr:rowOff>
    </xdr:to>
    <xdr:pic>
      <xdr:nvPicPr>
        <xdr:cNvPr id="2" name="Obraz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610975" y="1524000"/>
          <a:ext cx="1676190" cy="704762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</xdr:row>
      <xdr:rowOff>9525</xdr:rowOff>
    </xdr:from>
    <xdr:to>
      <xdr:col>12</xdr:col>
      <xdr:colOff>199898</xdr:colOff>
      <xdr:row>3</xdr:row>
      <xdr:rowOff>28525</xdr:rowOff>
    </xdr:to>
    <xdr:pic>
      <xdr:nvPicPr>
        <xdr:cNvPr id="3" name="Obraz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649075" y="200025"/>
          <a:ext cx="1019048" cy="400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314325</xdr:colOff>
      <xdr:row>3</xdr:row>
      <xdr:rowOff>142875</xdr:rowOff>
    </xdr:from>
    <xdr:to>
      <xdr:col>15</xdr:col>
      <xdr:colOff>285373</xdr:colOff>
      <xdr:row>7</xdr:row>
      <xdr:rowOff>85637</xdr:rowOff>
    </xdr:to>
    <xdr:pic>
      <xdr:nvPicPr>
        <xdr:cNvPr id="4" name="Obraz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63350" y="714375"/>
          <a:ext cx="3019048" cy="704762"/>
        </a:xfrm>
        <a:prstGeom prst="rect">
          <a:avLst/>
        </a:prstGeom>
      </xdr:spPr>
    </xdr:pic>
    <xdr:clientData/>
  </xdr:twoCellAnchor>
  <xdr:twoCellAnchor editAs="oneCell">
    <xdr:from>
      <xdr:col>10</xdr:col>
      <xdr:colOff>247650</xdr:colOff>
      <xdr:row>12</xdr:row>
      <xdr:rowOff>66675</xdr:rowOff>
    </xdr:from>
    <xdr:to>
      <xdr:col>15</xdr:col>
      <xdr:colOff>209174</xdr:colOff>
      <xdr:row>16</xdr:row>
      <xdr:rowOff>28485</xdr:rowOff>
    </xdr:to>
    <xdr:pic>
      <xdr:nvPicPr>
        <xdr:cNvPr id="5" name="Obraz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96675" y="2352675"/>
          <a:ext cx="3009524" cy="723810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18</xdr:row>
      <xdr:rowOff>28575</xdr:rowOff>
    </xdr:from>
    <xdr:to>
      <xdr:col>13</xdr:col>
      <xdr:colOff>276006</xdr:colOff>
      <xdr:row>20</xdr:row>
      <xdr:rowOff>161861</xdr:rowOff>
    </xdr:to>
    <xdr:pic>
      <xdr:nvPicPr>
        <xdr:cNvPr id="6" name="Obraz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50" y="3457575"/>
          <a:ext cx="1752381" cy="5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7</xdr:col>
      <xdr:colOff>361950</xdr:colOff>
      <xdr:row>24</xdr:row>
      <xdr:rowOff>76200</xdr:rowOff>
    </xdr:to>
    <xdr:graphicFrame macro="">
      <xdr:nvGraphicFramePr>
        <xdr:cNvPr id="2" name="Wykres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0</xdr:row>
      <xdr:rowOff>57150</xdr:rowOff>
    </xdr:from>
    <xdr:to>
      <xdr:col>18</xdr:col>
      <xdr:colOff>571500</xdr:colOff>
      <xdr:row>24</xdr:row>
      <xdr:rowOff>104776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J12"/>
  <sheetViews>
    <sheetView workbookViewId="0">
      <selection activeCell="B3" sqref="B3"/>
    </sheetView>
  </sheetViews>
  <sheetFormatPr defaultRowHeight="15" x14ac:dyDescent="0.25"/>
  <cols>
    <col min="1" max="1" width="16.85546875" customWidth="1"/>
    <col min="2" max="2" width="11.85546875" bestFit="1" customWidth="1"/>
    <col min="7" max="7" width="19" customWidth="1"/>
    <col min="8" max="8" width="27" customWidth="1"/>
    <col min="9" max="9" width="26.7109375" customWidth="1"/>
    <col min="10" max="10" width="15.85546875" customWidth="1"/>
  </cols>
  <sheetData>
    <row r="1" spans="1:10" x14ac:dyDescent="0.25">
      <c r="A1" t="s">
        <v>0</v>
      </c>
      <c r="B1" s="5">
        <v>250000</v>
      </c>
    </row>
    <row r="2" spans="1:10" x14ac:dyDescent="0.25">
      <c r="A2" t="s">
        <v>4</v>
      </c>
      <c r="B2" s="1">
        <v>25</v>
      </c>
      <c r="C2" t="s">
        <v>1</v>
      </c>
    </row>
    <row r="3" spans="1:10" x14ac:dyDescent="0.25">
      <c r="A3" t="s">
        <v>4</v>
      </c>
      <c r="B3">
        <f>B2*12</f>
        <v>300</v>
      </c>
      <c r="C3" t="s">
        <v>2</v>
      </c>
    </row>
    <row r="4" spans="1:10" x14ac:dyDescent="0.25">
      <c r="A4" t="s">
        <v>10</v>
      </c>
      <c r="B4" s="10">
        <v>2.0400000000000001E-2</v>
      </c>
    </row>
    <row r="5" spans="1:10" x14ac:dyDescent="0.25">
      <c r="A5" t="s">
        <v>11</v>
      </c>
      <c r="B5" s="11">
        <v>2.5000000000000001E-2</v>
      </c>
    </row>
    <row r="6" spans="1:10" x14ac:dyDescent="0.25">
      <c r="A6" t="s">
        <v>3</v>
      </c>
      <c r="B6" s="12">
        <f>B4+B5</f>
        <v>4.5400000000000003E-2</v>
      </c>
    </row>
    <row r="7" spans="1:10" x14ac:dyDescent="0.25">
      <c r="A7" t="s">
        <v>7</v>
      </c>
      <c r="B7" s="2">
        <f ca="1">TODAY()</f>
        <v>41955</v>
      </c>
      <c r="G7" s="4"/>
      <c r="H7" s="13" t="s">
        <v>28</v>
      </c>
      <c r="I7" s="13"/>
    </row>
    <row r="8" spans="1:10" x14ac:dyDescent="0.25">
      <c r="G8" s="4"/>
      <c r="H8" s="4" t="s">
        <v>26</v>
      </c>
      <c r="I8" s="4" t="s">
        <v>27</v>
      </c>
      <c r="J8" s="4" t="s">
        <v>33</v>
      </c>
    </row>
    <row r="9" spans="1:10" x14ac:dyDescent="0.25">
      <c r="G9" s="4" t="s">
        <v>29</v>
      </c>
      <c r="H9" s="9">
        <f>'Decreasing installments'!D6</f>
        <v>1779.1666666666667</v>
      </c>
      <c r="I9" s="9">
        <f>Annuite!D6</f>
        <v>1395.2633163131788</v>
      </c>
      <c r="J9" s="9">
        <f>I9-H9</f>
        <v>-383.90335035348789</v>
      </c>
    </row>
    <row r="10" spans="1:10" x14ac:dyDescent="0.25">
      <c r="G10" s="4" t="s">
        <v>30</v>
      </c>
      <c r="H10" s="9">
        <f>'Decreasing installments'!E3</f>
        <v>836.48611111110711</v>
      </c>
      <c r="I10" s="9">
        <f>I9</f>
        <v>1395.2633163131788</v>
      </c>
      <c r="J10" s="9">
        <f t="shared" ref="J10:J12" si="0">I10-H10</f>
        <v>558.77720520207174</v>
      </c>
    </row>
    <row r="11" spans="1:10" x14ac:dyDescent="0.25">
      <c r="G11" s="4" t="s">
        <v>31</v>
      </c>
      <c r="H11" s="9">
        <f>'Decreasing installments'!H2</f>
        <v>392347.91666666651</v>
      </c>
      <c r="I11" s="9">
        <f>Annuite!H2</f>
        <v>418578.9948939514</v>
      </c>
      <c r="J11" s="9">
        <f t="shared" si="0"/>
        <v>26231.078227284888</v>
      </c>
    </row>
    <row r="12" spans="1:10" x14ac:dyDescent="0.25">
      <c r="G12" s="4" t="s">
        <v>32</v>
      </c>
      <c r="H12" s="9">
        <f>H11-B1</f>
        <v>142347.91666666651</v>
      </c>
      <c r="I12" s="9">
        <f>I11-B1</f>
        <v>168578.9948939514</v>
      </c>
      <c r="J12" s="9">
        <f t="shared" si="0"/>
        <v>26231.078227284888</v>
      </c>
    </row>
  </sheetData>
  <mergeCells count="1">
    <mergeCell ref="H7:I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J365"/>
  <sheetViews>
    <sheetView tabSelected="1" workbookViewId="0">
      <selection activeCell="J6" sqref="J6"/>
    </sheetView>
  </sheetViews>
  <sheetFormatPr defaultRowHeight="15" x14ac:dyDescent="0.25"/>
  <cols>
    <col min="2" max="2" width="11.85546875" bestFit="1" customWidth="1"/>
    <col min="3" max="3" width="19.28515625" customWidth="1"/>
    <col min="4" max="5" width="12" bestFit="1" customWidth="1"/>
    <col min="6" max="6" width="15.7109375" customWidth="1"/>
    <col min="7" max="7" width="21.140625" customWidth="1"/>
    <col min="8" max="8" width="21.85546875" customWidth="1"/>
    <col min="9" max="9" width="25.5703125" customWidth="1"/>
    <col min="10" max="10" width="17.7109375" customWidth="1"/>
  </cols>
  <sheetData>
    <row r="1" spans="1:10" x14ac:dyDescent="0.25">
      <c r="A1" t="s">
        <v>8</v>
      </c>
      <c r="B1" s="7">
        <f>Inputs!B1</f>
        <v>250000</v>
      </c>
      <c r="D1" s="14" t="s">
        <v>21</v>
      </c>
      <c r="E1" s="14"/>
      <c r="G1" s="3" t="s">
        <v>24</v>
      </c>
      <c r="H1" s="8">
        <f>MAX(G6:G365)</f>
        <v>142347.91666666654</v>
      </c>
    </row>
    <row r="2" spans="1:10" x14ac:dyDescent="0.25">
      <c r="A2" t="s">
        <v>4</v>
      </c>
      <c r="B2">
        <f>Inputs!B3</f>
        <v>300</v>
      </c>
      <c r="D2" s="3" t="s">
        <v>22</v>
      </c>
      <c r="E2" s="8">
        <f>MAX(D6:D365)</f>
        <v>1779.1666666666667</v>
      </c>
      <c r="G2" s="3" t="s">
        <v>25</v>
      </c>
      <c r="H2" s="8">
        <f>MAX(I6:I365)</f>
        <v>392347.91666666651</v>
      </c>
    </row>
    <row r="3" spans="1:10" x14ac:dyDescent="0.25">
      <c r="A3" t="s">
        <v>3</v>
      </c>
      <c r="B3">
        <f>Inputs!B6</f>
        <v>4.5400000000000003E-2</v>
      </c>
      <c r="D3" s="3" t="s">
        <v>23</v>
      </c>
      <c r="E3" s="8">
        <f>MIN(D6:D365)</f>
        <v>836.48611111110711</v>
      </c>
    </row>
    <row r="5" spans="1:10" x14ac:dyDescent="0.25">
      <c r="A5" t="s">
        <v>5</v>
      </c>
      <c r="B5" t="s">
        <v>6</v>
      </c>
      <c r="C5" t="s">
        <v>12</v>
      </c>
      <c r="D5" t="s">
        <v>13</v>
      </c>
      <c r="E5" t="s">
        <v>14</v>
      </c>
      <c r="F5" t="s">
        <v>15</v>
      </c>
      <c r="G5" t="s">
        <v>18</v>
      </c>
      <c r="H5" t="s">
        <v>19</v>
      </c>
      <c r="I5" t="s">
        <v>17</v>
      </c>
      <c r="J5" t="s">
        <v>16</v>
      </c>
    </row>
    <row r="6" spans="1:10" x14ac:dyDescent="0.25">
      <c r="A6">
        <v>1</v>
      </c>
      <c r="B6" s="2">
        <f ca="1">Inputs!B7</f>
        <v>41955</v>
      </c>
      <c r="C6" t="str">
        <f ca="1">TEXT(B6,"mmmm")</f>
        <v>listopad</v>
      </c>
      <c r="D6" s="6">
        <f>E6+F6</f>
        <v>1779.1666666666667</v>
      </c>
      <c r="E6" s="6">
        <f>B1*B3/12</f>
        <v>945.83333333333337</v>
      </c>
      <c r="F6" s="6">
        <f>$B$1/ ($B$2)</f>
        <v>833.33333333333337</v>
      </c>
      <c r="G6" s="6">
        <f>E6</f>
        <v>945.83333333333337</v>
      </c>
      <c r="H6" s="6">
        <f>F6</f>
        <v>833.33333333333337</v>
      </c>
      <c r="I6" s="6">
        <f>D6</f>
        <v>1779.1666666666667</v>
      </c>
      <c r="J6" s="6">
        <f>$B$1-H6</f>
        <v>249166.66666666666</v>
      </c>
    </row>
    <row r="7" spans="1:10" x14ac:dyDescent="0.25">
      <c r="A7">
        <f t="shared" ref="A7:A70" si="0">IF($B$2&gt;A6,A6+1,"")</f>
        <v>2</v>
      </c>
      <c r="B7" s="2">
        <f t="shared" ref="B7:B70" ca="1" si="1">IF(A7&lt;&gt;"",DATE(YEAR(B6),MONTH(B6)+1,DAY(B6)),"")</f>
        <v>41985</v>
      </c>
      <c r="C7" t="str">
        <f t="shared" ref="C7:C70" ca="1" si="2">TEXT(B7,"mmmm")</f>
        <v>grudzień</v>
      </c>
      <c r="D7" s="6">
        <f t="shared" ref="D7:D70" si="3">IF(A7&lt;&gt;"",E7+F7,"")</f>
        <v>1776.0138888888889</v>
      </c>
      <c r="E7" s="6">
        <f t="shared" ref="E7:E70" si="4">IF(A7&lt;&gt;"",J6*$B$3/12,"")</f>
        <v>942.68055555555554</v>
      </c>
      <c r="F7" s="6">
        <f t="shared" ref="F7:F70" si="5">IF(A7&lt;&gt;"",$B$1/ ($B$2),"")</f>
        <v>833.33333333333337</v>
      </c>
      <c r="G7" s="6">
        <f t="shared" ref="G7:G70" si="6">IF(A7&lt;&gt;"",E7+G6,"")</f>
        <v>1888.5138888888889</v>
      </c>
      <c r="H7" s="6">
        <f t="shared" ref="H7:H70" si="7">IF(A7&lt;&gt;"",F7+H6,"")</f>
        <v>1666.6666666666667</v>
      </c>
      <c r="I7" s="6">
        <f t="shared" ref="I7:I70" si="8">IF(A7&lt;&gt;"",I6+D7,"")</f>
        <v>3555.1805555555557</v>
      </c>
      <c r="J7" s="6">
        <f t="shared" ref="J7:J70" si="9">IF(A7&lt;&gt;"",$B$1-H7,"")</f>
        <v>248333.33333333334</v>
      </c>
    </row>
    <row r="8" spans="1:10" x14ac:dyDescent="0.25">
      <c r="A8">
        <f t="shared" si="0"/>
        <v>3</v>
      </c>
      <c r="B8" s="2">
        <f t="shared" ca="1" si="1"/>
        <v>42016</v>
      </c>
      <c r="C8" t="str">
        <f t="shared" ca="1" si="2"/>
        <v>styczeń</v>
      </c>
      <c r="D8" s="6">
        <f t="shared" si="3"/>
        <v>1772.8611111111113</v>
      </c>
      <c r="E8" s="6">
        <f t="shared" si="4"/>
        <v>939.52777777777783</v>
      </c>
      <c r="F8" s="6">
        <f t="shared" si="5"/>
        <v>833.33333333333337</v>
      </c>
      <c r="G8" s="6">
        <f t="shared" si="6"/>
        <v>2828.041666666667</v>
      </c>
      <c r="H8" s="6">
        <f t="shared" si="7"/>
        <v>2500</v>
      </c>
      <c r="I8" s="6">
        <f t="shared" si="8"/>
        <v>5328.041666666667</v>
      </c>
      <c r="J8" s="6">
        <f t="shared" si="9"/>
        <v>247500</v>
      </c>
    </row>
    <row r="9" spans="1:10" x14ac:dyDescent="0.25">
      <c r="A9">
        <f t="shared" si="0"/>
        <v>4</v>
      </c>
      <c r="B9" s="2">
        <f t="shared" ca="1" si="1"/>
        <v>42047</v>
      </c>
      <c r="C9" t="str">
        <f t="shared" ca="1" si="2"/>
        <v>luty</v>
      </c>
      <c r="D9" s="6">
        <f t="shared" si="3"/>
        <v>1769.7083333333335</v>
      </c>
      <c r="E9" s="6">
        <f t="shared" si="4"/>
        <v>936.375</v>
      </c>
      <c r="F9" s="6">
        <f t="shared" si="5"/>
        <v>833.33333333333337</v>
      </c>
      <c r="G9" s="6">
        <f t="shared" si="6"/>
        <v>3764.416666666667</v>
      </c>
      <c r="H9" s="6">
        <f t="shared" si="7"/>
        <v>3333.3333333333335</v>
      </c>
      <c r="I9" s="6">
        <f t="shared" si="8"/>
        <v>7097.75</v>
      </c>
      <c r="J9" s="6">
        <f t="shared" si="9"/>
        <v>246666.66666666666</v>
      </c>
    </row>
    <row r="10" spans="1:10" x14ac:dyDescent="0.25">
      <c r="A10">
        <f t="shared" si="0"/>
        <v>5</v>
      </c>
      <c r="B10" s="2">
        <f t="shared" ca="1" si="1"/>
        <v>42075</v>
      </c>
      <c r="C10" t="str">
        <f t="shared" ca="1" si="2"/>
        <v>marzec</v>
      </c>
      <c r="D10" s="6">
        <f t="shared" si="3"/>
        <v>1766.5555555555557</v>
      </c>
      <c r="E10" s="6">
        <f t="shared" si="4"/>
        <v>933.22222222222217</v>
      </c>
      <c r="F10" s="6">
        <f t="shared" si="5"/>
        <v>833.33333333333337</v>
      </c>
      <c r="G10" s="6">
        <f t="shared" si="6"/>
        <v>4697.6388888888887</v>
      </c>
      <c r="H10" s="6">
        <f t="shared" si="7"/>
        <v>4166.666666666667</v>
      </c>
      <c r="I10" s="6">
        <f t="shared" si="8"/>
        <v>8864.3055555555547</v>
      </c>
      <c r="J10" s="6">
        <f t="shared" si="9"/>
        <v>245833.33333333334</v>
      </c>
    </row>
    <row r="11" spans="1:10" x14ac:dyDescent="0.25">
      <c r="A11">
        <f t="shared" si="0"/>
        <v>6</v>
      </c>
      <c r="B11" s="2">
        <f t="shared" ca="1" si="1"/>
        <v>42106</v>
      </c>
      <c r="C11" t="str">
        <f t="shared" ca="1" si="2"/>
        <v>kwiecień</v>
      </c>
      <c r="D11" s="6">
        <f t="shared" si="3"/>
        <v>1763.4027777777778</v>
      </c>
      <c r="E11" s="6">
        <f t="shared" si="4"/>
        <v>930.06944444444446</v>
      </c>
      <c r="F11" s="6">
        <f t="shared" si="5"/>
        <v>833.33333333333337</v>
      </c>
      <c r="G11" s="6">
        <f t="shared" si="6"/>
        <v>5627.708333333333</v>
      </c>
      <c r="H11" s="6">
        <f t="shared" si="7"/>
        <v>5000</v>
      </c>
      <c r="I11" s="6">
        <f t="shared" si="8"/>
        <v>10627.708333333332</v>
      </c>
      <c r="J11" s="6">
        <f t="shared" si="9"/>
        <v>245000</v>
      </c>
    </row>
    <row r="12" spans="1:10" x14ac:dyDescent="0.25">
      <c r="A12">
        <f t="shared" si="0"/>
        <v>7</v>
      </c>
      <c r="B12" s="2">
        <f t="shared" ca="1" si="1"/>
        <v>42136</v>
      </c>
      <c r="C12" t="str">
        <f t="shared" ca="1" si="2"/>
        <v>maj</v>
      </c>
      <c r="D12" s="6">
        <f t="shared" si="3"/>
        <v>1760.25</v>
      </c>
      <c r="E12" s="6">
        <f t="shared" si="4"/>
        <v>926.91666666666663</v>
      </c>
      <c r="F12" s="6">
        <f t="shared" si="5"/>
        <v>833.33333333333337</v>
      </c>
      <c r="G12" s="6">
        <f t="shared" si="6"/>
        <v>6554.625</v>
      </c>
      <c r="H12" s="6">
        <f t="shared" si="7"/>
        <v>5833.333333333333</v>
      </c>
      <c r="I12" s="6">
        <f t="shared" si="8"/>
        <v>12387.958333333332</v>
      </c>
      <c r="J12" s="6">
        <f t="shared" si="9"/>
        <v>244166.66666666666</v>
      </c>
    </row>
    <row r="13" spans="1:10" x14ac:dyDescent="0.25">
      <c r="A13">
        <f t="shared" si="0"/>
        <v>8</v>
      </c>
      <c r="B13" s="2">
        <f t="shared" ca="1" si="1"/>
        <v>42167</v>
      </c>
      <c r="C13" t="str">
        <f t="shared" ca="1" si="2"/>
        <v>czerwiec</v>
      </c>
      <c r="D13" s="6">
        <f t="shared" si="3"/>
        <v>1757.0972222222222</v>
      </c>
      <c r="E13" s="6">
        <f t="shared" si="4"/>
        <v>923.7638888888888</v>
      </c>
      <c r="F13" s="6">
        <f t="shared" si="5"/>
        <v>833.33333333333337</v>
      </c>
      <c r="G13" s="6">
        <f t="shared" si="6"/>
        <v>7478.3888888888887</v>
      </c>
      <c r="H13" s="6">
        <f t="shared" si="7"/>
        <v>6666.6666666666661</v>
      </c>
      <c r="I13" s="6">
        <f t="shared" si="8"/>
        <v>14145.055555555555</v>
      </c>
      <c r="J13" s="6">
        <f t="shared" si="9"/>
        <v>243333.33333333334</v>
      </c>
    </row>
    <row r="14" spans="1:10" x14ac:dyDescent="0.25">
      <c r="A14">
        <f t="shared" si="0"/>
        <v>9</v>
      </c>
      <c r="B14" s="2">
        <f t="shared" ca="1" si="1"/>
        <v>42197</v>
      </c>
      <c r="C14" t="str">
        <f t="shared" ca="1" si="2"/>
        <v>lipiec</v>
      </c>
      <c r="D14" s="6">
        <f t="shared" si="3"/>
        <v>1753.9444444444446</v>
      </c>
      <c r="E14" s="6">
        <f t="shared" si="4"/>
        <v>920.6111111111112</v>
      </c>
      <c r="F14" s="6">
        <f t="shared" si="5"/>
        <v>833.33333333333337</v>
      </c>
      <c r="G14" s="6">
        <f t="shared" si="6"/>
        <v>8399</v>
      </c>
      <c r="H14" s="6">
        <f t="shared" si="7"/>
        <v>7499.9999999999991</v>
      </c>
      <c r="I14" s="6">
        <f t="shared" si="8"/>
        <v>15899</v>
      </c>
      <c r="J14" s="6">
        <f t="shared" si="9"/>
        <v>242500</v>
      </c>
    </row>
    <row r="15" spans="1:10" x14ac:dyDescent="0.25">
      <c r="A15">
        <f t="shared" si="0"/>
        <v>10</v>
      </c>
      <c r="B15" s="2">
        <f t="shared" ca="1" si="1"/>
        <v>42228</v>
      </c>
      <c r="C15" t="str">
        <f t="shared" ca="1" si="2"/>
        <v>sierpień</v>
      </c>
      <c r="D15" s="6">
        <f t="shared" si="3"/>
        <v>1750.7916666666667</v>
      </c>
      <c r="E15" s="6">
        <f t="shared" si="4"/>
        <v>917.45833333333337</v>
      </c>
      <c r="F15" s="6">
        <f t="shared" si="5"/>
        <v>833.33333333333337</v>
      </c>
      <c r="G15" s="6">
        <f t="shared" si="6"/>
        <v>9316.4583333333339</v>
      </c>
      <c r="H15" s="6">
        <f t="shared" si="7"/>
        <v>8333.3333333333321</v>
      </c>
      <c r="I15" s="6">
        <f t="shared" si="8"/>
        <v>17649.791666666668</v>
      </c>
      <c r="J15" s="6">
        <f t="shared" si="9"/>
        <v>241666.66666666666</v>
      </c>
    </row>
    <row r="16" spans="1:10" x14ac:dyDescent="0.25">
      <c r="A16">
        <f t="shared" si="0"/>
        <v>11</v>
      </c>
      <c r="B16" s="2">
        <f t="shared" ca="1" si="1"/>
        <v>42259</v>
      </c>
      <c r="C16" t="str">
        <f t="shared" ca="1" si="2"/>
        <v>wrzesień</v>
      </c>
      <c r="D16" s="6">
        <f t="shared" si="3"/>
        <v>1747.6388888888889</v>
      </c>
      <c r="E16" s="6">
        <f t="shared" si="4"/>
        <v>914.30555555555554</v>
      </c>
      <c r="F16" s="6">
        <f t="shared" si="5"/>
        <v>833.33333333333337</v>
      </c>
      <c r="G16" s="6">
        <f t="shared" si="6"/>
        <v>10230.763888888889</v>
      </c>
      <c r="H16" s="6">
        <f t="shared" si="7"/>
        <v>9166.6666666666661</v>
      </c>
      <c r="I16" s="6">
        <f t="shared" si="8"/>
        <v>19397.430555555558</v>
      </c>
      <c r="J16" s="6">
        <f t="shared" si="9"/>
        <v>240833.33333333334</v>
      </c>
    </row>
    <row r="17" spans="1:10" x14ac:dyDescent="0.25">
      <c r="A17">
        <f t="shared" si="0"/>
        <v>12</v>
      </c>
      <c r="B17" s="2">
        <f t="shared" ca="1" si="1"/>
        <v>42289</v>
      </c>
      <c r="C17" t="str">
        <f t="shared" ca="1" si="2"/>
        <v>październik</v>
      </c>
      <c r="D17" s="6">
        <f t="shared" si="3"/>
        <v>1744.4861111111113</v>
      </c>
      <c r="E17" s="6">
        <f t="shared" si="4"/>
        <v>911.15277777777783</v>
      </c>
      <c r="F17" s="6">
        <f t="shared" si="5"/>
        <v>833.33333333333337</v>
      </c>
      <c r="G17" s="6">
        <f t="shared" si="6"/>
        <v>11141.916666666666</v>
      </c>
      <c r="H17" s="6">
        <f t="shared" si="7"/>
        <v>10000</v>
      </c>
      <c r="I17" s="6">
        <f t="shared" si="8"/>
        <v>21141.916666666672</v>
      </c>
      <c r="J17" s="6">
        <f t="shared" si="9"/>
        <v>240000</v>
      </c>
    </row>
    <row r="18" spans="1:10" x14ac:dyDescent="0.25">
      <c r="A18">
        <f t="shared" si="0"/>
        <v>13</v>
      </c>
      <c r="B18" s="2">
        <f t="shared" ca="1" si="1"/>
        <v>42320</v>
      </c>
      <c r="C18" t="str">
        <f t="shared" ca="1" si="2"/>
        <v>listopad</v>
      </c>
      <c r="D18" s="6">
        <f t="shared" si="3"/>
        <v>1741.3333333333335</v>
      </c>
      <c r="E18" s="6">
        <f t="shared" si="4"/>
        <v>908</v>
      </c>
      <c r="F18" s="6">
        <f t="shared" si="5"/>
        <v>833.33333333333337</v>
      </c>
      <c r="G18" s="6">
        <f t="shared" si="6"/>
        <v>12049.916666666666</v>
      </c>
      <c r="H18" s="6">
        <f t="shared" si="7"/>
        <v>10833.333333333334</v>
      </c>
      <c r="I18" s="6">
        <f t="shared" si="8"/>
        <v>22883.250000000004</v>
      </c>
      <c r="J18" s="6">
        <f t="shared" si="9"/>
        <v>239166.66666666666</v>
      </c>
    </row>
    <row r="19" spans="1:10" x14ac:dyDescent="0.25">
      <c r="A19">
        <f t="shared" si="0"/>
        <v>14</v>
      </c>
      <c r="B19" s="2">
        <f t="shared" ca="1" si="1"/>
        <v>42350</v>
      </c>
      <c r="C19" t="str">
        <f t="shared" ca="1" si="2"/>
        <v>grudzień</v>
      </c>
      <c r="D19" s="6">
        <f t="shared" si="3"/>
        <v>1738.1805555555557</v>
      </c>
      <c r="E19" s="6">
        <f t="shared" si="4"/>
        <v>904.84722222222217</v>
      </c>
      <c r="F19" s="6">
        <f t="shared" si="5"/>
        <v>833.33333333333337</v>
      </c>
      <c r="G19" s="6">
        <f t="shared" si="6"/>
        <v>12954.763888888889</v>
      </c>
      <c r="H19" s="6">
        <f t="shared" si="7"/>
        <v>11666.666666666668</v>
      </c>
      <c r="I19" s="6">
        <f t="shared" si="8"/>
        <v>24621.430555555558</v>
      </c>
      <c r="J19" s="6">
        <f t="shared" si="9"/>
        <v>238333.33333333334</v>
      </c>
    </row>
    <row r="20" spans="1:10" x14ac:dyDescent="0.25">
      <c r="A20">
        <f t="shared" si="0"/>
        <v>15</v>
      </c>
      <c r="B20" s="2">
        <f t="shared" ca="1" si="1"/>
        <v>42381</v>
      </c>
      <c r="C20" t="str">
        <f t="shared" ca="1" si="2"/>
        <v>styczeń</v>
      </c>
      <c r="D20" s="6">
        <f t="shared" si="3"/>
        <v>1735.0277777777778</v>
      </c>
      <c r="E20" s="6">
        <f t="shared" si="4"/>
        <v>901.69444444444446</v>
      </c>
      <c r="F20" s="6">
        <f t="shared" si="5"/>
        <v>833.33333333333337</v>
      </c>
      <c r="G20" s="6">
        <f t="shared" si="6"/>
        <v>13856.458333333334</v>
      </c>
      <c r="H20" s="6">
        <f t="shared" si="7"/>
        <v>12500.000000000002</v>
      </c>
      <c r="I20" s="6">
        <f t="shared" si="8"/>
        <v>26356.458333333336</v>
      </c>
      <c r="J20" s="6">
        <f t="shared" si="9"/>
        <v>237500</v>
      </c>
    </row>
    <row r="21" spans="1:10" x14ac:dyDescent="0.25">
      <c r="A21">
        <f t="shared" si="0"/>
        <v>16</v>
      </c>
      <c r="B21" s="2">
        <f t="shared" ca="1" si="1"/>
        <v>42412</v>
      </c>
      <c r="C21" t="str">
        <f t="shared" ca="1" si="2"/>
        <v>luty</v>
      </c>
      <c r="D21" s="6">
        <f t="shared" si="3"/>
        <v>1731.875</v>
      </c>
      <c r="E21" s="6">
        <f t="shared" si="4"/>
        <v>898.54166666666663</v>
      </c>
      <c r="F21" s="6">
        <f t="shared" si="5"/>
        <v>833.33333333333337</v>
      </c>
      <c r="G21" s="6">
        <f t="shared" si="6"/>
        <v>14755</v>
      </c>
      <c r="H21" s="6">
        <f t="shared" si="7"/>
        <v>13333.333333333336</v>
      </c>
      <c r="I21" s="6">
        <f t="shared" si="8"/>
        <v>28088.333333333336</v>
      </c>
      <c r="J21" s="6">
        <f t="shared" si="9"/>
        <v>236666.66666666666</v>
      </c>
    </row>
    <row r="22" spans="1:10" x14ac:dyDescent="0.25">
      <c r="A22">
        <f t="shared" si="0"/>
        <v>17</v>
      </c>
      <c r="B22" s="2">
        <f t="shared" ca="1" si="1"/>
        <v>42441</v>
      </c>
      <c r="C22" t="str">
        <f t="shared" ca="1" si="2"/>
        <v>marzec</v>
      </c>
      <c r="D22" s="6">
        <f t="shared" si="3"/>
        <v>1728.7222222222222</v>
      </c>
      <c r="E22" s="6">
        <f t="shared" si="4"/>
        <v>895.3888888888888</v>
      </c>
      <c r="F22" s="6">
        <f t="shared" si="5"/>
        <v>833.33333333333337</v>
      </c>
      <c r="G22" s="6">
        <f t="shared" si="6"/>
        <v>15650.388888888889</v>
      </c>
      <c r="H22" s="6">
        <f t="shared" si="7"/>
        <v>14166.66666666667</v>
      </c>
      <c r="I22" s="6">
        <f t="shared" si="8"/>
        <v>29817.055555555558</v>
      </c>
      <c r="J22" s="6">
        <f t="shared" si="9"/>
        <v>235833.33333333334</v>
      </c>
    </row>
    <row r="23" spans="1:10" x14ac:dyDescent="0.25">
      <c r="A23">
        <f t="shared" si="0"/>
        <v>18</v>
      </c>
      <c r="B23" s="2">
        <f t="shared" ca="1" si="1"/>
        <v>42472</v>
      </c>
      <c r="C23" t="str">
        <f t="shared" ca="1" si="2"/>
        <v>kwiecień</v>
      </c>
      <c r="D23" s="6">
        <f t="shared" si="3"/>
        <v>1725.5694444444446</v>
      </c>
      <c r="E23" s="6">
        <f t="shared" si="4"/>
        <v>892.2361111111112</v>
      </c>
      <c r="F23" s="6">
        <f t="shared" si="5"/>
        <v>833.33333333333337</v>
      </c>
      <c r="G23" s="6">
        <f t="shared" si="6"/>
        <v>16542.625</v>
      </c>
      <c r="H23" s="6">
        <f t="shared" si="7"/>
        <v>15000.000000000004</v>
      </c>
      <c r="I23" s="6">
        <f t="shared" si="8"/>
        <v>31542.625000000004</v>
      </c>
      <c r="J23" s="6">
        <f t="shared" si="9"/>
        <v>235000</v>
      </c>
    </row>
    <row r="24" spans="1:10" x14ac:dyDescent="0.25">
      <c r="A24">
        <f t="shared" si="0"/>
        <v>19</v>
      </c>
      <c r="B24" s="2">
        <f t="shared" ca="1" si="1"/>
        <v>42502</v>
      </c>
      <c r="C24" t="str">
        <f t="shared" ca="1" si="2"/>
        <v>maj</v>
      </c>
      <c r="D24" s="6">
        <f t="shared" si="3"/>
        <v>1722.4166666666667</v>
      </c>
      <c r="E24" s="6">
        <f t="shared" si="4"/>
        <v>889.08333333333337</v>
      </c>
      <c r="F24" s="6">
        <f t="shared" si="5"/>
        <v>833.33333333333337</v>
      </c>
      <c r="G24" s="6">
        <f t="shared" si="6"/>
        <v>17431.708333333332</v>
      </c>
      <c r="H24" s="6">
        <f t="shared" si="7"/>
        <v>15833.333333333338</v>
      </c>
      <c r="I24" s="6">
        <f t="shared" si="8"/>
        <v>33265.041666666672</v>
      </c>
      <c r="J24" s="6">
        <f t="shared" si="9"/>
        <v>234166.66666666666</v>
      </c>
    </row>
    <row r="25" spans="1:10" x14ac:dyDescent="0.25">
      <c r="A25">
        <f t="shared" si="0"/>
        <v>20</v>
      </c>
      <c r="B25" s="2">
        <f t="shared" ca="1" si="1"/>
        <v>42533</v>
      </c>
      <c r="C25" t="str">
        <f t="shared" ca="1" si="2"/>
        <v>czerwiec</v>
      </c>
      <c r="D25" s="6">
        <f t="shared" si="3"/>
        <v>1719.2638888888889</v>
      </c>
      <c r="E25" s="6">
        <f t="shared" si="4"/>
        <v>885.93055555555554</v>
      </c>
      <c r="F25" s="6">
        <f t="shared" si="5"/>
        <v>833.33333333333337</v>
      </c>
      <c r="G25" s="6">
        <f t="shared" si="6"/>
        <v>18317.638888888887</v>
      </c>
      <c r="H25" s="6">
        <f t="shared" si="7"/>
        <v>16666.666666666672</v>
      </c>
      <c r="I25" s="6">
        <f t="shared" si="8"/>
        <v>34984.305555555562</v>
      </c>
      <c r="J25" s="6">
        <f t="shared" si="9"/>
        <v>233333.33333333331</v>
      </c>
    </row>
    <row r="26" spans="1:10" x14ac:dyDescent="0.25">
      <c r="A26">
        <f t="shared" si="0"/>
        <v>21</v>
      </c>
      <c r="B26" s="2">
        <f t="shared" ca="1" si="1"/>
        <v>42563</v>
      </c>
      <c r="C26" t="str">
        <f t="shared" ca="1" si="2"/>
        <v>lipiec</v>
      </c>
      <c r="D26" s="6">
        <f t="shared" si="3"/>
        <v>1716.1111111111113</v>
      </c>
      <c r="E26" s="6">
        <f t="shared" si="4"/>
        <v>882.77777777777783</v>
      </c>
      <c r="F26" s="6">
        <f t="shared" si="5"/>
        <v>833.33333333333337</v>
      </c>
      <c r="G26" s="6">
        <f t="shared" si="6"/>
        <v>19200.416666666664</v>
      </c>
      <c r="H26" s="6">
        <f t="shared" si="7"/>
        <v>17500.000000000004</v>
      </c>
      <c r="I26" s="6">
        <f t="shared" si="8"/>
        <v>36700.416666666672</v>
      </c>
      <c r="J26" s="6">
        <f t="shared" si="9"/>
        <v>232500</v>
      </c>
    </row>
    <row r="27" spans="1:10" x14ac:dyDescent="0.25">
      <c r="A27">
        <f t="shared" si="0"/>
        <v>22</v>
      </c>
      <c r="B27" s="2">
        <f t="shared" ca="1" si="1"/>
        <v>42594</v>
      </c>
      <c r="C27" t="str">
        <f t="shared" ca="1" si="2"/>
        <v>sierpień</v>
      </c>
      <c r="D27" s="6">
        <f t="shared" si="3"/>
        <v>1712.9583333333335</v>
      </c>
      <c r="E27" s="6">
        <f t="shared" si="4"/>
        <v>879.625</v>
      </c>
      <c r="F27" s="6">
        <f t="shared" si="5"/>
        <v>833.33333333333337</v>
      </c>
      <c r="G27" s="6">
        <f t="shared" si="6"/>
        <v>20080.041666666664</v>
      </c>
      <c r="H27" s="6">
        <f t="shared" si="7"/>
        <v>18333.333333333336</v>
      </c>
      <c r="I27" s="6">
        <f t="shared" si="8"/>
        <v>38413.375000000007</v>
      </c>
      <c r="J27" s="6">
        <f t="shared" si="9"/>
        <v>231666.66666666666</v>
      </c>
    </row>
    <row r="28" spans="1:10" x14ac:dyDescent="0.25">
      <c r="A28">
        <f t="shared" si="0"/>
        <v>23</v>
      </c>
      <c r="B28" s="2">
        <f t="shared" ca="1" si="1"/>
        <v>42625</v>
      </c>
      <c r="C28" t="str">
        <f t="shared" ca="1" si="2"/>
        <v>wrzesień</v>
      </c>
      <c r="D28" s="6">
        <f t="shared" si="3"/>
        <v>1709.8055555555557</v>
      </c>
      <c r="E28" s="6">
        <f t="shared" si="4"/>
        <v>876.47222222222217</v>
      </c>
      <c r="F28" s="6">
        <f t="shared" si="5"/>
        <v>833.33333333333337</v>
      </c>
      <c r="G28" s="6">
        <f t="shared" si="6"/>
        <v>20956.513888888887</v>
      </c>
      <c r="H28" s="6">
        <f t="shared" si="7"/>
        <v>19166.666666666668</v>
      </c>
      <c r="I28" s="6">
        <f t="shared" si="8"/>
        <v>40123.180555555562</v>
      </c>
      <c r="J28" s="6">
        <f t="shared" si="9"/>
        <v>230833.33333333334</v>
      </c>
    </row>
    <row r="29" spans="1:10" x14ac:dyDescent="0.25">
      <c r="A29">
        <f t="shared" si="0"/>
        <v>24</v>
      </c>
      <c r="B29" s="2">
        <f t="shared" ca="1" si="1"/>
        <v>42655</v>
      </c>
      <c r="C29" t="str">
        <f t="shared" ca="1" si="2"/>
        <v>październik</v>
      </c>
      <c r="D29" s="6">
        <f t="shared" si="3"/>
        <v>1706.6527777777778</v>
      </c>
      <c r="E29" s="6">
        <f t="shared" si="4"/>
        <v>873.31944444444446</v>
      </c>
      <c r="F29" s="6">
        <f t="shared" si="5"/>
        <v>833.33333333333337</v>
      </c>
      <c r="G29" s="6">
        <f t="shared" si="6"/>
        <v>21829.833333333332</v>
      </c>
      <c r="H29" s="6">
        <f t="shared" si="7"/>
        <v>20000</v>
      </c>
      <c r="I29" s="6">
        <f t="shared" si="8"/>
        <v>41829.833333333343</v>
      </c>
      <c r="J29" s="6">
        <f t="shared" si="9"/>
        <v>230000</v>
      </c>
    </row>
    <row r="30" spans="1:10" x14ac:dyDescent="0.25">
      <c r="A30">
        <f t="shared" si="0"/>
        <v>25</v>
      </c>
      <c r="B30" s="2">
        <f t="shared" ca="1" si="1"/>
        <v>42686</v>
      </c>
      <c r="C30" t="str">
        <f t="shared" ca="1" si="2"/>
        <v>listopad</v>
      </c>
      <c r="D30" s="6">
        <f t="shared" si="3"/>
        <v>1703.5</v>
      </c>
      <c r="E30" s="6">
        <f t="shared" si="4"/>
        <v>870.16666666666663</v>
      </c>
      <c r="F30" s="6">
        <f t="shared" si="5"/>
        <v>833.33333333333337</v>
      </c>
      <c r="G30" s="6">
        <f t="shared" si="6"/>
        <v>22700</v>
      </c>
      <c r="H30" s="6">
        <f t="shared" si="7"/>
        <v>20833.333333333332</v>
      </c>
      <c r="I30" s="6">
        <f t="shared" si="8"/>
        <v>43533.333333333343</v>
      </c>
      <c r="J30" s="6">
        <f t="shared" si="9"/>
        <v>229166.66666666666</v>
      </c>
    </row>
    <row r="31" spans="1:10" x14ac:dyDescent="0.25">
      <c r="A31">
        <f t="shared" si="0"/>
        <v>26</v>
      </c>
      <c r="B31" s="2">
        <f t="shared" ca="1" si="1"/>
        <v>42716</v>
      </c>
      <c r="C31" t="str">
        <f t="shared" ca="1" si="2"/>
        <v>grudzień</v>
      </c>
      <c r="D31" s="6">
        <f t="shared" si="3"/>
        <v>1700.3472222222222</v>
      </c>
      <c r="E31" s="6">
        <f t="shared" si="4"/>
        <v>867.0138888888888</v>
      </c>
      <c r="F31" s="6">
        <f t="shared" si="5"/>
        <v>833.33333333333337</v>
      </c>
      <c r="G31" s="6">
        <f t="shared" si="6"/>
        <v>23567.013888888891</v>
      </c>
      <c r="H31" s="6">
        <f t="shared" si="7"/>
        <v>21666.666666666664</v>
      </c>
      <c r="I31" s="6">
        <f t="shared" si="8"/>
        <v>45233.680555555562</v>
      </c>
      <c r="J31" s="6">
        <f t="shared" si="9"/>
        <v>228333.33333333334</v>
      </c>
    </row>
    <row r="32" spans="1:10" x14ac:dyDescent="0.25">
      <c r="A32">
        <f t="shared" si="0"/>
        <v>27</v>
      </c>
      <c r="B32" s="2">
        <f t="shared" ca="1" si="1"/>
        <v>42747</v>
      </c>
      <c r="C32" t="str">
        <f t="shared" ca="1" si="2"/>
        <v>styczeń</v>
      </c>
      <c r="D32" s="6">
        <f t="shared" si="3"/>
        <v>1697.1944444444446</v>
      </c>
      <c r="E32" s="6">
        <f t="shared" si="4"/>
        <v>863.8611111111112</v>
      </c>
      <c r="F32" s="6">
        <f t="shared" si="5"/>
        <v>833.33333333333337</v>
      </c>
      <c r="G32" s="6">
        <f t="shared" si="6"/>
        <v>24430.875</v>
      </c>
      <c r="H32" s="6">
        <f t="shared" si="7"/>
        <v>22499.999999999996</v>
      </c>
      <c r="I32" s="6">
        <f t="shared" si="8"/>
        <v>46930.875000000007</v>
      </c>
      <c r="J32" s="6">
        <f t="shared" si="9"/>
        <v>227500</v>
      </c>
    </row>
    <row r="33" spans="1:10" x14ac:dyDescent="0.25">
      <c r="A33">
        <f t="shared" si="0"/>
        <v>28</v>
      </c>
      <c r="B33" s="2">
        <f t="shared" ca="1" si="1"/>
        <v>42778</v>
      </c>
      <c r="C33" t="str">
        <f t="shared" ca="1" si="2"/>
        <v>luty</v>
      </c>
      <c r="D33" s="6">
        <f t="shared" si="3"/>
        <v>1694.0416666666667</v>
      </c>
      <c r="E33" s="6">
        <f t="shared" si="4"/>
        <v>860.70833333333337</v>
      </c>
      <c r="F33" s="6">
        <f t="shared" si="5"/>
        <v>833.33333333333337</v>
      </c>
      <c r="G33" s="6">
        <f t="shared" si="6"/>
        <v>25291.583333333332</v>
      </c>
      <c r="H33" s="6">
        <f t="shared" si="7"/>
        <v>23333.333333333328</v>
      </c>
      <c r="I33" s="6">
        <f t="shared" si="8"/>
        <v>48624.916666666672</v>
      </c>
      <c r="J33" s="6">
        <f t="shared" si="9"/>
        <v>226666.66666666669</v>
      </c>
    </row>
    <row r="34" spans="1:10" x14ac:dyDescent="0.25">
      <c r="A34">
        <f t="shared" si="0"/>
        <v>29</v>
      </c>
      <c r="B34" s="2">
        <f t="shared" ca="1" si="1"/>
        <v>42806</v>
      </c>
      <c r="C34" t="str">
        <f t="shared" ca="1" si="2"/>
        <v>marzec</v>
      </c>
      <c r="D34" s="6">
        <f t="shared" si="3"/>
        <v>1690.8888888888891</v>
      </c>
      <c r="E34" s="6">
        <f t="shared" si="4"/>
        <v>857.55555555555566</v>
      </c>
      <c r="F34" s="6">
        <f t="shared" si="5"/>
        <v>833.33333333333337</v>
      </c>
      <c r="G34" s="6">
        <f t="shared" si="6"/>
        <v>26149.138888888887</v>
      </c>
      <c r="H34" s="6">
        <f t="shared" si="7"/>
        <v>24166.666666666661</v>
      </c>
      <c r="I34" s="6">
        <f t="shared" si="8"/>
        <v>50315.805555555562</v>
      </c>
      <c r="J34" s="6">
        <f t="shared" si="9"/>
        <v>225833.33333333334</v>
      </c>
    </row>
    <row r="35" spans="1:10" x14ac:dyDescent="0.25">
      <c r="A35">
        <f t="shared" si="0"/>
        <v>30</v>
      </c>
      <c r="B35" s="2">
        <f t="shared" ca="1" si="1"/>
        <v>42837</v>
      </c>
      <c r="C35" t="str">
        <f t="shared" ca="1" si="2"/>
        <v>kwiecień</v>
      </c>
      <c r="D35" s="6">
        <f t="shared" si="3"/>
        <v>1687.7361111111113</v>
      </c>
      <c r="E35" s="6">
        <f t="shared" si="4"/>
        <v>854.40277777777783</v>
      </c>
      <c r="F35" s="6">
        <f t="shared" si="5"/>
        <v>833.33333333333337</v>
      </c>
      <c r="G35" s="6">
        <f t="shared" si="6"/>
        <v>27003.541666666664</v>
      </c>
      <c r="H35" s="6">
        <f t="shared" si="7"/>
        <v>24999.999999999993</v>
      </c>
      <c r="I35" s="6">
        <f t="shared" si="8"/>
        <v>52003.541666666672</v>
      </c>
      <c r="J35" s="6">
        <f t="shared" si="9"/>
        <v>225000</v>
      </c>
    </row>
    <row r="36" spans="1:10" x14ac:dyDescent="0.25">
      <c r="A36">
        <f t="shared" si="0"/>
        <v>31</v>
      </c>
      <c r="B36" s="2">
        <f t="shared" ca="1" si="1"/>
        <v>42867</v>
      </c>
      <c r="C36" t="str">
        <f t="shared" ca="1" si="2"/>
        <v>maj</v>
      </c>
      <c r="D36" s="6">
        <f t="shared" si="3"/>
        <v>1684.5833333333335</v>
      </c>
      <c r="E36" s="6">
        <f t="shared" si="4"/>
        <v>851.25</v>
      </c>
      <c r="F36" s="6">
        <f t="shared" si="5"/>
        <v>833.33333333333337</v>
      </c>
      <c r="G36" s="6">
        <f t="shared" si="6"/>
        <v>27854.791666666664</v>
      </c>
      <c r="H36" s="6">
        <f t="shared" si="7"/>
        <v>25833.333333333325</v>
      </c>
      <c r="I36" s="6">
        <f t="shared" si="8"/>
        <v>53688.125000000007</v>
      </c>
      <c r="J36" s="6">
        <f t="shared" si="9"/>
        <v>224166.66666666669</v>
      </c>
    </row>
    <row r="37" spans="1:10" x14ac:dyDescent="0.25">
      <c r="A37">
        <f t="shared" si="0"/>
        <v>32</v>
      </c>
      <c r="B37" s="2">
        <f t="shared" ca="1" si="1"/>
        <v>42898</v>
      </c>
      <c r="C37" t="str">
        <f t="shared" ca="1" si="2"/>
        <v>czerwiec</v>
      </c>
      <c r="D37" s="6">
        <f t="shared" si="3"/>
        <v>1681.4305555555557</v>
      </c>
      <c r="E37" s="6">
        <f t="shared" si="4"/>
        <v>848.09722222222229</v>
      </c>
      <c r="F37" s="6">
        <f t="shared" si="5"/>
        <v>833.33333333333337</v>
      </c>
      <c r="G37" s="6">
        <f t="shared" si="6"/>
        <v>28702.888888888887</v>
      </c>
      <c r="H37" s="6">
        <f t="shared" si="7"/>
        <v>26666.666666666657</v>
      </c>
      <c r="I37" s="6">
        <f t="shared" si="8"/>
        <v>55369.555555555562</v>
      </c>
      <c r="J37" s="6">
        <f t="shared" si="9"/>
        <v>223333.33333333334</v>
      </c>
    </row>
    <row r="38" spans="1:10" x14ac:dyDescent="0.25">
      <c r="A38">
        <f t="shared" si="0"/>
        <v>33</v>
      </c>
      <c r="B38" s="2">
        <f t="shared" ca="1" si="1"/>
        <v>42928</v>
      </c>
      <c r="C38" t="str">
        <f t="shared" ca="1" si="2"/>
        <v>lipiec</v>
      </c>
      <c r="D38" s="6">
        <f t="shared" si="3"/>
        <v>1678.2777777777778</v>
      </c>
      <c r="E38" s="6">
        <f t="shared" si="4"/>
        <v>844.94444444444446</v>
      </c>
      <c r="F38" s="6">
        <f t="shared" si="5"/>
        <v>833.33333333333337</v>
      </c>
      <c r="G38" s="6">
        <f t="shared" si="6"/>
        <v>29547.833333333332</v>
      </c>
      <c r="H38" s="6">
        <f t="shared" si="7"/>
        <v>27499.999999999989</v>
      </c>
      <c r="I38" s="6">
        <f t="shared" si="8"/>
        <v>57047.833333333343</v>
      </c>
      <c r="J38" s="6">
        <f t="shared" si="9"/>
        <v>222500</v>
      </c>
    </row>
    <row r="39" spans="1:10" x14ac:dyDescent="0.25">
      <c r="A39">
        <f t="shared" si="0"/>
        <v>34</v>
      </c>
      <c r="B39" s="2">
        <f t="shared" ca="1" si="1"/>
        <v>42959</v>
      </c>
      <c r="C39" t="str">
        <f t="shared" ca="1" si="2"/>
        <v>sierpień</v>
      </c>
      <c r="D39" s="6">
        <f t="shared" si="3"/>
        <v>1675.125</v>
      </c>
      <c r="E39" s="6">
        <f t="shared" si="4"/>
        <v>841.79166666666663</v>
      </c>
      <c r="F39" s="6">
        <f t="shared" si="5"/>
        <v>833.33333333333337</v>
      </c>
      <c r="G39" s="6">
        <f t="shared" si="6"/>
        <v>30389.625</v>
      </c>
      <c r="H39" s="6">
        <f t="shared" si="7"/>
        <v>28333.333333333321</v>
      </c>
      <c r="I39" s="6">
        <f t="shared" si="8"/>
        <v>58722.958333333343</v>
      </c>
      <c r="J39" s="6">
        <f t="shared" si="9"/>
        <v>221666.66666666669</v>
      </c>
    </row>
    <row r="40" spans="1:10" x14ac:dyDescent="0.25">
      <c r="A40">
        <f t="shared" si="0"/>
        <v>35</v>
      </c>
      <c r="B40" s="2">
        <f t="shared" ca="1" si="1"/>
        <v>42990</v>
      </c>
      <c r="C40" t="str">
        <f t="shared" ca="1" si="2"/>
        <v>wrzesień</v>
      </c>
      <c r="D40" s="6">
        <f t="shared" si="3"/>
        <v>1671.9722222222224</v>
      </c>
      <c r="E40" s="6">
        <f t="shared" si="4"/>
        <v>838.63888888888903</v>
      </c>
      <c r="F40" s="6">
        <f t="shared" si="5"/>
        <v>833.33333333333337</v>
      </c>
      <c r="G40" s="6">
        <f t="shared" si="6"/>
        <v>31228.263888888891</v>
      </c>
      <c r="H40" s="6">
        <f t="shared" si="7"/>
        <v>29166.666666666653</v>
      </c>
      <c r="I40" s="6">
        <f t="shared" si="8"/>
        <v>60394.930555555562</v>
      </c>
      <c r="J40" s="6">
        <f t="shared" si="9"/>
        <v>220833.33333333334</v>
      </c>
    </row>
    <row r="41" spans="1:10" x14ac:dyDescent="0.25">
      <c r="A41">
        <f t="shared" si="0"/>
        <v>36</v>
      </c>
      <c r="B41" s="2">
        <f t="shared" ca="1" si="1"/>
        <v>43020</v>
      </c>
      <c r="C41" t="str">
        <f t="shared" ca="1" si="2"/>
        <v>październik</v>
      </c>
      <c r="D41" s="6">
        <f t="shared" si="3"/>
        <v>1668.8194444444446</v>
      </c>
      <c r="E41" s="6">
        <f t="shared" si="4"/>
        <v>835.4861111111112</v>
      </c>
      <c r="F41" s="6">
        <f t="shared" si="5"/>
        <v>833.33333333333337</v>
      </c>
      <c r="G41" s="6">
        <f t="shared" si="6"/>
        <v>32063.75</v>
      </c>
      <c r="H41" s="6">
        <f t="shared" si="7"/>
        <v>29999.999999999985</v>
      </c>
      <c r="I41" s="6">
        <f t="shared" si="8"/>
        <v>62063.750000000007</v>
      </c>
      <c r="J41" s="6">
        <f t="shared" si="9"/>
        <v>220000</v>
      </c>
    </row>
    <row r="42" spans="1:10" x14ac:dyDescent="0.25">
      <c r="A42">
        <f t="shared" si="0"/>
        <v>37</v>
      </c>
      <c r="B42" s="2">
        <f t="shared" ca="1" si="1"/>
        <v>43051</v>
      </c>
      <c r="C42" t="str">
        <f t="shared" ca="1" si="2"/>
        <v>listopad</v>
      </c>
      <c r="D42" s="6">
        <f t="shared" si="3"/>
        <v>1665.6666666666667</v>
      </c>
      <c r="E42" s="6">
        <f t="shared" si="4"/>
        <v>832.33333333333337</v>
      </c>
      <c r="F42" s="6">
        <f t="shared" si="5"/>
        <v>833.33333333333337</v>
      </c>
      <c r="G42" s="6">
        <f t="shared" si="6"/>
        <v>32896.083333333336</v>
      </c>
      <c r="H42" s="6">
        <f t="shared" si="7"/>
        <v>30833.333333333318</v>
      </c>
      <c r="I42" s="6">
        <f t="shared" si="8"/>
        <v>63729.416666666672</v>
      </c>
      <c r="J42" s="6">
        <f t="shared" si="9"/>
        <v>219166.66666666669</v>
      </c>
    </row>
    <row r="43" spans="1:10" x14ac:dyDescent="0.25">
      <c r="A43">
        <f t="shared" si="0"/>
        <v>38</v>
      </c>
      <c r="B43" s="2">
        <f t="shared" ca="1" si="1"/>
        <v>43081</v>
      </c>
      <c r="C43" t="str">
        <f t="shared" ca="1" si="2"/>
        <v>grudzień</v>
      </c>
      <c r="D43" s="6">
        <f t="shared" si="3"/>
        <v>1662.5138888888891</v>
      </c>
      <c r="E43" s="6">
        <f t="shared" si="4"/>
        <v>829.18055555555566</v>
      </c>
      <c r="F43" s="6">
        <f t="shared" si="5"/>
        <v>833.33333333333337</v>
      </c>
      <c r="G43" s="6">
        <f t="shared" si="6"/>
        <v>33725.263888888891</v>
      </c>
      <c r="H43" s="6">
        <f t="shared" si="7"/>
        <v>31666.66666666665</v>
      </c>
      <c r="I43" s="6">
        <f t="shared" si="8"/>
        <v>65391.930555555562</v>
      </c>
      <c r="J43" s="6">
        <f t="shared" si="9"/>
        <v>218333.33333333334</v>
      </c>
    </row>
    <row r="44" spans="1:10" x14ac:dyDescent="0.25">
      <c r="A44">
        <f t="shared" si="0"/>
        <v>39</v>
      </c>
      <c r="B44" s="2">
        <f t="shared" ca="1" si="1"/>
        <v>43112</v>
      </c>
      <c r="C44" t="str">
        <f t="shared" ca="1" si="2"/>
        <v>styczeń</v>
      </c>
      <c r="D44" s="6">
        <f t="shared" si="3"/>
        <v>1659.3611111111113</v>
      </c>
      <c r="E44" s="6">
        <f t="shared" si="4"/>
        <v>826.02777777777783</v>
      </c>
      <c r="F44" s="6">
        <f t="shared" si="5"/>
        <v>833.33333333333337</v>
      </c>
      <c r="G44" s="6">
        <f t="shared" si="6"/>
        <v>34551.291666666672</v>
      </c>
      <c r="H44" s="6">
        <f t="shared" si="7"/>
        <v>32499.999999999982</v>
      </c>
      <c r="I44" s="6">
        <f t="shared" si="8"/>
        <v>67051.291666666672</v>
      </c>
      <c r="J44" s="6">
        <f t="shared" si="9"/>
        <v>217500.00000000003</v>
      </c>
    </row>
    <row r="45" spans="1:10" x14ac:dyDescent="0.25">
      <c r="A45">
        <f t="shared" si="0"/>
        <v>40</v>
      </c>
      <c r="B45" s="2">
        <f t="shared" ca="1" si="1"/>
        <v>43143</v>
      </c>
      <c r="C45" t="str">
        <f t="shared" ca="1" si="2"/>
        <v>luty</v>
      </c>
      <c r="D45" s="6">
        <f t="shared" si="3"/>
        <v>1656.2083333333335</v>
      </c>
      <c r="E45" s="6">
        <f t="shared" si="4"/>
        <v>822.87500000000011</v>
      </c>
      <c r="F45" s="6">
        <f t="shared" si="5"/>
        <v>833.33333333333337</v>
      </c>
      <c r="G45" s="6">
        <f t="shared" si="6"/>
        <v>35374.166666666672</v>
      </c>
      <c r="H45" s="6">
        <f t="shared" si="7"/>
        <v>33333.333333333314</v>
      </c>
      <c r="I45" s="6">
        <f t="shared" si="8"/>
        <v>68707.5</v>
      </c>
      <c r="J45" s="6">
        <f t="shared" si="9"/>
        <v>216666.66666666669</v>
      </c>
    </row>
    <row r="46" spans="1:10" x14ac:dyDescent="0.25">
      <c r="A46">
        <f t="shared" si="0"/>
        <v>41</v>
      </c>
      <c r="B46" s="2">
        <f t="shared" ca="1" si="1"/>
        <v>43171</v>
      </c>
      <c r="C46" t="str">
        <f t="shared" ca="1" si="2"/>
        <v>marzec</v>
      </c>
      <c r="D46" s="6">
        <f t="shared" si="3"/>
        <v>1653.0555555555557</v>
      </c>
      <c r="E46" s="6">
        <f t="shared" si="4"/>
        <v>819.72222222222229</v>
      </c>
      <c r="F46" s="6">
        <f t="shared" si="5"/>
        <v>833.33333333333337</v>
      </c>
      <c r="G46" s="6">
        <f t="shared" si="6"/>
        <v>36193.888888888891</v>
      </c>
      <c r="H46" s="6">
        <f t="shared" si="7"/>
        <v>34166.66666666665</v>
      </c>
      <c r="I46" s="6">
        <f t="shared" si="8"/>
        <v>70360.555555555562</v>
      </c>
      <c r="J46" s="6">
        <f t="shared" si="9"/>
        <v>215833.33333333334</v>
      </c>
    </row>
    <row r="47" spans="1:10" x14ac:dyDescent="0.25">
      <c r="A47">
        <f t="shared" si="0"/>
        <v>42</v>
      </c>
      <c r="B47" s="2">
        <f t="shared" ca="1" si="1"/>
        <v>43202</v>
      </c>
      <c r="C47" t="str">
        <f t="shared" ca="1" si="2"/>
        <v>kwiecień</v>
      </c>
      <c r="D47" s="6">
        <f t="shared" si="3"/>
        <v>1649.9027777777778</v>
      </c>
      <c r="E47" s="6">
        <f t="shared" si="4"/>
        <v>816.56944444444446</v>
      </c>
      <c r="F47" s="6">
        <f t="shared" si="5"/>
        <v>833.33333333333337</v>
      </c>
      <c r="G47" s="6">
        <f t="shared" si="6"/>
        <v>37010.458333333336</v>
      </c>
      <c r="H47" s="6">
        <f t="shared" si="7"/>
        <v>34999.999999999985</v>
      </c>
      <c r="I47" s="6">
        <f t="shared" si="8"/>
        <v>72010.458333333343</v>
      </c>
      <c r="J47" s="6">
        <f t="shared" si="9"/>
        <v>215000</v>
      </c>
    </row>
    <row r="48" spans="1:10" x14ac:dyDescent="0.25">
      <c r="A48">
        <f t="shared" si="0"/>
        <v>43</v>
      </c>
      <c r="B48" s="2">
        <f t="shared" ca="1" si="1"/>
        <v>43232</v>
      </c>
      <c r="C48" t="str">
        <f t="shared" ca="1" si="2"/>
        <v>maj</v>
      </c>
      <c r="D48" s="6">
        <f t="shared" si="3"/>
        <v>1646.75</v>
      </c>
      <c r="E48" s="6">
        <f t="shared" si="4"/>
        <v>813.41666666666663</v>
      </c>
      <c r="F48" s="6">
        <f t="shared" si="5"/>
        <v>833.33333333333337</v>
      </c>
      <c r="G48" s="6">
        <f t="shared" si="6"/>
        <v>37823.875</v>
      </c>
      <c r="H48" s="6">
        <f t="shared" si="7"/>
        <v>35833.333333333321</v>
      </c>
      <c r="I48" s="6">
        <f t="shared" si="8"/>
        <v>73657.208333333343</v>
      </c>
      <c r="J48" s="6">
        <f t="shared" si="9"/>
        <v>214166.66666666669</v>
      </c>
    </row>
    <row r="49" spans="1:10" x14ac:dyDescent="0.25">
      <c r="A49">
        <f t="shared" si="0"/>
        <v>44</v>
      </c>
      <c r="B49" s="2">
        <f t="shared" ca="1" si="1"/>
        <v>43263</v>
      </c>
      <c r="C49" t="str">
        <f t="shared" ca="1" si="2"/>
        <v>czerwiec</v>
      </c>
      <c r="D49" s="6">
        <f t="shared" si="3"/>
        <v>1643.5972222222224</v>
      </c>
      <c r="E49" s="6">
        <f t="shared" si="4"/>
        <v>810.26388888888903</v>
      </c>
      <c r="F49" s="6">
        <f t="shared" si="5"/>
        <v>833.33333333333337</v>
      </c>
      <c r="G49" s="6">
        <f t="shared" si="6"/>
        <v>38634.138888888891</v>
      </c>
      <c r="H49" s="6">
        <f t="shared" si="7"/>
        <v>36666.666666666657</v>
      </c>
      <c r="I49" s="6">
        <f t="shared" si="8"/>
        <v>75300.805555555562</v>
      </c>
      <c r="J49" s="6">
        <f t="shared" si="9"/>
        <v>213333.33333333334</v>
      </c>
    </row>
    <row r="50" spans="1:10" x14ac:dyDescent="0.25">
      <c r="A50">
        <f t="shared" si="0"/>
        <v>45</v>
      </c>
      <c r="B50" s="2">
        <f t="shared" ca="1" si="1"/>
        <v>43293</v>
      </c>
      <c r="C50" t="str">
        <f t="shared" ca="1" si="2"/>
        <v>lipiec</v>
      </c>
      <c r="D50" s="6">
        <f t="shared" si="3"/>
        <v>1640.4444444444446</v>
      </c>
      <c r="E50" s="6">
        <f t="shared" si="4"/>
        <v>807.1111111111112</v>
      </c>
      <c r="F50" s="6">
        <f t="shared" si="5"/>
        <v>833.33333333333337</v>
      </c>
      <c r="G50" s="6">
        <f t="shared" si="6"/>
        <v>39441.25</v>
      </c>
      <c r="H50" s="6">
        <f t="shared" si="7"/>
        <v>37499.999999999993</v>
      </c>
      <c r="I50" s="6">
        <f t="shared" si="8"/>
        <v>76941.25</v>
      </c>
      <c r="J50" s="6">
        <f t="shared" si="9"/>
        <v>212500</v>
      </c>
    </row>
    <row r="51" spans="1:10" x14ac:dyDescent="0.25">
      <c r="A51">
        <f t="shared" si="0"/>
        <v>46</v>
      </c>
      <c r="B51" s="2">
        <f t="shared" ca="1" si="1"/>
        <v>43324</v>
      </c>
      <c r="C51" t="str">
        <f t="shared" ca="1" si="2"/>
        <v>sierpień</v>
      </c>
      <c r="D51" s="6">
        <f t="shared" si="3"/>
        <v>1637.2916666666667</v>
      </c>
      <c r="E51" s="6">
        <f t="shared" si="4"/>
        <v>803.95833333333337</v>
      </c>
      <c r="F51" s="6">
        <f t="shared" si="5"/>
        <v>833.33333333333337</v>
      </c>
      <c r="G51" s="6">
        <f t="shared" si="6"/>
        <v>40245.208333333336</v>
      </c>
      <c r="H51" s="6">
        <f t="shared" si="7"/>
        <v>38333.333333333328</v>
      </c>
      <c r="I51" s="6">
        <f t="shared" si="8"/>
        <v>78578.541666666672</v>
      </c>
      <c r="J51" s="6">
        <f t="shared" si="9"/>
        <v>211666.66666666669</v>
      </c>
    </row>
    <row r="52" spans="1:10" x14ac:dyDescent="0.25">
      <c r="A52">
        <f t="shared" si="0"/>
        <v>47</v>
      </c>
      <c r="B52" s="2">
        <f t="shared" ca="1" si="1"/>
        <v>43355</v>
      </c>
      <c r="C52" t="str">
        <f t="shared" ca="1" si="2"/>
        <v>wrzesień</v>
      </c>
      <c r="D52" s="6">
        <f t="shared" si="3"/>
        <v>1634.1388888888891</v>
      </c>
      <c r="E52" s="6">
        <f t="shared" si="4"/>
        <v>800.80555555555566</v>
      </c>
      <c r="F52" s="6">
        <f t="shared" si="5"/>
        <v>833.33333333333337</v>
      </c>
      <c r="G52" s="6">
        <f t="shared" si="6"/>
        <v>41046.013888888891</v>
      </c>
      <c r="H52" s="6">
        <f t="shared" si="7"/>
        <v>39166.666666666664</v>
      </c>
      <c r="I52" s="6">
        <f t="shared" si="8"/>
        <v>80212.680555555562</v>
      </c>
      <c r="J52" s="6">
        <f t="shared" si="9"/>
        <v>210833.33333333334</v>
      </c>
    </row>
    <row r="53" spans="1:10" x14ac:dyDescent="0.25">
      <c r="A53">
        <f t="shared" si="0"/>
        <v>48</v>
      </c>
      <c r="B53" s="2">
        <f t="shared" ca="1" si="1"/>
        <v>43385</v>
      </c>
      <c r="C53" t="str">
        <f t="shared" ca="1" si="2"/>
        <v>październik</v>
      </c>
      <c r="D53" s="6">
        <f t="shared" si="3"/>
        <v>1630.9861111111113</v>
      </c>
      <c r="E53" s="6">
        <f t="shared" si="4"/>
        <v>797.65277777777783</v>
      </c>
      <c r="F53" s="6">
        <f t="shared" si="5"/>
        <v>833.33333333333337</v>
      </c>
      <c r="G53" s="6">
        <f t="shared" si="6"/>
        <v>41843.666666666672</v>
      </c>
      <c r="H53" s="6">
        <f t="shared" si="7"/>
        <v>40000</v>
      </c>
      <c r="I53" s="6">
        <f t="shared" si="8"/>
        <v>81843.666666666672</v>
      </c>
      <c r="J53" s="6">
        <f t="shared" si="9"/>
        <v>210000</v>
      </c>
    </row>
    <row r="54" spans="1:10" x14ac:dyDescent="0.25">
      <c r="A54">
        <f t="shared" si="0"/>
        <v>49</v>
      </c>
      <c r="B54" s="2">
        <f t="shared" ca="1" si="1"/>
        <v>43416</v>
      </c>
      <c r="C54" t="str">
        <f t="shared" ca="1" si="2"/>
        <v>listopad</v>
      </c>
      <c r="D54" s="6">
        <f t="shared" si="3"/>
        <v>1627.8333333333335</v>
      </c>
      <c r="E54" s="6">
        <f t="shared" si="4"/>
        <v>794.5</v>
      </c>
      <c r="F54" s="6">
        <f t="shared" si="5"/>
        <v>833.33333333333337</v>
      </c>
      <c r="G54" s="6">
        <f t="shared" si="6"/>
        <v>42638.166666666672</v>
      </c>
      <c r="H54" s="6">
        <f t="shared" si="7"/>
        <v>40833.333333333336</v>
      </c>
      <c r="I54" s="6">
        <f t="shared" si="8"/>
        <v>83471.5</v>
      </c>
      <c r="J54" s="6">
        <f t="shared" si="9"/>
        <v>209166.66666666666</v>
      </c>
    </row>
    <row r="55" spans="1:10" x14ac:dyDescent="0.25">
      <c r="A55">
        <f t="shared" si="0"/>
        <v>50</v>
      </c>
      <c r="B55" s="2">
        <f t="shared" ca="1" si="1"/>
        <v>43446</v>
      </c>
      <c r="C55" t="str">
        <f t="shared" ca="1" si="2"/>
        <v>grudzień</v>
      </c>
      <c r="D55" s="6">
        <f t="shared" si="3"/>
        <v>1624.6805555555557</v>
      </c>
      <c r="E55" s="6">
        <f t="shared" si="4"/>
        <v>791.34722222222217</v>
      </c>
      <c r="F55" s="6">
        <f t="shared" si="5"/>
        <v>833.33333333333337</v>
      </c>
      <c r="G55" s="6">
        <f t="shared" si="6"/>
        <v>43429.513888888891</v>
      </c>
      <c r="H55" s="6">
        <f t="shared" si="7"/>
        <v>41666.666666666672</v>
      </c>
      <c r="I55" s="6">
        <f t="shared" si="8"/>
        <v>85096.180555555562</v>
      </c>
      <c r="J55" s="6">
        <f t="shared" si="9"/>
        <v>208333.33333333331</v>
      </c>
    </row>
    <row r="56" spans="1:10" x14ac:dyDescent="0.25">
      <c r="A56">
        <f t="shared" si="0"/>
        <v>51</v>
      </c>
      <c r="B56" s="2">
        <f t="shared" ca="1" si="1"/>
        <v>43477</v>
      </c>
      <c r="C56" t="str">
        <f t="shared" ca="1" si="2"/>
        <v>styczeń</v>
      </c>
      <c r="D56" s="6">
        <f t="shared" si="3"/>
        <v>1621.5277777777778</v>
      </c>
      <c r="E56" s="6">
        <f t="shared" si="4"/>
        <v>788.19444444444446</v>
      </c>
      <c r="F56" s="6">
        <f t="shared" si="5"/>
        <v>833.33333333333337</v>
      </c>
      <c r="G56" s="6">
        <f t="shared" si="6"/>
        <v>44217.708333333336</v>
      </c>
      <c r="H56" s="6">
        <f t="shared" si="7"/>
        <v>42500.000000000007</v>
      </c>
      <c r="I56" s="6">
        <f t="shared" si="8"/>
        <v>86717.708333333343</v>
      </c>
      <c r="J56" s="6">
        <f t="shared" si="9"/>
        <v>207500</v>
      </c>
    </row>
    <row r="57" spans="1:10" x14ac:dyDescent="0.25">
      <c r="A57">
        <f t="shared" si="0"/>
        <v>52</v>
      </c>
      <c r="B57" s="2">
        <f t="shared" ca="1" si="1"/>
        <v>43508</v>
      </c>
      <c r="C57" t="str">
        <f t="shared" ca="1" si="2"/>
        <v>luty</v>
      </c>
      <c r="D57" s="6">
        <f t="shared" si="3"/>
        <v>1618.375</v>
      </c>
      <c r="E57" s="6">
        <f t="shared" si="4"/>
        <v>785.04166666666663</v>
      </c>
      <c r="F57" s="6">
        <f t="shared" si="5"/>
        <v>833.33333333333337</v>
      </c>
      <c r="G57" s="6">
        <f t="shared" si="6"/>
        <v>45002.75</v>
      </c>
      <c r="H57" s="6">
        <f t="shared" si="7"/>
        <v>43333.333333333343</v>
      </c>
      <c r="I57" s="6">
        <f t="shared" si="8"/>
        <v>88336.083333333343</v>
      </c>
      <c r="J57" s="6">
        <f t="shared" si="9"/>
        <v>206666.66666666666</v>
      </c>
    </row>
    <row r="58" spans="1:10" x14ac:dyDescent="0.25">
      <c r="A58">
        <f t="shared" si="0"/>
        <v>53</v>
      </c>
      <c r="B58" s="2">
        <f t="shared" ca="1" si="1"/>
        <v>43536</v>
      </c>
      <c r="C58" t="str">
        <f t="shared" ca="1" si="2"/>
        <v>marzec</v>
      </c>
      <c r="D58" s="6">
        <f t="shared" si="3"/>
        <v>1615.2222222222222</v>
      </c>
      <c r="E58" s="6">
        <f t="shared" si="4"/>
        <v>781.8888888888888</v>
      </c>
      <c r="F58" s="6">
        <f t="shared" si="5"/>
        <v>833.33333333333337</v>
      </c>
      <c r="G58" s="6">
        <f t="shared" si="6"/>
        <v>45784.638888888891</v>
      </c>
      <c r="H58" s="6">
        <f t="shared" si="7"/>
        <v>44166.666666666679</v>
      </c>
      <c r="I58" s="6">
        <f t="shared" si="8"/>
        <v>89951.305555555562</v>
      </c>
      <c r="J58" s="6">
        <f t="shared" si="9"/>
        <v>205833.33333333331</v>
      </c>
    </row>
    <row r="59" spans="1:10" x14ac:dyDescent="0.25">
      <c r="A59">
        <f t="shared" si="0"/>
        <v>54</v>
      </c>
      <c r="B59" s="2">
        <f t="shared" ca="1" si="1"/>
        <v>43567</v>
      </c>
      <c r="C59" t="str">
        <f t="shared" ca="1" si="2"/>
        <v>kwiecień</v>
      </c>
      <c r="D59" s="6">
        <f t="shared" si="3"/>
        <v>1612.0694444444446</v>
      </c>
      <c r="E59" s="6">
        <f t="shared" si="4"/>
        <v>778.7361111111112</v>
      </c>
      <c r="F59" s="6">
        <f t="shared" si="5"/>
        <v>833.33333333333337</v>
      </c>
      <c r="G59" s="6">
        <f t="shared" si="6"/>
        <v>46563.375</v>
      </c>
      <c r="H59" s="6">
        <f t="shared" si="7"/>
        <v>45000.000000000015</v>
      </c>
      <c r="I59" s="6">
        <f t="shared" si="8"/>
        <v>91563.375</v>
      </c>
      <c r="J59" s="6">
        <f t="shared" si="9"/>
        <v>205000</v>
      </c>
    </row>
    <row r="60" spans="1:10" x14ac:dyDescent="0.25">
      <c r="A60">
        <f t="shared" si="0"/>
        <v>55</v>
      </c>
      <c r="B60" s="2">
        <f t="shared" ca="1" si="1"/>
        <v>43597</v>
      </c>
      <c r="C60" t="str">
        <f t="shared" ca="1" si="2"/>
        <v>maj</v>
      </c>
      <c r="D60" s="6">
        <f t="shared" si="3"/>
        <v>1608.9166666666667</v>
      </c>
      <c r="E60" s="6">
        <f t="shared" si="4"/>
        <v>775.58333333333337</v>
      </c>
      <c r="F60" s="6">
        <f t="shared" si="5"/>
        <v>833.33333333333337</v>
      </c>
      <c r="G60" s="6">
        <f t="shared" si="6"/>
        <v>47338.958333333336</v>
      </c>
      <c r="H60" s="6">
        <f t="shared" si="7"/>
        <v>45833.33333333335</v>
      </c>
      <c r="I60" s="6">
        <f t="shared" si="8"/>
        <v>93172.291666666672</v>
      </c>
      <c r="J60" s="6">
        <f t="shared" si="9"/>
        <v>204166.66666666666</v>
      </c>
    </row>
    <row r="61" spans="1:10" x14ac:dyDescent="0.25">
      <c r="A61">
        <f t="shared" si="0"/>
        <v>56</v>
      </c>
      <c r="B61" s="2">
        <f t="shared" ca="1" si="1"/>
        <v>43628</v>
      </c>
      <c r="C61" t="str">
        <f t="shared" ca="1" si="2"/>
        <v>czerwiec</v>
      </c>
      <c r="D61" s="6">
        <f t="shared" si="3"/>
        <v>1605.7638888888889</v>
      </c>
      <c r="E61" s="6">
        <f t="shared" si="4"/>
        <v>772.43055555555554</v>
      </c>
      <c r="F61" s="6">
        <f t="shared" si="5"/>
        <v>833.33333333333337</v>
      </c>
      <c r="G61" s="6">
        <f t="shared" si="6"/>
        <v>48111.388888888891</v>
      </c>
      <c r="H61" s="6">
        <f t="shared" si="7"/>
        <v>46666.666666666686</v>
      </c>
      <c r="I61" s="6">
        <f t="shared" si="8"/>
        <v>94778.055555555562</v>
      </c>
      <c r="J61" s="6">
        <f t="shared" si="9"/>
        <v>203333.33333333331</v>
      </c>
    </row>
    <row r="62" spans="1:10" x14ac:dyDescent="0.25">
      <c r="A62">
        <f t="shared" si="0"/>
        <v>57</v>
      </c>
      <c r="B62" s="2">
        <f t="shared" ca="1" si="1"/>
        <v>43658</v>
      </c>
      <c r="C62" t="str">
        <f t="shared" ca="1" si="2"/>
        <v>lipiec</v>
      </c>
      <c r="D62" s="6">
        <f t="shared" si="3"/>
        <v>1602.6111111111113</v>
      </c>
      <c r="E62" s="6">
        <f t="shared" si="4"/>
        <v>769.27777777777783</v>
      </c>
      <c r="F62" s="6">
        <f t="shared" si="5"/>
        <v>833.33333333333337</v>
      </c>
      <c r="G62" s="6">
        <f t="shared" si="6"/>
        <v>48880.666666666672</v>
      </c>
      <c r="H62" s="6">
        <f t="shared" si="7"/>
        <v>47500.000000000022</v>
      </c>
      <c r="I62" s="6">
        <f t="shared" si="8"/>
        <v>96380.666666666672</v>
      </c>
      <c r="J62" s="6">
        <f t="shared" si="9"/>
        <v>202499.99999999997</v>
      </c>
    </row>
    <row r="63" spans="1:10" x14ac:dyDescent="0.25">
      <c r="A63">
        <f t="shared" si="0"/>
        <v>58</v>
      </c>
      <c r="B63" s="2">
        <f t="shared" ca="1" si="1"/>
        <v>43689</v>
      </c>
      <c r="C63" t="str">
        <f t="shared" ca="1" si="2"/>
        <v>sierpień</v>
      </c>
      <c r="D63" s="6">
        <f t="shared" si="3"/>
        <v>1599.4583333333335</v>
      </c>
      <c r="E63" s="6">
        <f t="shared" si="4"/>
        <v>766.125</v>
      </c>
      <c r="F63" s="6">
        <f t="shared" si="5"/>
        <v>833.33333333333337</v>
      </c>
      <c r="G63" s="6">
        <f t="shared" si="6"/>
        <v>49646.791666666672</v>
      </c>
      <c r="H63" s="6">
        <f t="shared" si="7"/>
        <v>48333.333333333358</v>
      </c>
      <c r="I63" s="6">
        <f t="shared" si="8"/>
        <v>97980.125</v>
      </c>
      <c r="J63" s="6">
        <f t="shared" si="9"/>
        <v>201666.66666666663</v>
      </c>
    </row>
    <row r="64" spans="1:10" x14ac:dyDescent="0.25">
      <c r="A64">
        <f t="shared" si="0"/>
        <v>59</v>
      </c>
      <c r="B64" s="2">
        <f t="shared" ca="1" si="1"/>
        <v>43720</v>
      </c>
      <c r="C64" t="str">
        <f t="shared" ca="1" si="2"/>
        <v>wrzesień</v>
      </c>
      <c r="D64" s="6">
        <f t="shared" si="3"/>
        <v>1596.3055555555557</v>
      </c>
      <c r="E64" s="6">
        <f t="shared" si="4"/>
        <v>762.97222222222217</v>
      </c>
      <c r="F64" s="6">
        <f t="shared" si="5"/>
        <v>833.33333333333337</v>
      </c>
      <c r="G64" s="6">
        <f t="shared" si="6"/>
        <v>50409.763888888891</v>
      </c>
      <c r="H64" s="6">
        <f t="shared" si="7"/>
        <v>49166.666666666693</v>
      </c>
      <c r="I64" s="6">
        <f t="shared" si="8"/>
        <v>99576.430555555562</v>
      </c>
      <c r="J64" s="6">
        <f t="shared" si="9"/>
        <v>200833.33333333331</v>
      </c>
    </row>
    <row r="65" spans="1:10" x14ac:dyDescent="0.25">
      <c r="A65">
        <f t="shared" si="0"/>
        <v>60</v>
      </c>
      <c r="B65" s="2">
        <f t="shared" ca="1" si="1"/>
        <v>43750</v>
      </c>
      <c r="C65" t="str">
        <f t="shared" ca="1" si="2"/>
        <v>październik</v>
      </c>
      <c r="D65" s="6">
        <f t="shared" si="3"/>
        <v>1593.1527777777778</v>
      </c>
      <c r="E65" s="6">
        <f t="shared" si="4"/>
        <v>759.81944444444434</v>
      </c>
      <c r="F65" s="6">
        <f t="shared" si="5"/>
        <v>833.33333333333337</v>
      </c>
      <c r="G65" s="6">
        <f t="shared" si="6"/>
        <v>51169.583333333336</v>
      </c>
      <c r="H65" s="6">
        <f t="shared" si="7"/>
        <v>50000.000000000029</v>
      </c>
      <c r="I65" s="6">
        <f t="shared" si="8"/>
        <v>101169.58333333334</v>
      </c>
      <c r="J65" s="6">
        <f t="shared" si="9"/>
        <v>199999.99999999997</v>
      </c>
    </row>
    <row r="66" spans="1:10" x14ac:dyDescent="0.25">
      <c r="A66">
        <f t="shared" si="0"/>
        <v>61</v>
      </c>
      <c r="B66" s="2">
        <f t="shared" ca="1" si="1"/>
        <v>43781</v>
      </c>
      <c r="C66" t="str">
        <f t="shared" ca="1" si="2"/>
        <v>listopad</v>
      </c>
      <c r="D66" s="6">
        <f t="shared" si="3"/>
        <v>1590</v>
      </c>
      <c r="E66" s="6">
        <f t="shared" si="4"/>
        <v>756.66666666666663</v>
      </c>
      <c r="F66" s="6">
        <f t="shared" si="5"/>
        <v>833.33333333333337</v>
      </c>
      <c r="G66" s="6">
        <f t="shared" si="6"/>
        <v>51926.25</v>
      </c>
      <c r="H66" s="6">
        <f t="shared" si="7"/>
        <v>50833.333333333365</v>
      </c>
      <c r="I66" s="6">
        <f t="shared" si="8"/>
        <v>102759.58333333334</v>
      </c>
      <c r="J66" s="6">
        <f t="shared" si="9"/>
        <v>199166.66666666663</v>
      </c>
    </row>
    <row r="67" spans="1:10" x14ac:dyDescent="0.25">
      <c r="A67">
        <f t="shared" si="0"/>
        <v>62</v>
      </c>
      <c r="B67" s="2">
        <f t="shared" ca="1" si="1"/>
        <v>43811</v>
      </c>
      <c r="C67" t="str">
        <f t="shared" ca="1" si="2"/>
        <v>grudzień</v>
      </c>
      <c r="D67" s="6">
        <f t="shared" si="3"/>
        <v>1586.8472222222222</v>
      </c>
      <c r="E67" s="6">
        <f t="shared" si="4"/>
        <v>753.5138888888888</v>
      </c>
      <c r="F67" s="6">
        <f t="shared" si="5"/>
        <v>833.33333333333337</v>
      </c>
      <c r="G67" s="6">
        <f t="shared" si="6"/>
        <v>52679.763888888891</v>
      </c>
      <c r="H67" s="6">
        <f t="shared" si="7"/>
        <v>51666.666666666701</v>
      </c>
      <c r="I67" s="6">
        <f t="shared" si="8"/>
        <v>104346.43055555556</v>
      </c>
      <c r="J67" s="6">
        <f t="shared" si="9"/>
        <v>198333.33333333331</v>
      </c>
    </row>
    <row r="68" spans="1:10" x14ac:dyDescent="0.25">
      <c r="A68">
        <f t="shared" si="0"/>
        <v>63</v>
      </c>
      <c r="B68" s="2">
        <f t="shared" ca="1" si="1"/>
        <v>43842</v>
      </c>
      <c r="C68" t="str">
        <f t="shared" ca="1" si="2"/>
        <v>styczeń</v>
      </c>
      <c r="D68" s="6">
        <f t="shared" si="3"/>
        <v>1583.6944444444443</v>
      </c>
      <c r="E68" s="6">
        <f t="shared" si="4"/>
        <v>750.36111111111097</v>
      </c>
      <c r="F68" s="6">
        <f t="shared" si="5"/>
        <v>833.33333333333337</v>
      </c>
      <c r="G68" s="6">
        <f t="shared" si="6"/>
        <v>53430.125</v>
      </c>
      <c r="H68" s="6">
        <f t="shared" si="7"/>
        <v>52500.000000000036</v>
      </c>
      <c r="I68" s="6">
        <f t="shared" si="8"/>
        <v>105930.125</v>
      </c>
      <c r="J68" s="6">
        <f t="shared" si="9"/>
        <v>197499.99999999997</v>
      </c>
    </row>
    <row r="69" spans="1:10" x14ac:dyDescent="0.25">
      <c r="A69">
        <f t="shared" si="0"/>
        <v>64</v>
      </c>
      <c r="B69" s="2">
        <f t="shared" ca="1" si="1"/>
        <v>43873</v>
      </c>
      <c r="C69" t="str">
        <f t="shared" ca="1" si="2"/>
        <v>luty</v>
      </c>
      <c r="D69" s="6">
        <f t="shared" si="3"/>
        <v>1580.5416666666667</v>
      </c>
      <c r="E69" s="6">
        <f t="shared" si="4"/>
        <v>747.20833333333337</v>
      </c>
      <c r="F69" s="6">
        <f t="shared" si="5"/>
        <v>833.33333333333337</v>
      </c>
      <c r="G69" s="6">
        <f t="shared" si="6"/>
        <v>54177.333333333336</v>
      </c>
      <c r="H69" s="6">
        <f t="shared" si="7"/>
        <v>53333.333333333372</v>
      </c>
      <c r="I69" s="6">
        <f t="shared" si="8"/>
        <v>107510.66666666667</v>
      </c>
      <c r="J69" s="6">
        <f t="shared" si="9"/>
        <v>196666.66666666663</v>
      </c>
    </row>
    <row r="70" spans="1:10" x14ac:dyDescent="0.25">
      <c r="A70">
        <f t="shared" si="0"/>
        <v>65</v>
      </c>
      <c r="B70" s="2">
        <f t="shared" ca="1" si="1"/>
        <v>43902</v>
      </c>
      <c r="C70" t="str">
        <f t="shared" ca="1" si="2"/>
        <v>marzec</v>
      </c>
      <c r="D70" s="6">
        <f t="shared" si="3"/>
        <v>1577.3888888888889</v>
      </c>
      <c r="E70" s="6">
        <f t="shared" si="4"/>
        <v>744.05555555555554</v>
      </c>
      <c r="F70" s="6">
        <f t="shared" si="5"/>
        <v>833.33333333333337</v>
      </c>
      <c r="G70" s="6">
        <f t="shared" si="6"/>
        <v>54921.388888888891</v>
      </c>
      <c r="H70" s="6">
        <f t="shared" si="7"/>
        <v>54166.666666666708</v>
      </c>
      <c r="I70" s="6">
        <f t="shared" si="8"/>
        <v>109088.05555555556</v>
      </c>
      <c r="J70" s="6">
        <f t="shared" si="9"/>
        <v>195833.33333333328</v>
      </c>
    </row>
    <row r="71" spans="1:10" x14ac:dyDescent="0.25">
      <c r="A71">
        <f t="shared" ref="A71:A134" si="10">IF($B$2&gt;A70,A70+1,"")</f>
        <v>66</v>
      </c>
      <c r="B71" s="2">
        <f t="shared" ref="B71:B134" ca="1" si="11">IF(A71&lt;&gt;"",DATE(YEAR(B70),MONTH(B70)+1,DAY(B70)),"")</f>
        <v>43933</v>
      </c>
      <c r="C71" t="str">
        <f t="shared" ref="C71:C134" ca="1" si="12">TEXT(B71,"mmmm")</f>
        <v>kwiecień</v>
      </c>
      <c r="D71" s="6">
        <f t="shared" ref="D71:D134" si="13">IF(A71&lt;&gt;"",E71+F71,"")</f>
        <v>1574.2361111111111</v>
      </c>
      <c r="E71" s="6">
        <f t="shared" ref="E71:E134" si="14">IF(A71&lt;&gt;"",J70*$B$3/12,"")</f>
        <v>740.90277777777771</v>
      </c>
      <c r="F71" s="6">
        <f t="shared" ref="F71:F134" si="15">IF(A71&lt;&gt;"",$B$1/ ($B$2),"")</f>
        <v>833.33333333333337</v>
      </c>
      <c r="G71" s="6">
        <f t="shared" ref="G71:G134" si="16">IF(A71&lt;&gt;"",E71+G70,"")</f>
        <v>55662.291666666672</v>
      </c>
      <c r="H71" s="6">
        <f t="shared" ref="H71:H134" si="17">IF(A71&lt;&gt;"",F71+H70,"")</f>
        <v>55000.000000000044</v>
      </c>
      <c r="I71" s="6">
        <f t="shared" ref="I71:I134" si="18">IF(A71&lt;&gt;"",I70+D71,"")</f>
        <v>110662.29166666667</v>
      </c>
      <c r="J71" s="6">
        <f t="shared" ref="J71:J134" si="19">IF(A71&lt;&gt;"",$B$1-H71,"")</f>
        <v>194999.99999999994</v>
      </c>
    </row>
    <row r="72" spans="1:10" x14ac:dyDescent="0.25">
      <c r="A72">
        <f t="shared" si="10"/>
        <v>67</v>
      </c>
      <c r="B72" s="2">
        <f t="shared" ca="1" si="11"/>
        <v>43963</v>
      </c>
      <c r="C72" t="str">
        <f t="shared" ca="1" si="12"/>
        <v>maj</v>
      </c>
      <c r="D72" s="6">
        <f t="shared" si="13"/>
        <v>1571.0833333333333</v>
      </c>
      <c r="E72" s="6">
        <f t="shared" si="14"/>
        <v>737.74999999999989</v>
      </c>
      <c r="F72" s="6">
        <f t="shared" si="15"/>
        <v>833.33333333333337</v>
      </c>
      <c r="G72" s="6">
        <f t="shared" si="16"/>
        <v>56400.041666666672</v>
      </c>
      <c r="H72" s="6">
        <f t="shared" si="17"/>
        <v>55833.333333333379</v>
      </c>
      <c r="I72" s="6">
        <f t="shared" si="18"/>
        <v>112233.375</v>
      </c>
      <c r="J72" s="6">
        <f t="shared" si="19"/>
        <v>194166.66666666663</v>
      </c>
    </row>
    <row r="73" spans="1:10" x14ac:dyDescent="0.25">
      <c r="A73">
        <f t="shared" si="10"/>
        <v>68</v>
      </c>
      <c r="B73" s="2">
        <f t="shared" ca="1" si="11"/>
        <v>43994</v>
      </c>
      <c r="C73" t="str">
        <f t="shared" ca="1" si="12"/>
        <v>czerwiec</v>
      </c>
      <c r="D73" s="6">
        <f t="shared" si="13"/>
        <v>1567.9305555555557</v>
      </c>
      <c r="E73" s="6">
        <f t="shared" si="14"/>
        <v>734.59722222222217</v>
      </c>
      <c r="F73" s="6">
        <f t="shared" si="15"/>
        <v>833.33333333333337</v>
      </c>
      <c r="G73" s="6">
        <f t="shared" si="16"/>
        <v>57134.638888888891</v>
      </c>
      <c r="H73" s="6">
        <f t="shared" si="17"/>
        <v>56666.666666666715</v>
      </c>
      <c r="I73" s="6">
        <f t="shared" si="18"/>
        <v>113801.30555555556</v>
      </c>
      <c r="J73" s="6">
        <f t="shared" si="19"/>
        <v>193333.33333333328</v>
      </c>
    </row>
    <row r="74" spans="1:10" x14ac:dyDescent="0.25">
      <c r="A74">
        <f t="shared" si="10"/>
        <v>69</v>
      </c>
      <c r="B74" s="2">
        <f t="shared" ca="1" si="11"/>
        <v>44024</v>
      </c>
      <c r="C74" t="str">
        <f t="shared" ca="1" si="12"/>
        <v>lipiec</v>
      </c>
      <c r="D74" s="6">
        <f t="shared" si="13"/>
        <v>1564.7777777777778</v>
      </c>
      <c r="E74" s="6">
        <f t="shared" si="14"/>
        <v>731.44444444444434</v>
      </c>
      <c r="F74" s="6">
        <f t="shared" si="15"/>
        <v>833.33333333333337</v>
      </c>
      <c r="G74" s="6">
        <f t="shared" si="16"/>
        <v>57866.083333333336</v>
      </c>
      <c r="H74" s="6">
        <f t="shared" si="17"/>
        <v>57500.000000000051</v>
      </c>
      <c r="I74" s="6">
        <f t="shared" si="18"/>
        <v>115366.08333333334</v>
      </c>
      <c r="J74" s="6">
        <f t="shared" si="19"/>
        <v>192499.99999999994</v>
      </c>
    </row>
    <row r="75" spans="1:10" x14ac:dyDescent="0.25">
      <c r="A75">
        <f t="shared" si="10"/>
        <v>70</v>
      </c>
      <c r="B75" s="2">
        <f t="shared" ca="1" si="11"/>
        <v>44055</v>
      </c>
      <c r="C75" t="str">
        <f t="shared" ca="1" si="12"/>
        <v>sierpień</v>
      </c>
      <c r="D75" s="6">
        <f t="shared" si="13"/>
        <v>1561.625</v>
      </c>
      <c r="E75" s="6">
        <f t="shared" si="14"/>
        <v>728.29166666666652</v>
      </c>
      <c r="F75" s="6">
        <f t="shared" si="15"/>
        <v>833.33333333333337</v>
      </c>
      <c r="G75" s="6">
        <f t="shared" si="16"/>
        <v>58594.375</v>
      </c>
      <c r="H75" s="6">
        <f t="shared" si="17"/>
        <v>58333.333333333387</v>
      </c>
      <c r="I75" s="6">
        <f t="shared" si="18"/>
        <v>116927.70833333334</v>
      </c>
      <c r="J75" s="6">
        <f t="shared" si="19"/>
        <v>191666.66666666663</v>
      </c>
    </row>
    <row r="76" spans="1:10" x14ac:dyDescent="0.25">
      <c r="A76">
        <f t="shared" si="10"/>
        <v>71</v>
      </c>
      <c r="B76" s="2">
        <f t="shared" ca="1" si="11"/>
        <v>44086</v>
      </c>
      <c r="C76" t="str">
        <f t="shared" ca="1" si="12"/>
        <v>wrzesień</v>
      </c>
      <c r="D76" s="6">
        <f t="shared" si="13"/>
        <v>1558.4722222222222</v>
      </c>
      <c r="E76" s="6">
        <f t="shared" si="14"/>
        <v>725.1388888888888</v>
      </c>
      <c r="F76" s="6">
        <f t="shared" si="15"/>
        <v>833.33333333333337</v>
      </c>
      <c r="G76" s="6">
        <f t="shared" si="16"/>
        <v>59319.513888888891</v>
      </c>
      <c r="H76" s="6">
        <f t="shared" si="17"/>
        <v>59166.666666666722</v>
      </c>
      <c r="I76" s="6">
        <f t="shared" si="18"/>
        <v>118486.18055555556</v>
      </c>
      <c r="J76" s="6">
        <f t="shared" si="19"/>
        <v>190833.33333333328</v>
      </c>
    </row>
    <row r="77" spans="1:10" x14ac:dyDescent="0.25">
      <c r="A77">
        <f t="shared" si="10"/>
        <v>72</v>
      </c>
      <c r="B77" s="2">
        <f t="shared" ca="1" si="11"/>
        <v>44116</v>
      </c>
      <c r="C77" t="str">
        <f t="shared" ca="1" si="12"/>
        <v>październik</v>
      </c>
      <c r="D77" s="6">
        <f t="shared" si="13"/>
        <v>1555.3194444444443</v>
      </c>
      <c r="E77" s="6">
        <f t="shared" si="14"/>
        <v>721.98611111111097</v>
      </c>
      <c r="F77" s="6">
        <f t="shared" si="15"/>
        <v>833.33333333333337</v>
      </c>
      <c r="G77" s="6">
        <f t="shared" si="16"/>
        <v>60041.5</v>
      </c>
      <c r="H77" s="6">
        <f t="shared" si="17"/>
        <v>60000.000000000058</v>
      </c>
      <c r="I77" s="6">
        <f t="shared" si="18"/>
        <v>120041.5</v>
      </c>
      <c r="J77" s="6">
        <f t="shared" si="19"/>
        <v>189999.99999999994</v>
      </c>
    </row>
    <row r="78" spans="1:10" x14ac:dyDescent="0.25">
      <c r="A78">
        <f t="shared" si="10"/>
        <v>73</v>
      </c>
      <c r="B78" s="2">
        <f t="shared" ca="1" si="11"/>
        <v>44147</v>
      </c>
      <c r="C78" t="str">
        <f t="shared" ca="1" si="12"/>
        <v>listopad</v>
      </c>
      <c r="D78" s="6">
        <f t="shared" si="13"/>
        <v>1552.1666666666665</v>
      </c>
      <c r="E78" s="6">
        <f t="shared" si="14"/>
        <v>718.83333333333314</v>
      </c>
      <c r="F78" s="6">
        <f t="shared" si="15"/>
        <v>833.33333333333337</v>
      </c>
      <c r="G78" s="6">
        <f t="shared" si="16"/>
        <v>60760.333333333336</v>
      </c>
      <c r="H78" s="6">
        <f t="shared" si="17"/>
        <v>60833.333333333394</v>
      </c>
      <c r="I78" s="6">
        <f t="shared" si="18"/>
        <v>121593.66666666667</v>
      </c>
      <c r="J78" s="6">
        <f t="shared" si="19"/>
        <v>189166.6666666666</v>
      </c>
    </row>
    <row r="79" spans="1:10" x14ac:dyDescent="0.25">
      <c r="A79">
        <f t="shared" si="10"/>
        <v>74</v>
      </c>
      <c r="B79" s="2">
        <f t="shared" ca="1" si="11"/>
        <v>44177</v>
      </c>
      <c r="C79" t="str">
        <f t="shared" ca="1" si="12"/>
        <v>grudzień</v>
      </c>
      <c r="D79" s="6">
        <f t="shared" si="13"/>
        <v>1549.0138888888887</v>
      </c>
      <c r="E79" s="6">
        <f t="shared" si="14"/>
        <v>715.68055555555532</v>
      </c>
      <c r="F79" s="6">
        <f t="shared" si="15"/>
        <v>833.33333333333337</v>
      </c>
      <c r="G79" s="6">
        <f t="shared" si="16"/>
        <v>61476.013888888891</v>
      </c>
      <c r="H79" s="6">
        <f t="shared" si="17"/>
        <v>61666.66666666673</v>
      </c>
      <c r="I79" s="6">
        <f t="shared" si="18"/>
        <v>123142.68055555556</v>
      </c>
      <c r="J79" s="6">
        <f t="shared" si="19"/>
        <v>188333.33333333326</v>
      </c>
    </row>
    <row r="80" spans="1:10" x14ac:dyDescent="0.25">
      <c r="A80">
        <f t="shared" si="10"/>
        <v>75</v>
      </c>
      <c r="B80" s="2">
        <f t="shared" ca="1" si="11"/>
        <v>44208</v>
      </c>
      <c r="C80" t="str">
        <f t="shared" ca="1" si="12"/>
        <v>styczeń</v>
      </c>
      <c r="D80" s="6">
        <f t="shared" si="13"/>
        <v>1545.8611111111109</v>
      </c>
      <c r="E80" s="6">
        <f t="shared" si="14"/>
        <v>712.52777777777749</v>
      </c>
      <c r="F80" s="6">
        <f t="shared" si="15"/>
        <v>833.33333333333337</v>
      </c>
      <c r="G80" s="6">
        <f t="shared" si="16"/>
        <v>62188.541666666672</v>
      </c>
      <c r="H80" s="6">
        <f t="shared" si="17"/>
        <v>62500.000000000065</v>
      </c>
      <c r="I80" s="6">
        <f t="shared" si="18"/>
        <v>124688.54166666667</v>
      </c>
      <c r="J80" s="6">
        <f t="shared" si="19"/>
        <v>187499.99999999994</v>
      </c>
    </row>
    <row r="81" spans="1:10" x14ac:dyDescent="0.25">
      <c r="A81">
        <f t="shared" si="10"/>
        <v>76</v>
      </c>
      <c r="B81" s="2">
        <f t="shared" ca="1" si="11"/>
        <v>44239</v>
      </c>
      <c r="C81" t="str">
        <f t="shared" ca="1" si="12"/>
        <v>luty</v>
      </c>
      <c r="D81" s="6">
        <f t="shared" si="13"/>
        <v>1542.7083333333333</v>
      </c>
      <c r="E81" s="6">
        <f t="shared" si="14"/>
        <v>709.37499999999989</v>
      </c>
      <c r="F81" s="6">
        <f t="shared" si="15"/>
        <v>833.33333333333337</v>
      </c>
      <c r="G81" s="6">
        <f t="shared" si="16"/>
        <v>62897.916666666672</v>
      </c>
      <c r="H81" s="6">
        <f t="shared" si="17"/>
        <v>63333.333333333401</v>
      </c>
      <c r="I81" s="6">
        <f t="shared" si="18"/>
        <v>126231.25</v>
      </c>
      <c r="J81" s="6">
        <f t="shared" si="19"/>
        <v>186666.6666666666</v>
      </c>
    </row>
    <row r="82" spans="1:10" x14ac:dyDescent="0.25">
      <c r="A82">
        <f t="shared" si="10"/>
        <v>77</v>
      </c>
      <c r="B82" s="2">
        <f t="shared" ca="1" si="11"/>
        <v>44267</v>
      </c>
      <c r="C82" t="str">
        <f t="shared" ca="1" si="12"/>
        <v>marzec</v>
      </c>
      <c r="D82" s="6">
        <f t="shared" si="13"/>
        <v>1539.5555555555554</v>
      </c>
      <c r="E82" s="6">
        <f t="shared" si="14"/>
        <v>706.22222222222206</v>
      </c>
      <c r="F82" s="6">
        <f t="shared" si="15"/>
        <v>833.33333333333337</v>
      </c>
      <c r="G82" s="6">
        <f t="shared" si="16"/>
        <v>63604.138888888891</v>
      </c>
      <c r="H82" s="6">
        <f t="shared" si="17"/>
        <v>64166.666666666737</v>
      </c>
      <c r="I82" s="6">
        <f t="shared" si="18"/>
        <v>127770.80555555556</v>
      </c>
      <c r="J82" s="6">
        <f t="shared" si="19"/>
        <v>185833.33333333326</v>
      </c>
    </row>
    <row r="83" spans="1:10" x14ac:dyDescent="0.25">
      <c r="A83">
        <f t="shared" si="10"/>
        <v>78</v>
      </c>
      <c r="B83" s="2">
        <f t="shared" ca="1" si="11"/>
        <v>44298</v>
      </c>
      <c r="C83" t="str">
        <f t="shared" ca="1" si="12"/>
        <v>kwiecień</v>
      </c>
      <c r="D83" s="6">
        <f t="shared" si="13"/>
        <v>1536.4027777777776</v>
      </c>
      <c r="E83" s="6">
        <f t="shared" si="14"/>
        <v>703.06944444444423</v>
      </c>
      <c r="F83" s="6">
        <f t="shared" si="15"/>
        <v>833.33333333333337</v>
      </c>
      <c r="G83" s="6">
        <f t="shared" si="16"/>
        <v>64307.208333333336</v>
      </c>
      <c r="H83" s="6">
        <f t="shared" si="17"/>
        <v>65000.000000000073</v>
      </c>
      <c r="I83" s="6">
        <f t="shared" si="18"/>
        <v>129307.20833333334</v>
      </c>
      <c r="J83" s="6">
        <f t="shared" si="19"/>
        <v>184999.99999999994</v>
      </c>
    </row>
    <row r="84" spans="1:10" x14ac:dyDescent="0.25">
      <c r="A84">
        <f t="shared" si="10"/>
        <v>79</v>
      </c>
      <c r="B84" s="2">
        <f t="shared" ca="1" si="11"/>
        <v>44328</v>
      </c>
      <c r="C84" t="str">
        <f t="shared" ca="1" si="12"/>
        <v>maj</v>
      </c>
      <c r="D84" s="6">
        <f t="shared" si="13"/>
        <v>1533.25</v>
      </c>
      <c r="E84" s="6">
        <f t="shared" si="14"/>
        <v>699.91666666666652</v>
      </c>
      <c r="F84" s="6">
        <f t="shared" si="15"/>
        <v>833.33333333333337</v>
      </c>
      <c r="G84" s="6">
        <f t="shared" si="16"/>
        <v>65007.125</v>
      </c>
      <c r="H84" s="6">
        <f t="shared" si="17"/>
        <v>65833.333333333401</v>
      </c>
      <c r="I84" s="6">
        <f t="shared" si="18"/>
        <v>130840.45833333334</v>
      </c>
      <c r="J84" s="6">
        <f t="shared" si="19"/>
        <v>184166.6666666666</v>
      </c>
    </row>
    <row r="85" spans="1:10" x14ac:dyDescent="0.25">
      <c r="A85">
        <f t="shared" si="10"/>
        <v>80</v>
      </c>
      <c r="B85" s="2">
        <f t="shared" ca="1" si="11"/>
        <v>44359</v>
      </c>
      <c r="C85" t="str">
        <f t="shared" ca="1" si="12"/>
        <v>czerwiec</v>
      </c>
      <c r="D85" s="6">
        <f t="shared" si="13"/>
        <v>1530.0972222222222</v>
      </c>
      <c r="E85" s="6">
        <f t="shared" si="14"/>
        <v>696.76388888888869</v>
      </c>
      <c r="F85" s="6">
        <f t="shared" si="15"/>
        <v>833.33333333333337</v>
      </c>
      <c r="G85" s="6">
        <f t="shared" si="16"/>
        <v>65703.888888888891</v>
      </c>
      <c r="H85" s="6">
        <f t="shared" si="17"/>
        <v>66666.66666666673</v>
      </c>
      <c r="I85" s="6">
        <f t="shared" si="18"/>
        <v>132370.55555555556</v>
      </c>
      <c r="J85" s="6">
        <f t="shared" si="19"/>
        <v>183333.33333333326</v>
      </c>
    </row>
    <row r="86" spans="1:10" x14ac:dyDescent="0.25">
      <c r="A86">
        <f t="shared" si="10"/>
        <v>81</v>
      </c>
      <c r="B86" s="2">
        <f t="shared" ca="1" si="11"/>
        <v>44389</v>
      </c>
      <c r="C86" t="str">
        <f t="shared" ca="1" si="12"/>
        <v>lipiec</v>
      </c>
      <c r="D86" s="6">
        <f t="shared" si="13"/>
        <v>1526.9444444444443</v>
      </c>
      <c r="E86" s="6">
        <f t="shared" si="14"/>
        <v>693.61111111111086</v>
      </c>
      <c r="F86" s="6">
        <f t="shared" si="15"/>
        <v>833.33333333333337</v>
      </c>
      <c r="G86" s="6">
        <f t="shared" si="16"/>
        <v>66397.5</v>
      </c>
      <c r="H86" s="6">
        <f t="shared" si="17"/>
        <v>67500.000000000058</v>
      </c>
      <c r="I86" s="6">
        <f t="shared" si="18"/>
        <v>133897.5</v>
      </c>
      <c r="J86" s="6">
        <f t="shared" si="19"/>
        <v>182499.99999999994</v>
      </c>
    </row>
    <row r="87" spans="1:10" x14ac:dyDescent="0.25">
      <c r="A87">
        <f t="shared" si="10"/>
        <v>82</v>
      </c>
      <c r="B87" s="2">
        <f t="shared" ca="1" si="11"/>
        <v>44420</v>
      </c>
      <c r="C87" t="str">
        <f t="shared" ca="1" si="12"/>
        <v>sierpień</v>
      </c>
      <c r="D87" s="6">
        <f t="shared" si="13"/>
        <v>1523.7916666666665</v>
      </c>
      <c r="E87" s="6">
        <f t="shared" si="14"/>
        <v>690.45833333333314</v>
      </c>
      <c r="F87" s="6">
        <f t="shared" si="15"/>
        <v>833.33333333333337</v>
      </c>
      <c r="G87" s="6">
        <f t="shared" si="16"/>
        <v>67087.958333333328</v>
      </c>
      <c r="H87" s="6">
        <f t="shared" si="17"/>
        <v>68333.333333333387</v>
      </c>
      <c r="I87" s="6">
        <f t="shared" si="18"/>
        <v>135421.29166666666</v>
      </c>
      <c r="J87" s="6">
        <f t="shared" si="19"/>
        <v>181666.66666666663</v>
      </c>
    </row>
    <row r="88" spans="1:10" x14ac:dyDescent="0.25">
      <c r="A88">
        <f t="shared" si="10"/>
        <v>83</v>
      </c>
      <c r="B88" s="2">
        <f t="shared" ca="1" si="11"/>
        <v>44451</v>
      </c>
      <c r="C88" t="str">
        <f t="shared" ca="1" si="12"/>
        <v>wrzesień</v>
      </c>
      <c r="D88" s="6">
        <f t="shared" si="13"/>
        <v>1520.6388888888889</v>
      </c>
      <c r="E88" s="6">
        <f t="shared" si="14"/>
        <v>687.30555555555554</v>
      </c>
      <c r="F88" s="6">
        <f t="shared" si="15"/>
        <v>833.33333333333337</v>
      </c>
      <c r="G88" s="6">
        <f t="shared" si="16"/>
        <v>67775.263888888891</v>
      </c>
      <c r="H88" s="6">
        <f t="shared" si="17"/>
        <v>69166.666666666715</v>
      </c>
      <c r="I88" s="6">
        <f t="shared" si="18"/>
        <v>136941.93055555553</v>
      </c>
      <c r="J88" s="6">
        <f t="shared" si="19"/>
        <v>180833.33333333328</v>
      </c>
    </row>
    <row r="89" spans="1:10" x14ac:dyDescent="0.25">
      <c r="A89">
        <f t="shared" si="10"/>
        <v>84</v>
      </c>
      <c r="B89" s="2">
        <f t="shared" ca="1" si="11"/>
        <v>44481</v>
      </c>
      <c r="C89" t="str">
        <f t="shared" ca="1" si="12"/>
        <v>październik</v>
      </c>
      <c r="D89" s="6">
        <f t="shared" si="13"/>
        <v>1517.4861111111111</v>
      </c>
      <c r="E89" s="6">
        <f t="shared" si="14"/>
        <v>684.15277777777771</v>
      </c>
      <c r="F89" s="6">
        <f t="shared" si="15"/>
        <v>833.33333333333337</v>
      </c>
      <c r="G89" s="6">
        <f t="shared" si="16"/>
        <v>68459.416666666672</v>
      </c>
      <c r="H89" s="6">
        <f t="shared" si="17"/>
        <v>70000.000000000044</v>
      </c>
      <c r="I89" s="6">
        <f t="shared" si="18"/>
        <v>138459.41666666666</v>
      </c>
      <c r="J89" s="6">
        <f t="shared" si="19"/>
        <v>179999.99999999994</v>
      </c>
    </row>
    <row r="90" spans="1:10" x14ac:dyDescent="0.25">
      <c r="A90">
        <f t="shared" si="10"/>
        <v>85</v>
      </c>
      <c r="B90" s="2">
        <f t="shared" ca="1" si="11"/>
        <v>44512</v>
      </c>
      <c r="C90" t="str">
        <f t="shared" ca="1" si="12"/>
        <v>listopad</v>
      </c>
      <c r="D90" s="6">
        <f t="shared" si="13"/>
        <v>1514.3333333333333</v>
      </c>
      <c r="E90" s="6">
        <f t="shared" si="14"/>
        <v>680.99999999999989</v>
      </c>
      <c r="F90" s="6">
        <f t="shared" si="15"/>
        <v>833.33333333333337</v>
      </c>
      <c r="G90" s="6">
        <f t="shared" si="16"/>
        <v>69140.416666666672</v>
      </c>
      <c r="H90" s="6">
        <f t="shared" si="17"/>
        <v>70833.333333333372</v>
      </c>
      <c r="I90" s="6">
        <f t="shared" si="18"/>
        <v>139973.75</v>
      </c>
      <c r="J90" s="6">
        <f t="shared" si="19"/>
        <v>179166.66666666663</v>
      </c>
    </row>
    <row r="91" spans="1:10" x14ac:dyDescent="0.25">
      <c r="A91">
        <f t="shared" si="10"/>
        <v>86</v>
      </c>
      <c r="B91" s="2">
        <f t="shared" ca="1" si="11"/>
        <v>44542</v>
      </c>
      <c r="C91" t="str">
        <f t="shared" ca="1" si="12"/>
        <v>grudzień</v>
      </c>
      <c r="D91" s="6">
        <f t="shared" si="13"/>
        <v>1511.1805555555554</v>
      </c>
      <c r="E91" s="6">
        <f t="shared" si="14"/>
        <v>677.84722222222206</v>
      </c>
      <c r="F91" s="6">
        <f t="shared" si="15"/>
        <v>833.33333333333337</v>
      </c>
      <c r="G91" s="6">
        <f t="shared" si="16"/>
        <v>69818.263888888891</v>
      </c>
      <c r="H91" s="6">
        <f t="shared" si="17"/>
        <v>71666.666666666701</v>
      </c>
      <c r="I91" s="6">
        <f t="shared" si="18"/>
        <v>141484.93055555556</v>
      </c>
      <c r="J91" s="6">
        <f t="shared" si="19"/>
        <v>178333.33333333331</v>
      </c>
    </row>
    <row r="92" spans="1:10" x14ac:dyDescent="0.25">
      <c r="A92">
        <f t="shared" si="10"/>
        <v>87</v>
      </c>
      <c r="B92" s="2">
        <f t="shared" ca="1" si="11"/>
        <v>44573</v>
      </c>
      <c r="C92" t="str">
        <f t="shared" ca="1" si="12"/>
        <v>styczeń</v>
      </c>
      <c r="D92" s="6">
        <f t="shared" si="13"/>
        <v>1508.0277777777778</v>
      </c>
      <c r="E92" s="6">
        <f t="shared" si="14"/>
        <v>674.69444444444446</v>
      </c>
      <c r="F92" s="6">
        <f t="shared" si="15"/>
        <v>833.33333333333337</v>
      </c>
      <c r="G92" s="6">
        <f t="shared" si="16"/>
        <v>70492.958333333328</v>
      </c>
      <c r="H92" s="6">
        <f t="shared" si="17"/>
        <v>72500.000000000029</v>
      </c>
      <c r="I92" s="6">
        <f t="shared" si="18"/>
        <v>142992.95833333334</v>
      </c>
      <c r="J92" s="6">
        <f t="shared" si="19"/>
        <v>177499.99999999997</v>
      </c>
    </row>
    <row r="93" spans="1:10" x14ac:dyDescent="0.25">
      <c r="A93">
        <f t="shared" si="10"/>
        <v>88</v>
      </c>
      <c r="B93" s="2">
        <f t="shared" ca="1" si="11"/>
        <v>44604</v>
      </c>
      <c r="C93" t="str">
        <f t="shared" ca="1" si="12"/>
        <v>luty</v>
      </c>
      <c r="D93" s="6">
        <f t="shared" si="13"/>
        <v>1504.875</v>
      </c>
      <c r="E93" s="6">
        <f t="shared" si="14"/>
        <v>671.54166666666663</v>
      </c>
      <c r="F93" s="6">
        <f t="shared" si="15"/>
        <v>833.33333333333337</v>
      </c>
      <c r="G93" s="6">
        <f t="shared" si="16"/>
        <v>71164.5</v>
      </c>
      <c r="H93" s="6">
        <f t="shared" si="17"/>
        <v>73333.333333333358</v>
      </c>
      <c r="I93" s="6">
        <f t="shared" si="18"/>
        <v>144497.83333333334</v>
      </c>
      <c r="J93" s="6">
        <f t="shared" si="19"/>
        <v>176666.66666666663</v>
      </c>
    </row>
    <row r="94" spans="1:10" x14ac:dyDescent="0.25">
      <c r="A94">
        <f t="shared" si="10"/>
        <v>89</v>
      </c>
      <c r="B94" s="2">
        <f t="shared" ca="1" si="11"/>
        <v>44632</v>
      </c>
      <c r="C94" t="str">
        <f t="shared" ca="1" si="12"/>
        <v>marzec</v>
      </c>
      <c r="D94" s="6">
        <f t="shared" si="13"/>
        <v>1501.7222222222222</v>
      </c>
      <c r="E94" s="6">
        <f t="shared" si="14"/>
        <v>668.3888888888888</v>
      </c>
      <c r="F94" s="6">
        <f t="shared" si="15"/>
        <v>833.33333333333337</v>
      </c>
      <c r="G94" s="6">
        <f t="shared" si="16"/>
        <v>71832.888888888891</v>
      </c>
      <c r="H94" s="6">
        <f t="shared" si="17"/>
        <v>74166.666666666686</v>
      </c>
      <c r="I94" s="6">
        <f t="shared" si="18"/>
        <v>145999.55555555556</v>
      </c>
      <c r="J94" s="6">
        <f t="shared" si="19"/>
        <v>175833.33333333331</v>
      </c>
    </row>
    <row r="95" spans="1:10" x14ac:dyDescent="0.25">
      <c r="A95">
        <f t="shared" si="10"/>
        <v>90</v>
      </c>
      <c r="B95" s="2">
        <f t="shared" ca="1" si="11"/>
        <v>44663</v>
      </c>
      <c r="C95" t="str">
        <f t="shared" ca="1" si="12"/>
        <v>kwiecień</v>
      </c>
      <c r="D95" s="6">
        <f t="shared" si="13"/>
        <v>1498.5694444444443</v>
      </c>
      <c r="E95" s="6">
        <f t="shared" si="14"/>
        <v>665.23611111111109</v>
      </c>
      <c r="F95" s="6">
        <f t="shared" si="15"/>
        <v>833.33333333333337</v>
      </c>
      <c r="G95" s="6">
        <f t="shared" si="16"/>
        <v>72498.125</v>
      </c>
      <c r="H95" s="6">
        <f t="shared" si="17"/>
        <v>75000.000000000015</v>
      </c>
      <c r="I95" s="6">
        <f t="shared" si="18"/>
        <v>147498.125</v>
      </c>
      <c r="J95" s="6">
        <f t="shared" si="19"/>
        <v>175000</v>
      </c>
    </row>
    <row r="96" spans="1:10" x14ac:dyDescent="0.25">
      <c r="A96">
        <f t="shared" si="10"/>
        <v>91</v>
      </c>
      <c r="B96" s="2">
        <f t="shared" ca="1" si="11"/>
        <v>44693</v>
      </c>
      <c r="C96" t="str">
        <f t="shared" ca="1" si="12"/>
        <v>maj</v>
      </c>
      <c r="D96" s="6">
        <f t="shared" si="13"/>
        <v>1495.4166666666667</v>
      </c>
      <c r="E96" s="6">
        <f t="shared" si="14"/>
        <v>662.08333333333337</v>
      </c>
      <c r="F96" s="6">
        <f t="shared" si="15"/>
        <v>833.33333333333337</v>
      </c>
      <c r="G96" s="6">
        <f t="shared" si="16"/>
        <v>73160.208333333328</v>
      </c>
      <c r="H96" s="6">
        <f t="shared" si="17"/>
        <v>75833.333333333343</v>
      </c>
      <c r="I96" s="6">
        <f t="shared" si="18"/>
        <v>148993.54166666666</v>
      </c>
      <c r="J96" s="6">
        <f t="shared" si="19"/>
        <v>174166.66666666666</v>
      </c>
    </row>
    <row r="97" spans="1:10" x14ac:dyDescent="0.25">
      <c r="A97">
        <f t="shared" si="10"/>
        <v>92</v>
      </c>
      <c r="B97" s="2">
        <f t="shared" ca="1" si="11"/>
        <v>44724</v>
      </c>
      <c r="C97" t="str">
        <f t="shared" ca="1" si="12"/>
        <v>czerwiec</v>
      </c>
      <c r="D97" s="6">
        <f t="shared" si="13"/>
        <v>1492.2638888888889</v>
      </c>
      <c r="E97" s="6">
        <f t="shared" si="14"/>
        <v>658.93055555555554</v>
      </c>
      <c r="F97" s="6">
        <f t="shared" si="15"/>
        <v>833.33333333333337</v>
      </c>
      <c r="G97" s="6">
        <f t="shared" si="16"/>
        <v>73819.138888888891</v>
      </c>
      <c r="H97" s="6">
        <f t="shared" si="17"/>
        <v>76666.666666666672</v>
      </c>
      <c r="I97" s="6">
        <f t="shared" si="18"/>
        <v>150485.80555555553</v>
      </c>
      <c r="J97" s="6">
        <f t="shared" si="19"/>
        <v>173333.33333333331</v>
      </c>
    </row>
    <row r="98" spans="1:10" x14ac:dyDescent="0.25">
      <c r="A98">
        <f t="shared" si="10"/>
        <v>93</v>
      </c>
      <c r="B98" s="2">
        <f t="shared" ca="1" si="11"/>
        <v>44754</v>
      </c>
      <c r="C98" t="str">
        <f t="shared" ca="1" si="12"/>
        <v>lipiec</v>
      </c>
      <c r="D98" s="6">
        <f t="shared" si="13"/>
        <v>1489.1111111111111</v>
      </c>
      <c r="E98" s="6">
        <f t="shared" si="14"/>
        <v>655.77777777777771</v>
      </c>
      <c r="F98" s="6">
        <f t="shared" si="15"/>
        <v>833.33333333333337</v>
      </c>
      <c r="G98" s="6">
        <f t="shared" si="16"/>
        <v>74474.916666666672</v>
      </c>
      <c r="H98" s="6">
        <f t="shared" si="17"/>
        <v>77500</v>
      </c>
      <c r="I98" s="6">
        <f t="shared" si="18"/>
        <v>151974.91666666666</v>
      </c>
      <c r="J98" s="6">
        <f t="shared" si="19"/>
        <v>172500</v>
      </c>
    </row>
    <row r="99" spans="1:10" x14ac:dyDescent="0.25">
      <c r="A99">
        <f t="shared" si="10"/>
        <v>94</v>
      </c>
      <c r="B99" s="2">
        <f t="shared" ca="1" si="11"/>
        <v>44785</v>
      </c>
      <c r="C99" t="str">
        <f t="shared" ca="1" si="12"/>
        <v>sierpień</v>
      </c>
      <c r="D99" s="6">
        <f t="shared" si="13"/>
        <v>1485.9583333333335</v>
      </c>
      <c r="E99" s="6">
        <f t="shared" si="14"/>
        <v>652.62500000000011</v>
      </c>
      <c r="F99" s="6">
        <f t="shared" si="15"/>
        <v>833.33333333333337</v>
      </c>
      <c r="G99" s="6">
        <f t="shared" si="16"/>
        <v>75127.541666666672</v>
      </c>
      <c r="H99" s="6">
        <f t="shared" si="17"/>
        <v>78333.333333333328</v>
      </c>
      <c r="I99" s="6">
        <f t="shared" si="18"/>
        <v>153460.875</v>
      </c>
      <c r="J99" s="6">
        <f t="shared" si="19"/>
        <v>171666.66666666669</v>
      </c>
    </row>
    <row r="100" spans="1:10" x14ac:dyDescent="0.25">
      <c r="A100">
        <f t="shared" si="10"/>
        <v>95</v>
      </c>
      <c r="B100" s="2">
        <f t="shared" ca="1" si="11"/>
        <v>44816</v>
      </c>
      <c r="C100" t="str">
        <f t="shared" ca="1" si="12"/>
        <v>wrzesień</v>
      </c>
      <c r="D100" s="6">
        <f t="shared" si="13"/>
        <v>1482.8055555555557</v>
      </c>
      <c r="E100" s="6">
        <f t="shared" si="14"/>
        <v>649.47222222222229</v>
      </c>
      <c r="F100" s="6">
        <f t="shared" si="15"/>
        <v>833.33333333333337</v>
      </c>
      <c r="G100" s="6">
        <f t="shared" si="16"/>
        <v>75777.013888888891</v>
      </c>
      <c r="H100" s="6">
        <f t="shared" si="17"/>
        <v>79166.666666666657</v>
      </c>
      <c r="I100" s="6">
        <f t="shared" si="18"/>
        <v>154943.68055555556</v>
      </c>
      <c r="J100" s="6">
        <f t="shared" si="19"/>
        <v>170833.33333333334</v>
      </c>
    </row>
    <row r="101" spans="1:10" x14ac:dyDescent="0.25">
      <c r="A101">
        <f t="shared" si="10"/>
        <v>96</v>
      </c>
      <c r="B101" s="2">
        <f t="shared" ca="1" si="11"/>
        <v>44846</v>
      </c>
      <c r="C101" t="str">
        <f t="shared" ca="1" si="12"/>
        <v>październik</v>
      </c>
      <c r="D101" s="6">
        <f t="shared" si="13"/>
        <v>1479.6527777777778</v>
      </c>
      <c r="E101" s="6">
        <f t="shared" si="14"/>
        <v>646.31944444444446</v>
      </c>
      <c r="F101" s="6">
        <f t="shared" si="15"/>
        <v>833.33333333333337</v>
      </c>
      <c r="G101" s="6">
        <f t="shared" si="16"/>
        <v>76423.333333333328</v>
      </c>
      <c r="H101" s="6">
        <f t="shared" si="17"/>
        <v>79999.999999999985</v>
      </c>
      <c r="I101" s="6">
        <f t="shared" si="18"/>
        <v>156423.33333333334</v>
      </c>
      <c r="J101" s="6">
        <f t="shared" si="19"/>
        <v>170000</v>
      </c>
    </row>
    <row r="102" spans="1:10" x14ac:dyDescent="0.25">
      <c r="A102">
        <f t="shared" si="10"/>
        <v>97</v>
      </c>
      <c r="B102" s="2">
        <f t="shared" ca="1" si="11"/>
        <v>44877</v>
      </c>
      <c r="C102" t="str">
        <f t="shared" ca="1" si="12"/>
        <v>listopad</v>
      </c>
      <c r="D102" s="6">
        <f t="shared" si="13"/>
        <v>1476.5</v>
      </c>
      <c r="E102" s="6">
        <f t="shared" si="14"/>
        <v>643.16666666666674</v>
      </c>
      <c r="F102" s="6">
        <f t="shared" si="15"/>
        <v>833.33333333333337</v>
      </c>
      <c r="G102" s="6">
        <f t="shared" si="16"/>
        <v>77066.5</v>
      </c>
      <c r="H102" s="6">
        <f t="shared" si="17"/>
        <v>80833.333333333314</v>
      </c>
      <c r="I102" s="6">
        <f t="shared" si="18"/>
        <v>157899.83333333334</v>
      </c>
      <c r="J102" s="6">
        <f t="shared" si="19"/>
        <v>169166.66666666669</v>
      </c>
    </row>
    <row r="103" spans="1:10" x14ac:dyDescent="0.25">
      <c r="A103">
        <f t="shared" si="10"/>
        <v>98</v>
      </c>
      <c r="B103" s="2">
        <f t="shared" ca="1" si="11"/>
        <v>44907</v>
      </c>
      <c r="C103" t="str">
        <f t="shared" ca="1" si="12"/>
        <v>grudzień</v>
      </c>
      <c r="D103" s="6">
        <f t="shared" si="13"/>
        <v>1473.3472222222224</v>
      </c>
      <c r="E103" s="6">
        <f t="shared" si="14"/>
        <v>640.01388888888903</v>
      </c>
      <c r="F103" s="6">
        <f t="shared" si="15"/>
        <v>833.33333333333337</v>
      </c>
      <c r="G103" s="6">
        <f t="shared" si="16"/>
        <v>77706.513888888891</v>
      </c>
      <c r="H103" s="6">
        <f t="shared" si="17"/>
        <v>81666.666666666642</v>
      </c>
      <c r="I103" s="6">
        <f t="shared" si="18"/>
        <v>159373.18055555556</v>
      </c>
      <c r="J103" s="6">
        <f t="shared" si="19"/>
        <v>168333.33333333337</v>
      </c>
    </row>
    <row r="104" spans="1:10" x14ac:dyDescent="0.25">
      <c r="A104">
        <f t="shared" si="10"/>
        <v>99</v>
      </c>
      <c r="B104" s="2">
        <f t="shared" ca="1" si="11"/>
        <v>44938</v>
      </c>
      <c r="C104" t="str">
        <f t="shared" ca="1" si="12"/>
        <v>styczeń</v>
      </c>
      <c r="D104" s="6">
        <f t="shared" si="13"/>
        <v>1470.1944444444448</v>
      </c>
      <c r="E104" s="6">
        <f t="shared" si="14"/>
        <v>636.86111111111131</v>
      </c>
      <c r="F104" s="6">
        <f t="shared" si="15"/>
        <v>833.33333333333337</v>
      </c>
      <c r="G104" s="6">
        <f t="shared" si="16"/>
        <v>78343.375</v>
      </c>
      <c r="H104" s="6">
        <f t="shared" si="17"/>
        <v>82499.999999999971</v>
      </c>
      <c r="I104" s="6">
        <f t="shared" si="18"/>
        <v>160843.375</v>
      </c>
      <c r="J104" s="6">
        <f t="shared" si="19"/>
        <v>167500.00000000003</v>
      </c>
    </row>
    <row r="105" spans="1:10" x14ac:dyDescent="0.25">
      <c r="A105">
        <f t="shared" si="10"/>
        <v>100</v>
      </c>
      <c r="B105" s="2">
        <f t="shared" ca="1" si="11"/>
        <v>44969</v>
      </c>
      <c r="C105" t="str">
        <f t="shared" ca="1" si="12"/>
        <v>luty</v>
      </c>
      <c r="D105" s="6">
        <f t="shared" si="13"/>
        <v>1467.041666666667</v>
      </c>
      <c r="E105" s="6">
        <f t="shared" si="14"/>
        <v>633.70833333333348</v>
      </c>
      <c r="F105" s="6">
        <f t="shared" si="15"/>
        <v>833.33333333333337</v>
      </c>
      <c r="G105" s="6">
        <f t="shared" si="16"/>
        <v>78977.083333333328</v>
      </c>
      <c r="H105" s="6">
        <f t="shared" si="17"/>
        <v>83333.333333333299</v>
      </c>
      <c r="I105" s="6">
        <f t="shared" si="18"/>
        <v>162310.41666666666</v>
      </c>
      <c r="J105" s="6">
        <f t="shared" si="19"/>
        <v>166666.66666666669</v>
      </c>
    </row>
    <row r="106" spans="1:10" x14ac:dyDescent="0.25">
      <c r="A106">
        <f t="shared" si="10"/>
        <v>101</v>
      </c>
      <c r="B106" s="2">
        <f t="shared" ca="1" si="11"/>
        <v>44997</v>
      </c>
      <c r="C106" t="str">
        <f t="shared" ca="1" si="12"/>
        <v>marzec</v>
      </c>
      <c r="D106" s="6">
        <f t="shared" si="13"/>
        <v>1463.8888888888891</v>
      </c>
      <c r="E106" s="6">
        <f t="shared" si="14"/>
        <v>630.55555555555566</v>
      </c>
      <c r="F106" s="6">
        <f t="shared" si="15"/>
        <v>833.33333333333337</v>
      </c>
      <c r="G106" s="6">
        <f t="shared" si="16"/>
        <v>79607.638888888891</v>
      </c>
      <c r="H106" s="6">
        <f t="shared" si="17"/>
        <v>84166.666666666628</v>
      </c>
      <c r="I106" s="6">
        <f t="shared" si="18"/>
        <v>163774.30555555553</v>
      </c>
      <c r="J106" s="6">
        <f t="shared" si="19"/>
        <v>165833.33333333337</v>
      </c>
    </row>
    <row r="107" spans="1:10" x14ac:dyDescent="0.25">
      <c r="A107">
        <f t="shared" si="10"/>
        <v>102</v>
      </c>
      <c r="B107" s="2">
        <f t="shared" ca="1" si="11"/>
        <v>45028</v>
      </c>
      <c r="C107" t="str">
        <f t="shared" ca="1" si="12"/>
        <v>kwiecień</v>
      </c>
      <c r="D107" s="6">
        <f t="shared" si="13"/>
        <v>1460.7361111111113</v>
      </c>
      <c r="E107" s="6">
        <f t="shared" si="14"/>
        <v>627.40277777777794</v>
      </c>
      <c r="F107" s="6">
        <f t="shared" si="15"/>
        <v>833.33333333333337</v>
      </c>
      <c r="G107" s="6">
        <f t="shared" si="16"/>
        <v>80235.041666666672</v>
      </c>
      <c r="H107" s="6">
        <f t="shared" si="17"/>
        <v>84999.999999999956</v>
      </c>
      <c r="I107" s="6">
        <f t="shared" si="18"/>
        <v>165235.04166666666</v>
      </c>
      <c r="J107" s="6">
        <f t="shared" si="19"/>
        <v>165000.00000000006</v>
      </c>
    </row>
    <row r="108" spans="1:10" x14ac:dyDescent="0.25">
      <c r="A108">
        <f t="shared" si="10"/>
        <v>103</v>
      </c>
      <c r="B108" s="2">
        <f t="shared" ca="1" si="11"/>
        <v>45058</v>
      </c>
      <c r="C108" t="str">
        <f t="shared" ca="1" si="12"/>
        <v>maj</v>
      </c>
      <c r="D108" s="6">
        <f t="shared" si="13"/>
        <v>1457.5833333333335</v>
      </c>
      <c r="E108" s="6">
        <f t="shared" si="14"/>
        <v>624.25000000000023</v>
      </c>
      <c r="F108" s="6">
        <f t="shared" si="15"/>
        <v>833.33333333333337</v>
      </c>
      <c r="G108" s="6">
        <f t="shared" si="16"/>
        <v>80859.291666666672</v>
      </c>
      <c r="H108" s="6">
        <f t="shared" si="17"/>
        <v>85833.333333333285</v>
      </c>
      <c r="I108" s="6">
        <f t="shared" si="18"/>
        <v>166692.625</v>
      </c>
      <c r="J108" s="6">
        <f t="shared" si="19"/>
        <v>164166.66666666672</v>
      </c>
    </row>
    <row r="109" spans="1:10" x14ac:dyDescent="0.25">
      <c r="A109">
        <f t="shared" si="10"/>
        <v>104</v>
      </c>
      <c r="B109" s="2">
        <f t="shared" ca="1" si="11"/>
        <v>45089</v>
      </c>
      <c r="C109" t="str">
        <f t="shared" ca="1" si="12"/>
        <v>czerwiec</v>
      </c>
      <c r="D109" s="6">
        <f t="shared" si="13"/>
        <v>1454.4305555555559</v>
      </c>
      <c r="E109" s="6">
        <f t="shared" si="14"/>
        <v>621.09722222222251</v>
      </c>
      <c r="F109" s="6">
        <f t="shared" si="15"/>
        <v>833.33333333333337</v>
      </c>
      <c r="G109" s="6">
        <f t="shared" si="16"/>
        <v>81480.388888888891</v>
      </c>
      <c r="H109" s="6">
        <f t="shared" si="17"/>
        <v>86666.666666666613</v>
      </c>
      <c r="I109" s="6">
        <f t="shared" si="18"/>
        <v>168147.05555555556</v>
      </c>
      <c r="J109" s="6">
        <f t="shared" si="19"/>
        <v>163333.33333333337</v>
      </c>
    </row>
    <row r="110" spans="1:10" x14ac:dyDescent="0.25">
      <c r="A110">
        <f t="shared" si="10"/>
        <v>105</v>
      </c>
      <c r="B110" s="2">
        <f t="shared" ca="1" si="11"/>
        <v>45119</v>
      </c>
      <c r="C110" t="str">
        <f t="shared" ca="1" si="12"/>
        <v>lipiec</v>
      </c>
      <c r="D110" s="6">
        <f t="shared" si="13"/>
        <v>1451.2777777777781</v>
      </c>
      <c r="E110" s="6">
        <f t="shared" si="14"/>
        <v>617.94444444444468</v>
      </c>
      <c r="F110" s="6">
        <f t="shared" si="15"/>
        <v>833.33333333333337</v>
      </c>
      <c r="G110" s="6">
        <f t="shared" si="16"/>
        <v>82098.333333333328</v>
      </c>
      <c r="H110" s="6">
        <f t="shared" si="17"/>
        <v>87499.999999999942</v>
      </c>
      <c r="I110" s="6">
        <f t="shared" si="18"/>
        <v>169598.33333333334</v>
      </c>
      <c r="J110" s="6">
        <f t="shared" si="19"/>
        <v>162500.00000000006</v>
      </c>
    </row>
    <row r="111" spans="1:10" x14ac:dyDescent="0.25">
      <c r="A111">
        <f t="shared" si="10"/>
        <v>106</v>
      </c>
      <c r="B111" s="2">
        <f t="shared" ca="1" si="11"/>
        <v>45150</v>
      </c>
      <c r="C111" t="str">
        <f t="shared" ca="1" si="12"/>
        <v>sierpień</v>
      </c>
      <c r="D111" s="6">
        <f t="shared" si="13"/>
        <v>1448.1250000000002</v>
      </c>
      <c r="E111" s="6">
        <f t="shared" si="14"/>
        <v>614.79166666666686</v>
      </c>
      <c r="F111" s="6">
        <f t="shared" si="15"/>
        <v>833.33333333333337</v>
      </c>
      <c r="G111" s="6">
        <f t="shared" si="16"/>
        <v>82713.125</v>
      </c>
      <c r="H111" s="6">
        <f t="shared" si="17"/>
        <v>88333.33333333327</v>
      </c>
      <c r="I111" s="6">
        <f t="shared" si="18"/>
        <v>171046.45833333334</v>
      </c>
      <c r="J111" s="6">
        <f t="shared" si="19"/>
        <v>161666.66666666674</v>
      </c>
    </row>
    <row r="112" spans="1:10" x14ac:dyDescent="0.25">
      <c r="A112">
        <f t="shared" si="10"/>
        <v>107</v>
      </c>
      <c r="B112" s="2">
        <f t="shared" ca="1" si="11"/>
        <v>45181</v>
      </c>
      <c r="C112" t="str">
        <f t="shared" ca="1" si="12"/>
        <v>wrzesień</v>
      </c>
      <c r="D112" s="6">
        <f t="shared" si="13"/>
        <v>1444.9722222222226</v>
      </c>
      <c r="E112" s="6">
        <f t="shared" si="14"/>
        <v>611.63888888888926</v>
      </c>
      <c r="F112" s="6">
        <f t="shared" si="15"/>
        <v>833.33333333333337</v>
      </c>
      <c r="G112" s="6">
        <f t="shared" si="16"/>
        <v>83324.763888888891</v>
      </c>
      <c r="H112" s="6">
        <f t="shared" si="17"/>
        <v>89166.666666666599</v>
      </c>
      <c r="I112" s="6">
        <f t="shared" si="18"/>
        <v>172491.43055555556</v>
      </c>
      <c r="J112" s="6">
        <f t="shared" si="19"/>
        <v>160833.3333333334</v>
      </c>
    </row>
    <row r="113" spans="1:10" x14ac:dyDescent="0.25">
      <c r="A113">
        <f t="shared" si="10"/>
        <v>108</v>
      </c>
      <c r="B113" s="2">
        <f t="shared" ca="1" si="11"/>
        <v>45211</v>
      </c>
      <c r="C113" t="str">
        <f t="shared" ca="1" si="12"/>
        <v>październik</v>
      </c>
      <c r="D113" s="6">
        <f t="shared" si="13"/>
        <v>1441.8194444444448</v>
      </c>
      <c r="E113" s="6">
        <f t="shared" si="14"/>
        <v>608.48611111111143</v>
      </c>
      <c r="F113" s="6">
        <f t="shared" si="15"/>
        <v>833.33333333333337</v>
      </c>
      <c r="G113" s="6">
        <f t="shared" si="16"/>
        <v>83933.25</v>
      </c>
      <c r="H113" s="6">
        <f t="shared" si="17"/>
        <v>89999.999999999927</v>
      </c>
      <c r="I113" s="6">
        <f t="shared" si="18"/>
        <v>173933.25</v>
      </c>
      <c r="J113" s="6">
        <f t="shared" si="19"/>
        <v>160000.00000000006</v>
      </c>
    </row>
    <row r="114" spans="1:10" x14ac:dyDescent="0.25">
      <c r="A114">
        <f t="shared" si="10"/>
        <v>109</v>
      </c>
      <c r="B114" s="2">
        <f t="shared" ca="1" si="11"/>
        <v>45242</v>
      </c>
      <c r="C114" t="str">
        <f t="shared" ca="1" si="12"/>
        <v>listopad</v>
      </c>
      <c r="D114" s="6">
        <f t="shared" si="13"/>
        <v>1438.666666666667</v>
      </c>
      <c r="E114" s="6">
        <f t="shared" si="14"/>
        <v>605.3333333333336</v>
      </c>
      <c r="F114" s="6">
        <f t="shared" si="15"/>
        <v>833.33333333333337</v>
      </c>
      <c r="G114" s="6">
        <f t="shared" si="16"/>
        <v>84538.583333333328</v>
      </c>
      <c r="H114" s="6">
        <f t="shared" si="17"/>
        <v>90833.333333333256</v>
      </c>
      <c r="I114" s="6">
        <f t="shared" si="18"/>
        <v>175371.91666666666</v>
      </c>
      <c r="J114" s="6">
        <f t="shared" si="19"/>
        <v>159166.66666666674</v>
      </c>
    </row>
    <row r="115" spans="1:10" x14ac:dyDescent="0.25">
      <c r="A115">
        <f t="shared" si="10"/>
        <v>110</v>
      </c>
      <c r="B115" s="2">
        <f t="shared" ca="1" si="11"/>
        <v>45272</v>
      </c>
      <c r="C115" t="str">
        <f t="shared" ca="1" si="12"/>
        <v>grudzień</v>
      </c>
      <c r="D115" s="6">
        <f t="shared" si="13"/>
        <v>1435.5138888888891</v>
      </c>
      <c r="E115" s="6">
        <f t="shared" si="14"/>
        <v>602.18055555555588</v>
      </c>
      <c r="F115" s="6">
        <f t="shared" si="15"/>
        <v>833.33333333333337</v>
      </c>
      <c r="G115" s="6">
        <f t="shared" si="16"/>
        <v>85140.763888888891</v>
      </c>
      <c r="H115" s="6">
        <f t="shared" si="17"/>
        <v>91666.666666666584</v>
      </c>
      <c r="I115" s="6">
        <f t="shared" si="18"/>
        <v>176807.43055555553</v>
      </c>
      <c r="J115" s="6">
        <f t="shared" si="19"/>
        <v>158333.33333333343</v>
      </c>
    </row>
    <row r="116" spans="1:10" x14ac:dyDescent="0.25">
      <c r="A116">
        <f t="shared" si="10"/>
        <v>111</v>
      </c>
      <c r="B116" s="2">
        <f t="shared" ca="1" si="11"/>
        <v>45303</v>
      </c>
      <c r="C116" t="str">
        <f t="shared" ca="1" si="12"/>
        <v>styczeń</v>
      </c>
      <c r="D116" s="6">
        <f t="shared" si="13"/>
        <v>1432.3611111111115</v>
      </c>
      <c r="E116" s="6">
        <f t="shared" si="14"/>
        <v>599.02777777777817</v>
      </c>
      <c r="F116" s="6">
        <f t="shared" si="15"/>
        <v>833.33333333333337</v>
      </c>
      <c r="G116" s="6">
        <f t="shared" si="16"/>
        <v>85739.791666666672</v>
      </c>
      <c r="H116" s="6">
        <f t="shared" si="17"/>
        <v>92499.999999999913</v>
      </c>
      <c r="I116" s="6">
        <f t="shared" si="18"/>
        <v>178239.79166666666</v>
      </c>
      <c r="J116" s="6">
        <f t="shared" si="19"/>
        <v>157500.00000000009</v>
      </c>
    </row>
    <row r="117" spans="1:10" x14ac:dyDescent="0.25">
      <c r="A117">
        <f t="shared" si="10"/>
        <v>112</v>
      </c>
      <c r="B117" s="2">
        <f t="shared" ca="1" si="11"/>
        <v>45334</v>
      </c>
      <c r="C117" t="str">
        <f t="shared" ca="1" si="12"/>
        <v>luty</v>
      </c>
      <c r="D117" s="6">
        <f t="shared" si="13"/>
        <v>1429.2083333333337</v>
      </c>
      <c r="E117" s="6">
        <f t="shared" si="14"/>
        <v>595.87500000000034</v>
      </c>
      <c r="F117" s="6">
        <f t="shared" si="15"/>
        <v>833.33333333333337</v>
      </c>
      <c r="G117" s="6">
        <f t="shared" si="16"/>
        <v>86335.666666666672</v>
      </c>
      <c r="H117" s="6">
        <f t="shared" si="17"/>
        <v>93333.333333333241</v>
      </c>
      <c r="I117" s="6">
        <f t="shared" si="18"/>
        <v>179669</v>
      </c>
      <c r="J117" s="6">
        <f t="shared" si="19"/>
        <v>156666.66666666674</v>
      </c>
    </row>
    <row r="118" spans="1:10" x14ac:dyDescent="0.25">
      <c r="A118">
        <f t="shared" si="10"/>
        <v>113</v>
      </c>
      <c r="B118" s="2">
        <f t="shared" ca="1" si="11"/>
        <v>45363</v>
      </c>
      <c r="C118" t="str">
        <f t="shared" ca="1" si="12"/>
        <v>marzec</v>
      </c>
      <c r="D118" s="6">
        <f t="shared" si="13"/>
        <v>1426.0555555555559</v>
      </c>
      <c r="E118" s="6">
        <f t="shared" si="14"/>
        <v>592.72222222222251</v>
      </c>
      <c r="F118" s="6">
        <f t="shared" si="15"/>
        <v>833.33333333333337</v>
      </c>
      <c r="G118" s="6">
        <f t="shared" si="16"/>
        <v>86928.388888888891</v>
      </c>
      <c r="H118" s="6">
        <f t="shared" si="17"/>
        <v>94166.66666666657</v>
      </c>
      <c r="I118" s="6">
        <f t="shared" si="18"/>
        <v>181095.05555555556</v>
      </c>
      <c r="J118" s="6">
        <f t="shared" si="19"/>
        <v>155833.33333333343</v>
      </c>
    </row>
    <row r="119" spans="1:10" x14ac:dyDescent="0.25">
      <c r="A119">
        <f t="shared" si="10"/>
        <v>114</v>
      </c>
      <c r="B119" s="2">
        <f t="shared" ca="1" si="11"/>
        <v>45394</v>
      </c>
      <c r="C119" t="str">
        <f t="shared" ca="1" si="12"/>
        <v>kwiecień</v>
      </c>
      <c r="D119" s="6">
        <f t="shared" si="13"/>
        <v>1422.9027777777783</v>
      </c>
      <c r="E119" s="6">
        <f t="shared" si="14"/>
        <v>589.56944444444491</v>
      </c>
      <c r="F119" s="6">
        <f t="shared" si="15"/>
        <v>833.33333333333337</v>
      </c>
      <c r="G119" s="6">
        <f t="shared" si="16"/>
        <v>87517.958333333328</v>
      </c>
      <c r="H119" s="6">
        <f t="shared" si="17"/>
        <v>94999.999999999898</v>
      </c>
      <c r="I119" s="6">
        <f t="shared" si="18"/>
        <v>182517.95833333334</v>
      </c>
      <c r="J119" s="6">
        <f t="shared" si="19"/>
        <v>155000.00000000012</v>
      </c>
    </row>
    <row r="120" spans="1:10" x14ac:dyDescent="0.25">
      <c r="A120">
        <f t="shared" si="10"/>
        <v>115</v>
      </c>
      <c r="B120" s="2">
        <f t="shared" ca="1" si="11"/>
        <v>45424</v>
      </c>
      <c r="C120" t="str">
        <f t="shared" ca="1" si="12"/>
        <v>maj</v>
      </c>
      <c r="D120" s="6">
        <f t="shared" si="13"/>
        <v>1419.7500000000005</v>
      </c>
      <c r="E120" s="6">
        <f t="shared" si="14"/>
        <v>586.41666666666708</v>
      </c>
      <c r="F120" s="6">
        <f t="shared" si="15"/>
        <v>833.33333333333337</v>
      </c>
      <c r="G120" s="6">
        <f t="shared" si="16"/>
        <v>88104.375</v>
      </c>
      <c r="H120" s="6">
        <f t="shared" si="17"/>
        <v>95833.333333333227</v>
      </c>
      <c r="I120" s="6">
        <f t="shared" si="18"/>
        <v>183937.70833333334</v>
      </c>
      <c r="J120" s="6">
        <f t="shared" si="19"/>
        <v>154166.66666666677</v>
      </c>
    </row>
    <row r="121" spans="1:10" x14ac:dyDescent="0.25">
      <c r="A121">
        <f t="shared" si="10"/>
        <v>116</v>
      </c>
      <c r="B121" s="2">
        <f t="shared" ca="1" si="11"/>
        <v>45455</v>
      </c>
      <c r="C121" t="str">
        <f t="shared" ca="1" si="12"/>
        <v>czerwiec</v>
      </c>
      <c r="D121" s="6">
        <f t="shared" si="13"/>
        <v>1416.5972222222226</v>
      </c>
      <c r="E121" s="6">
        <f t="shared" si="14"/>
        <v>583.26388888888926</v>
      </c>
      <c r="F121" s="6">
        <f t="shared" si="15"/>
        <v>833.33333333333337</v>
      </c>
      <c r="G121" s="6">
        <f t="shared" si="16"/>
        <v>88687.638888888891</v>
      </c>
      <c r="H121" s="6">
        <f t="shared" si="17"/>
        <v>96666.666666666555</v>
      </c>
      <c r="I121" s="6">
        <f t="shared" si="18"/>
        <v>185354.30555555556</v>
      </c>
      <c r="J121" s="6">
        <f t="shared" si="19"/>
        <v>153333.33333333343</v>
      </c>
    </row>
    <row r="122" spans="1:10" x14ac:dyDescent="0.25">
      <c r="A122">
        <f t="shared" si="10"/>
        <v>117</v>
      </c>
      <c r="B122" s="2">
        <f t="shared" ca="1" si="11"/>
        <v>45485</v>
      </c>
      <c r="C122" t="str">
        <f t="shared" ca="1" si="12"/>
        <v>lipiec</v>
      </c>
      <c r="D122" s="6">
        <f t="shared" si="13"/>
        <v>1413.4444444444448</v>
      </c>
      <c r="E122" s="6">
        <f t="shared" si="14"/>
        <v>580.11111111111154</v>
      </c>
      <c r="F122" s="6">
        <f t="shared" si="15"/>
        <v>833.33333333333337</v>
      </c>
      <c r="G122" s="6">
        <f t="shared" si="16"/>
        <v>89267.75</v>
      </c>
      <c r="H122" s="6">
        <f t="shared" si="17"/>
        <v>97499.999999999884</v>
      </c>
      <c r="I122" s="6">
        <f t="shared" si="18"/>
        <v>186767.75</v>
      </c>
      <c r="J122" s="6">
        <f t="shared" si="19"/>
        <v>152500.00000000012</v>
      </c>
    </row>
    <row r="123" spans="1:10" x14ac:dyDescent="0.25">
      <c r="A123">
        <f t="shared" si="10"/>
        <v>118</v>
      </c>
      <c r="B123" s="2">
        <f t="shared" ca="1" si="11"/>
        <v>45516</v>
      </c>
      <c r="C123" t="str">
        <f t="shared" ca="1" si="12"/>
        <v>sierpień</v>
      </c>
      <c r="D123" s="6">
        <f t="shared" si="13"/>
        <v>1410.2916666666672</v>
      </c>
      <c r="E123" s="6">
        <f t="shared" si="14"/>
        <v>576.95833333333383</v>
      </c>
      <c r="F123" s="6">
        <f t="shared" si="15"/>
        <v>833.33333333333337</v>
      </c>
      <c r="G123" s="6">
        <f t="shared" si="16"/>
        <v>89844.708333333328</v>
      </c>
      <c r="H123" s="6">
        <f t="shared" si="17"/>
        <v>98333.333333333212</v>
      </c>
      <c r="I123" s="6">
        <f t="shared" si="18"/>
        <v>188178.04166666666</v>
      </c>
      <c r="J123" s="6">
        <f t="shared" si="19"/>
        <v>151666.6666666668</v>
      </c>
    </row>
    <row r="124" spans="1:10" x14ac:dyDescent="0.25">
      <c r="A124">
        <f t="shared" si="10"/>
        <v>119</v>
      </c>
      <c r="B124" s="2">
        <f t="shared" ca="1" si="11"/>
        <v>45547</v>
      </c>
      <c r="C124" t="str">
        <f t="shared" ca="1" si="12"/>
        <v>wrzesień</v>
      </c>
      <c r="D124" s="6">
        <f t="shared" si="13"/>
        <v>1407.1388888888896</v>
      </c>
      <c r="E124" s="6">
        <f t="shared" si="14"/>
        <v>573.80555555555611</v>
      </c>
      <c r="F124" s="6">
        <f t="shared" si="15"/>
        <v>833.33333333333337</v>
      </c>
      <c r="G124" s="6">
        <f t="shared" si="16"/>
        <v>90418.513888888891</v>
      </c>
      <c r="H124" s="6">
        <f t="shared" si="17"/>
        <v>99166.666666666541</v>
      </c>
      <c r="I124" s="6">
        <f t="shared" si="18"/>
        <v>189585.18055555553</v>
      </c>
      <c r="J124" s="6">
        <f t="shared" si="19"/>
        <v>150833.33333333346</v>
      </c>
    </row>
    <row r="125" spans="1:10" x14ac:dyDescent="0.25">
      <c r="A125">
        <f t="shared" si="10"/>
        <v>120</v>
      </c>
      <c r="B125" s="2">
        <f t="shared" ca="1" si="11"/>
        <v>45577</v>
      </c>
      <c r="C125" t="str">
        <f t="shared" ca="1" si="12"/>
        <v>październik</v>
      </c>
      <c r="D125" s="6">
        <f t="shared" si="13"/>
        <v>1403.9861111111118</v>
      </c>
      <c r="E125" s="6">
        <f t="shared" si="14"/>
        <v>570.65277777777828</v>
      </c>
      <c r="F125" s="6">
        <f t="shared" si="15"/>
        <v>833.33333333333337</v>
      </c>
      <c r="G125" s="6">
        <f t="shared" si="16"/>
        <v>90989.166666666672</v>
      </c>
      <c r="H125" s="6">
        <f t="shared" si="17"/>
        <v>99999.999999999869</v>
      </c>
      <c r="I125" s="6">
        <f t="shared" si="18"/>
        <v>190989.16666666666</v>
      </c>
      <c r="J125" s="6">
        <f t="shared" si="19"/>
        <v>150000.00000000012</v>
      </c>
    </row>
    <row r="126" spans="1:10" x14ac:dyDescent="0.25">
      <c r="A126">
        <f t="shared" si="10"/>
        <v>121</v>
      </c>
      <c r="B126" s="2">
        <f t="shared" ca="1" si="11"/>
        <v>45608</v>
      </c>
      <c r="C126" t="str">
        <f t="shared" ca="1" si="12"/>
        <v>listopad</v>
      </c>
      <c r="D126" s="6">
        <f t="shared" si="13"/>
        <v>1400.8333333333339</v>
      </c>
      <c r="E126" s="6">
        <f t="shared" si="14"/>
        <v>567.50000000000045</v>
      </c>
      <c r="F126" s="6">
        <f t="shared" si="15"/>
        <v>833.33333333333337</v>
      </c>
      <c r="G126" s="6">
        <f t="shared" si="16"/>
        <v>91556.666666666672</v>
      </c>
      <c r="H126" s="6">
        <f t="shared" si="17"/>
        <v>100833.3333333332</v>
      </c>
      <c r="I126" s="6">
        <f t="shared" si="18"/>
        <v>192390</v>
      </c>
      <c r="J126" s="6">
        <f t="shared" si="19"/>
        <v>149166.6666666668</v>
      </c>
    </row>
    <row r="127" spans="1:10" x14ac:dyDescent="0.25">
      <c r="A127">
        <f t="shared" si="10"/>
        <v>122</v>
      </c>
      <c r="B127" s="2">
        <f t="shared" ca="1" si="11"/>
        <v>45638</v>
      </c>
      <c r="C127" t="str">
        <f t="shared" ca="1" si="12"/>
        <v>grudzień</v>
      </c>
      <c r="D127" s="6">
        <f t="shared" si="13"/>
        <v>1397.6805555555561</v>
      </c>
      <c r="E127" s="6">
        <f t="shared" si="14"/>
        <v>564.34722222222274</v>
      </c>
      <c r="F127" s="6">
        <f t="shared" si="15"/>
        <v>833.33333333333337</v>
      </c>
      <c r="G127" s="6">
        <f t="shared" si="16"/>
        <v>92121.013888888891</v>
      </c>
      <c r="H127" s="6">
        <f t="shared" si="17"/>
        <v>101666.66666666653</v>
      </c>
      <c r="I127" s="6">
        <f t="shared" si="18"/>
        <v>193787.68055555556</v>
      </c>
      <c r="J127" s="6">
        <f t="shared" si="19"/>
        <v>148333.33333333349</v>
      </c>
    </row>
    <row r="128" spans="1:10" x14ac:dyDescent="0.25">
      <c r="A128">
        <f t="shared" si="10"/>
        <v>123</v>
      </c>
      <c r="B128" s="2">
        <f t="shared" ca="1" si="11"/>
        <v>45669</v>
      </c>
      <c r="C128" t="str">
        <f t="shared" ca="1" si="12"/>
        <v>styczeń</v>
      </c>
      <c r="D128" s="6">
        <f t="shared" si="13"/>
        <v>1394.5277777777785</v>
      </c>
      <c r="E128" s="6">
        <f t="shared" si="14"/>
        <v>561.19444444444514</v>
      </c>
      <c r="F128" s="6">
        <f t="shared" si="15"/>
        <v>833.33333333333337</v>
      </c>
      <c r="G128" s="6">
        <f t="shared" si="16"/>
        <v>92682.208333333328</v>
      </c>
      <c r="H128" s="6">
        <f t="shared" si="17"/>
        <v>102499.99999999985</v>
      </c>
      <c r="I128" s="6">
        <f t="shared" si="18"/>
        <v>195182.20833333334</v>
      </c>
      <c r="J128" s="6">
        <f t="shared" si="19"/>
        <v>147500.00000000015</v>
      </c>
    </row>
    <row r="129" spans="1:10" x14ac:dyDescent="0.25">
      <c r="A129">
        <f t="shared" si="10"/>
        <v>124</v>
      </c>
      <c r="B129" s="2">
        <f t="shared" ca="1" si="11"/>
        <v>45700</v>
      </c>
      <c r="C129" t="str">
        <f t="shared" ca="1" si="12"/>
        <v>luty</v>
      </c>
      <c r="D129" s="6">
        <f t="shared" si="13"/>
        <v>1391.3750000000007</v>
      </c>
      <c r="E129" s="6">
        <f t="shared" si="14"/>
        <v>558.04166666666731</v>
      </c>
      <c r="F129" s="6">
        <f t="shared" si="15"/>
        <v>833.33333333333337</v>
      </c>
      <c r="G129" s="6">
        <f t="shared" si="16"/>
        <v>93240.25</v>
      </c>
      <c r="H129" s="6">
        <f t="shared" si="17"/>
        <v>103333.33333333318</v>
      </c>
      <c r="I129" s="6">
        <f t="shared" si="18"/>
        <v>196573.58333333334</v>
      </c>
      <c r="J129" s="6">
        <f t="shared" si="19"/>
        <v>146666.6666666668</v>
      </c>
    </row>
    <row r="130" spans="1:10" x14ac:dyDescent="0.25">
      <c r="A130">
        <f t="shared" si="10"/>
        <v>125</v>
      </c>
      <c r="B130" s="2">
        <f t="shared" ca="1" si="11"/>
        <v>45728</v>
      </c>
      <c r="C130" t="str">
        <f t="shared" ca="1" si="12"/>
        <v>marzec</v>
      </c>
      <c r="D130" s="6">
        <f t="shared" si="13"/>
        <v>1388.2222222222229</v>
      </c>
      <c r="E130" s="6">
        <f t="shared" si="14"/>
        <v>554.88888888888948</v>
      </c>
      <c r="F130" s="6">
        <f t="shared" si="15"/>
        <v>833.33333333333337</v>
      </c>
      <c r="G130" s="6">
        <f t="shared" si="16"/>
        <v>93795.138888888891</v>
      </c>
      <c r="H130" s="6">
        <f t="shared" si="17"/>
        <v>104166.66666666651</v>
      </c>
      <c r="I130" s="6">
        <f t="shared" si="18"/>
        <v>197961.80555555556</v>
      </c>
      <c r="J130" s="6">
        <f t="shared" si="19"/>
        <v>145833.33333333349</v>
      </c>
    </row>
    <row r="131" spans="1:10" x14ac:dyDescent="0.25">
      <c r="A131">
        <f t="shared" si="10"/>
        <v>126</v>
      </c>
      <c r="B131" s="2">
        <f t="shared" ca="1" si="11"/>
        <v>45759</v>
      </c>
      <c r="C131" t="str">
        <f t="shared" ca="1" si="12"/>
        <v>kwiecień</v>
      </c>
      <c r="D131" s="6">
        <f t="shared" si="13"/>
        <v>1385.0694444444453</v>
      </c>
      <c r="E131" s="6">
        <f t="shared" si="14"/>
        <v>551.73611111111177</v>
      </c>
      <c r="F131" s="6">
        <f t="shared" si="15"/>
        <v>833.33333333333337</v>
      </c>
      <c r="G131" s="6">
        <f t="shared" si="16"/>
        <v>94346.875</v>
      </c>
      <c r="H131" s="6">
        <f t="shared" si="17"/>
        <v>104999.99999999984</v>
      </c>
      <c r="I131" s="6">
        <f t="shared" si="18"/>
        <v>199346.875</v>
      </c>
      <c r="J131" s="6">
        <f t="shared" si="19"/>
        <v>145000.00000000017</v>
      </c>
    </row>
    <row r="132" spans="1:10" x14ac:dyDescent="0.25">
      <c r="A132">
        <f t="shared" si="10"/>
        <v>127</v>
      </c>
      <c r="B132" s="2">
        <f t="shared" ca="1" si="11"/>
        <v>45789</v>
      </c>
      <c r="C132" t="str">
        <f t="shared" ca="1" si="12"/>
        <v>maj</v>
      </c>
      <c r="D132" s="6">
        <f t="shared" si="13"/>
        <v>1381.9166666666674</v>
      </c>
      <c r="E132" s="6">
        <f t="shared" si="14"/>
        <v>548.58333333333405</v>
      </c>
      <c r="F132" s="6">
        <f t="shared" si="15"/>
        <v>833.33333333333337</v>
      </c>
      <c r="G132" s="6">
        <f t="shared" si="16"/>
        <v>94895.458333333328</v>
      </c>
      <c r="H132" s="6">
        <f t="shared" si="17"/>
        <v>105833.33333333317</v>
      </c>
      <c r="I132" s="6">
        <f t="shared" si="18"/>
        <v>200728.79166666666</v>
      </c>
      <c r="J132" s="6">
        <f t="shared" si="19"/>
        <v>144166.66666666683</v>
      </c>
    </row>
    <row r="133" spans="1:10" x14ac:dyDescent="0.25">
      <c r="A133">
        <f t="shared" si="10"/>
        <v>128</v>
      </c>
      <c r="B133" s="2">
        <f t="shared" ca="1" si="11"/>
        <v>45820</v>
      </c>
      <c r="C133" t="str">
        <f t="shared" ca="1" si="12"/>
        <v>czerwiec</v>
      </c>
      <c r="D133" s="6">
        <f t="shared" si="13"/>
        <v>1378.7638888888896</v>
      </c>
      <c r="E133" s="6">
        <f t="shared" si="14"/>
        <v>545.43055555555623</v>
      </c>
      <c r="F133" s="6">
        <f t="shared" si="15"/>
        <v>833.33333333333337</v>
      </c>
      <c r="G133" s="6">
        <f t="shared" si="16"/>
        <v>95440.888888888891</v>
      </c>
      <c r="H133" s="6">
        <f t="shared" si="17"/>
        <v>106666.6666666665</v>
      </c>
      <c r="I133" s="6">
        <f t="shared" si="18"/>
        <v>202107.55555555553</v>
      </c>
      <c r="J133" s="6">
        <f t="shared" si="19"/>
        <v>143333.33333333349</v>
      </c>
    </row>
    <row r="134" spans="1:10" x14ac:dyDescent="0.25">
      <c r="A134">
        <f t="shared" si="10"/>
        <v>129</v>
      </c>
      <c r="B134" s="2">
        <f t="shared" ca="1" si="11"/>
        <v>45850</v>
      </c>
      <c r="C134" t="str">
        <f t="shared" ca="1" si="12"/>
        <v>lipiec</v>
      </c>
      <c r="D134" s="6">
        <f t="shared" si="13"/>
        <v>1375.6111111111118</v>
      </c>
      <c r="E134" s="6">
        <f t="shared" si="14"/>
        <v>542.2777777777784</v>
      </c>
      <c r="F134" s="6">
        <f t="shared" si="15"/>
        <v>833.33333333333337</v>
      </c>
      <c r="G134" s="6">
        <f t="shared" si="16"/>
        <v>95983.166666666672</v>
      </c>
      <c r="H134" s="6">
        <f t="shared" si="17"/>
        <v>107499.99999999983</v>
      </c>
      <c r="I134" s="6">
        <f t="shared" si="18"/>
        <v>203483.16666666666</v>
      </c>
      <c r="J134" s="6">
        <f t="shared" si="19"/>
        <v>142500.00000000017</v>
      </c>
    </row>
    <row r="135" spans="1:10" x14ac:dyDescent="0.25">
      <c r="A135">
        <f t="shared" ref="A135:A198" si="20">IF($B$2&gt;A134,A134+1,"")</f>
        <v>130</v>
      </c>
      <c r="B135" s="2">
        <f t="shared" ref="B135:B198" ca="1" si="21">IF(A135&lt;&gt;"",DATE(YEAR(B134),MONTH(B134)+1,DAY(B134)),"")</f>
        <v>45881</v>
      </c>
      <c r="C135" t="str">
        <f t="shared" ref="C135:C198" ca="1" si="22">TEXT(B135,"mmmm")</f>
        <v>sierpień</v>
      </c>
      <c r="D135" s="6">
        <f t="shared" ref="D135:D198" si="23">IF(A135&lt;&gt;"",E135+F135,"")</f>
        <v>1372.4583333333339</v>
      </c>
      <c r="E135" s="6">
        <f t="shared" ref="E135:E198" si="24">IF(A135&lt;&gt;"",J134*$B$3/12,"")</f>
        <v>539.12500000000068</v>
      </c>
      <c r="F135" s="6">
        <f t="shared" ref="F135:F198" si="25">IF(A135&lt;&gt;"",$B$1/ ($B$2),"")</f>
        <v>833.33333333333337</v>
      </c>
      <c r="G135" s="6">
        <f t="shared" ref="G135:G198" si="26">IF(A135&lt;&gt;"",E135+G134,"")</f>
        <v>96522.291666666672</v>
      </c>
      <c r="H135" s="6">
        <f t="shared" ref="H135:H198" si="27">IF(A135&lt;&gt;"",F135+H134,"")</f>
        <v>108333.33333333315</v>
      </c>
      <c r="I135" s="6">
        <f t="shared" ref="I135:I198" si="28">IF(A135&lt;&gt;"",I134+D135,"")</f>
        <v>204855.625</v>
      </c>
      <c r="J135" s="6">
        <f t="shared" ref="J135:J198" si="29">IF(A135&lt;&gt;"",$B$1-H135,"")</f>
        <v>141666.66666666686</v>
      </c>
    </row>
    <row r="136" spans="1:10" x14ac:dyDescent="0.25">
      <c r="A136">
        <f t="shared" si="20"/>
        <v>131</v>
      </c>
      <c r="B136" s="2">
        <f t="shared" ca="1" si="21"/>
        <v>45912</v>
      </c>
      <c r="C136" t="str">
        <f t="shared" ca="1" si="22"/>
        <v>wrzesień</v>
      </c>
      <c r="D136" s="6">
        <f t="shared" si="23"/>
        <v>1369.3055555555563</v>
      </c>
      <c r="E136" s="6">
        <f t="shared" si="24"/>
        <v>535.97222222222297</v>
      </c>
      <c r="F136" s="6">
        <f t="shared" si="25"/>
        <v>833.33333333333337</v>
      </c>
      <c r="G136" s="6">
        <f t="shared" si="26"/>
        <v>97058.263888888891</v>
      </c>
      <c r="H136" s="6">
        <f t="shared" si="27"/>
        <v>109166.66666666648</v>
      </c>
      <c r="I136" s="6">
        <f t="shared" si="28"/>
        <v>206224.93055555556</v>
      </c>
      <c r="J136" s="6">
        <f t="shared" si="29"/>
        <v>140833.33333333352</v>
      </c>
    </row>
    <row r="137" spans="1:10" x14ac:dyDescent="0.25">
      <c r="A137">
        <f t="shared" si="20"/>
        <v>132</v>
      </c>
      <c r="B137" s="2">
        <f t="shared" ca="1" si="21"/>
        <v>45942</v>
      </c>
      <c r="C137" t="str">
        <f t="shared" ca="1" si="22"/>
        <v>październik</v>
      </c>
      <c r="D137" s="6">
        <f t="shared" si="23"/>
        <v>1366.1527777777785</v>
      </c>
      <c r="E137" s="6">
        <f t="shared" si="24"/>
        <v>532.81944444444514</v>
      </c>
      <c r="F137" s="6">
        <f t="shared" si="25"/>
        <v>833.33333333333337</v>
      </c>
      <c r="G137" s="6">
        <f t="shared" si="26"/>
        <v>97591.083333333328</v>
      </c>
      <c r="H137" s="6">
        <f t="shared" si="27"/>
        <v>109999.99999999981</v>
      </c>
      <c r="I137" s="6">
        <f t="shared" si="28"/>
        <v>207591.08333333334</v>
      </c>
      <c r="J137" s="6">
        <f t="shared" si="29"/>
        <v>140000.00000000017</v>
      </c>
    </row>
    <row r="138" spans="1:10" x14ac:dyDescent="0.25">
      <c r="A138">
        <f t="shared" si="20"/>
        <v>133</v>
      </c>
      <c r="B138" s="2">
        <f t="shared" ca="1" si="21"/>
        <v>45973</v>
      </c>
      <c r="C138" t="str">
        <f t="shared" ca="1" si="22"/>
        <v>listopad</v>
      </c>
      <c r="D138" s="6">
        <f t="shared" si="23"/>
        <v>1363.0000000000007</v>
      </c>
      <c r="E138" s="6">
        <f t="shared" si="24"/>
        <v>529.66666666666731</v>
      </c>
      <c r="F138" s="6">
        <f t="shared" si="25"/>
        <v>833.33333333333337</v>
      </c>
      <c r="G138" s="6">
        <f t="shared" si="26"/>
        <v>98120.75</v>
      </c>
      <c r="H138" s="6">
        <f t="shared" si="27"/>
        <v>110833.33333333314</v>
      </c>
      <c r="I138" s="6">
        <f t="shared" si="28"/>
        <v>208954.08333333334</v>
      </c>
      <c r="J138" s="6">
        <f t="shared" si="29"/>
        <v>139166.66666666686</v>
      </c>
    </row>
    <row r="139" spans="1:10" x14ac:dyDescent="0.25">
      <c r="A139">
        <f t="shared" si="20"/>
        <v>134</v>
      </c>
      <c r="B139" s="2">
        <f t="shared" ca="1" si="21"/>
        <v>46003</v>
      </c>
      <c r="C139" t="str">
        <f t="shared" ca="1" si="22"/>
        <v>grudzień</v>
      </c>
      <c r="D139" s="6">
        <f t="shared" si="23"/>
        <v>1359.8472222222231</v>
      </c>
      <c r="E139" s="6">
        <f t="shared" si="24"/>
        <v>526.51388888888971</v>
      </c>
      <c r="F139" s="6">
        <f t="shared" si="25"/>
        <v>833.33333333333337</v>
      </c>
      <c r="G139" s="6">
        <f t="shared" si="26"/>
        <v>98647.263888888891</v>
      </c>
      <c r="H139" s="6">
        <f t="shared" si="27"/>
        <v>111666.66666666647</v>
      </c>
      <c r="I139" s="6">
        <f t="shared" si="28"/>
        <v>210313.93055555556</v>
      </c>
      <c r="J139" s="6">
        <f t="shared" si="29"/>
        <v>138333.33333333355</v>
      </c>
    </row>
    <row r="140" spans="1:10" x14ac:dyDescent="0.25">
      <c r="A140">
        <f t="shared" si="20"/>
        <v>135</v>
      </c>
      <c r="B140" s="2">
        <f t="shared" ca="1" si="21"/>
        <v>46034</v>
      </c>
      <c r="C140" t="str">
        <f t="shared" ca="1" si="22"/>
        <v>styczeń</v>
      </c>
      <c r="D140" s="6">
        <f t="shared" si="23"/>
        <v>1356.6944444444453</v>
      </c>
      <c r="E140" s="6">
        <f t="shared" si="24"/>
        <v>523.36111111111188</v>
      </c>
      <c r="F140" s="6">
        <f t="shared" si="25"/>
        <v>833.33333333333337</v>
      </c>
      <c r="G140" s="6">
        <f t="shared" si="26"/>
        <v>99170.625</v>
      </c>
      <c r="H140" s="6">
        <f t="shared" si="27"/>
        <v>112499.9999999998</v>
      </c>
      <c r="I140" s="6">
        <f t="shared" si="28"/>
        <v>211670.625</v>
      </c>
      <c r="J140" s="6">
        <f t="shared" si="29"/>
        <v>137500.0000000002</v>
      </c>
    </row>
    <row r="141" spans="1:10" x14ac:dyDescent="0.25">
      <c r="A141">
        <f t="shared" si="20"/>
        <v>136</v>
      </c>
      <c r="B141" s="2">
        <f t="shared" ca="1" si="21"/>
        <v>46065</v>
      </c>
      <c r="C141" t="str">
        <f t="shared" ca="1" si="22"/>
        <v>luty</v>
      </c>
      <c r="D141" s="6">
        <f t="shared" si="23"/>
        <v>1353.5416666666674</v>
      </c>
      <c r="E141" s="6">
        <f t="shared" si="24"/>
        <v>520.20833333333417</v>
      </c>
      <c r="F141" s="6">
        <f t="shared" si="25"/>
        <v>833.33333333333337</v>
      </c>
      <c r="G141" s="6">
        <f t="shared" si="26"/>
        <v>99690.833333333328</v>
      </c>
      <c r="H141" s="6">
        <f t="shared" si="27"/>
        <v>113333.33333333312</v>
      </c>
      <c r="I141" s="6">
        <f t="shared" si="28"/>
        <v>213024.16666666666</v>
      </c>
      <c r="J141" s="6">
        <f t="shared" si="29"/>
        <v>136666.66666666686</v>
      </c>
    </row>
    <row r="142" spans="1:10" x14ac:dyDescent="0.25">
      <c r="A142">
        <f t="shared" si="20"/>
        <v>137</v>
      </c>
      <c r="B142" s="2">
        <f t="shared" ca="1" si="21"/>
        <v>46093</v>
      </c>
      <c r="C142" t="str">
        <f t="shared" ca="1" si="22"/>
        <v>marzec</v>
      </c>
      <c r="D142" s="6">
        <f t="shared" si="23"/>
        <v>1350.3888888888896</v>
      </c>
      <c r="E142" s="6">
        <f t="shared" si="24"/>
        <v>517.05555555555634</v>
      </c>
      <c r="F142" s="6">
        <f t="shared" si="25"/>
        <v>833.33333333333337</v>
      </c>
      <c r="G142" s="6">
        <f t="shared" si="26"/>
        <v>100207.88888888889</v>
      </c>
      <c r="H142" s="6">
        <f t="shared" si="27"/>
        <v>114166.66666666645</v>
      </c>
      <c r="I142" s="6">
        <f t="shared" si="28"/>
        <v>214374.55555555553</v>
      </c>
      <c r="J142" s="6">
        <f t="shared" si="29"/>
        <v>135833.33333333355</v>
      </c>
    </row>
    <row r="143" spans="1:10" x14ac:dyDescent="0.25">
      <c r="A143">
        <f t="shared" si="20"/>
        <v>138</v>
      </c>
      <c r="B143" s="2">
        <f t="shared" ca="1" si="21"/>
        <v>46124</v>
      </c>
      <c r="C143" t="str">
        <f t="shared" ca="1" si="22"/>
        <v>kwiecień</v>
      </c>
      <c r="D143" s="6">
        <f t="shared" si="23"/>
        <v>1347.236111111112</v>
      </c>
      <c r="E143" s="6">
        <f t="shared" si="24"/>
        <v>513.90277777777862</v>
      </c>
      <c r="F143" s="6">
        <f t="shared" si="25"/>
        <v>833.33333333333337</v>
      </c>
      <c r="G143" s="6">
        <f t="shared" si="26"/>
        <v>100721.79166666667</v>
      </c>
      <c r="H143" s="6">
        <f t="shared" si="27"/>
        <v>114999.99999999978</v>
      </c>
      <c r="I143" s="6">
        <f t="shared" si="28"/>
        <v>215721.79166666666</v>
      </c>
      <c r="J143" s="6">
        <f t="shared" si="29"/>
        <v>135000.00000000023</v>
      </c>
    </row>
    <row r="144" spans="1:10" x14ac:dyDescent="0.25">
      <c r="A144">
        <f t="shared" si="20"/>
        <v>139</v>
      </c>
      <c r="B144" s="2">
        <f t="shared" ca="1" si="21"/>
        <v>46154</v>
      </c>
      <c r="C144" t="str">
        <f t="shared" ca="1" si="22"/>
        <v>maj</v>
      </c>
      <c r="D144" s="6">
        <f t="shared" si="23"/>
        <v>1344.0833333333344</v>
      </c>
      <c r="E144" s="6">
        <f t="shared" si="24"/>
        <v>510.75000000000091</v>
      </c>
      <c r="F144" s="6">
        <f t="shared" si="25"/>
        <v>833.33333333333337</v>
      </c>
      <c r="G144" s="6">
        <f t="shared" si="26"/>
        <v>101232.54166666667</v>
      </c>
      <c r="H144" s="6">
        <f t="shared" si="27"/>
        <v>115833.33333333311</v>
      </c>
      <c r="I144" s="6">
        <f t="shared" si="28"/>
        <v>217065.875</v>
      </c>
      <c r="J144" s="6">
        <f t="shared" si="29"/>
        <v>134166.66666666689</v>
      </c>
    </row>
    <row r="145" spans="1:10" x14ac:dyDescent="0.25">
      <c r="A145">
        <f t="shared" si="20"/>
        <v>140</v>
      </c>
      <c r="B145" s="2">
        <f t="shared" ca="1" si="21"/>
        <v>46185</v>
      </c>
      <c r="C145" t="str">
        <f t="shared" ca="1" si="22"/>
        <v>czerwiec</v>
      </c>
      <c r="D145" s="6">
        <f t="shared" si="23"/>
        <v>1340.9305555555566</v>
      </c>
      <c r="E145" s="6">
        <f t="shared" si="24"/>
        <v>507.59722222222308</v>
      </c>
      <c r="F145" s="6">
        <f t="shared" si="25"/>
        <v>833.33333333333337</v>
      </c>
      <c r="G145" s="6">
        <f t="shared" si="26"/>
        <v>101740.13888888889</v>
      </c>
      <c r="H145" s="6">
        <f t="shared" si="27"/>
        <v>116666.66666666644</v>
      </c>
      <c r="I145" s="6">
        <f t="shared" si="28"/>
        <v>218406.80555555556</v>
      </c>
      <c r="J145" s="6">
        <f t="shared" si="29"/>
        <v>133333.33333333355</v>
      </c>
    </row>
    <row r="146" spans="1:10" x14ac:dyDescent="0.25">
      <c r="A146">
        <f t="shared" si="20"/>
        <v>141</v>
      </c>
      <c r="B146" s="2">
        <f t="shared" ca="1" si="21"/>
        <v>46215</v>
      </c>
      <c r="C146" t="str">
        <f t="shared" ca="1" si="22"/>
        <v>lipiec</v>
      </c>
      <c r="D146" s="6">
        <f t="shared" si="23"/>
        <v>1337.7777777777787</v>
      </c>
      <c r="E146" s="6">
        <f t="shared" si="24"/>
        <v>504.44444444444525</v>
      </c>
      <c r="F146" s="6">
        <f t="shared" si="25"/>
        <v>833.33333333333337</v>
      </c>
      <c r="G146" s="6">
        <f t="shared" si="26"/>
        <v>102244.58333333334</v>
      </c>
      <c r="H146" s="6">
        <f t="shared" si="27"/>
        <v>117499.99999999977</v>
      </c>
      <c r="I146" s="6">
        <f t="shared" si="28"/>
        <v>219744.58333333334</v>
      </c>
      <c r="J146" s="6">
        <f t="shared" si="29"/>
        <v>132500.00000000023</v>
      </c>
    </row>
    <row r="147" spans="1:10" x14ac:dyDescent="0.25">
      <c r="A147">
        <f t="shared" si="20"/>
        <v>142</v>
      </c>
      <c r="B147" s="2">
        <f t="shared" ca="1" si="21"/>
        <v>46246</v>
      </c>
      <c r="C147" t="str">
        <f t="shared" ca="1" si="22"/>
        <v>sierpień</v>
      </c>
      <c r="D147" s="6">
        <f t="shared" si="23"/>
        <v>1334.6250000000009</v>
      </c>
      <c r="E147" s="6">
        <f t="shared" si="24"/>
        <v>501.2916666666676</v>
      </c>
      <c r="F147" s="6">
        <f t="shared" si="25"/>
        <v>833.33333333333337</v>
      </c>
      <c r="G147" s="6">
        <f t="shared" si="26"/>
        <v>102745.87500000001</v>
      </c>
      <c r="H147" s="6">
        <f t="shared" si="27"/>
        <v>118333.3333333331</v>
      </c>
      <c r="I147" s="6">
        <f t="shared" si="28"/>
        <v>221079.20833333334</v>
      </c>
      <c r="J147" s="6">
        <f t="shared" si="29"/>
        <v>131666.66666666692</v>
      </c>
    </row>
    <row r="148" spans="1:10" x14ac:dyDescent="0.25">
      <c r="A148">
        <f t="shared" si="20"/>
        <v>143</v>
      </c>
      <c r="B148" s="2">
        <f t="shared" ca="1" si="21"/>
        <v>46277</v>
      </c>
      <c r="C148" t="str">
        <f t="shared" ca="1" si="22"/>
        <v>wrzesień</v>
      </c>
      <c r="D148" s="6">
        <f t="shared" si="23"/>
        <v>1331.4722222222233</v>
      </c>
      <c r="E148" s="6">
        <f t="shared" si="24"/>
        <v>498.13888888888988</v>
      </c>
      <c r="F148" s="6">
        <f t="shared" si="25"/>
        <v>833.33333333333337</v>
      </c>
      <c r="G148" s="6">
        <f t="shared" si="26"/>
        <v>103244.01388888891</v>
      </c>
      <c r="H148" s="6">
        <f t="shared" si="27"/>
        <v>119166.66666666642</v>
      </c>
      <c r="I148" s="6">
        <f t="shared" si="28"/>
        <v>222410.68055555556</v>
      </c>
      <c r="J148" s="6">
        <f t="shared" si="29"/>
        <v>130833.33333333358</v>
      </c>
    </row>
    <row r="149" spans="1:10" x14ac:dyDescent="0.25">
      <c r="A149">
        <f t="shared" si="20"/>
        <v>144</v>
      </c>
      <c r="B149" s="2">
        <f t="shared" ca="1" si="21"/>
        <v>46307</v>
      </c>
      <c r="C149" t="str">
        <f t="shared" ca="1" si="22"/>
        <v>październik</v>
      </c>
      <c r="D149" s="6">
        <f t="shared" si="23"/>
        <v>1328.3194444444455</v>
      </c>
      <c r="E149" s="6">
        <f t="shared" si="24"/>
        <v>494.98611111111205</v>
      </c>
      <c r="F149" s="6">
        <f t="shared" si="25"/>
        <v>833.33333333333337</v>
      </c>
      <c r="G149" s="6">
        <f t="shared" si="26"/>
        <v>103739.00000000001</v>
      </c>
      <c r="H149" s="6">
        <f t="shared" si="27"/>
        <v>119999.99999999975</v>
      </c>
      <c r="I149" s="6">
        <f t="shared" si="28"/>
        <v>223739</v>
      </c>
      <c r="J149" s="6">
        <f t="shared" si="29"/>
        <v>130000.00000000025</v>
      </c>
    </row>
    <row r="150" spans="1:10" x14ac:dyDescent="0.25">
      <c r="A150">
        <f t="shared" si="20"/>
        <v>145</v>
      </c>
      <c r="B150" s="2">
        <f t="shared" ca="1" si="21"/>
        <v>46338</v>
      </c>
      <c r="C150" t="str">
        <f t="shared" ca="1" si="22"/>
        <v>listopad</v>
      </c>
      <c r="D150" s="6">
        <f t="shared" si="23"/>
        <v>1325.1666666666677</v>
      </c>
      <c r="E150" s="6">
        <f t="shared" si="24"/>
        <v>491.83333333333434</v>
      </c>
      <c r="F150" s="6">
        <f t="shared" si="25"/>
        <v>833.33333333333337</v>
      </c>
      <c r="G150" s="6">
        <f t="shared" si="26"/>
        <v>104230.83333333334</v>
      </c>
      <c r="H150" s="6">
        <f t="shared" si="27"/>
        <v>120833.33333333308</v>
      </c>
      <c r="I150" s="6">
        <f t="shared" si="28"/>
        <v>225064.16666666666</v>
      </c>
      <c r="J150" s="6">
        <f t="shared" si="29"/>
        <v>129166.66666666692</v>
      </c>
    </row>
    <row r="151" spans="1:10" x14ac:dyDescent="0.25">
      <c r="A151">
        <f t="shared" si="20"/>
        <v>146</v>
      </c>
      <c r="B151" s="2">
        <f t="shared" ca="1" si="21"/>
        <v>46368</v>
      </c>
      <c r="C151" t="str">
        <f t="shared" ca="1" si="22"/>
        <v>grudzień</v>
      </c>
      <c r="D151" s="6">
        <f t="shared" si="23"/>
        <v>1322.0138888888901</v>
      </c>
      <c r="E151" s="6">
        <f t="shared" si="24"/>
        <v>488.68055555555657</v>
      </c>
      <c r="F151" s="6">
        <f t="shared" si="25"/>
        <v>833.33333333333337</v>
      </c>
      <c r="G151" s="6">
        <f t="shared" si="26"/>
        <v>104719.51388888891</v>
      </c>
      <c r="H151" s="6">
        <f t="shared" si="27"/>
        <v>121666.66666666641</v>
      </c>
      <c r="I151" s="6">
        <f t="shared" si="28"/>
        <v>226386.18055555553</v>
      </c>
      <c r="J151" s="6">
        <f t="shared" si="29"/>
        <v>128333.33333333359</v>
      </c>
    </row>
    <row r="152" spans="1:10" x14ac:dyDescent="0.25">
      <c r="A152">
        <f t="shared" si="20"/>
        <v>147</v>
      </c>
      <c r="B152" s="2">
        <f t="shared" ca="1" si="21"/>
        <v>46399</v>
      </c>
      <c r="C152" t="str">
        <f t="shared" ca="1" si="22"/>
        <v>styczeń</v>
      </c>
      <c r="D152" s="6">
        <f t="shared" si="23"/>
        <v>1318.8611111111122</v>
      </c>
      <c r="E152" s="6">
        <f t="shared" si="24"/>
        <v>485.52777777777879</v>
      </c>
      <c r="F152" s="6">
        <f t="shared" si="25"/>
        <v>833.33333333333337</v>
      </c>
      <c r="G152" s="6">
        <f t="shared" si="26"/>
        <v>105205.04166666669</v>
      </c>
      <c r="H152" s="6">
        <f t="shared" si="27"/>
        <v>122499.99999999974</v>
      </c>
      <c r="I152" s="6">
        <f t="shared" si="28"/>
        <v>227705.04166666666</v>
      </c>
      <c r="J152" s="6">
        <f t="shared" si="29"/>
        <v>127500.00000000026</v>
      </c>
    </row>
    <row r="153" spans="1:10" x14ac:dyDescent="0.25">
      <c r="A153">
        <f t="shared" si="20"/>
        <v>148</v>
      </c>
      <c r="B153" s="2">
        <f t="shared" ca="1" si="21"/>
        <v>46430</v>
      </c>
      <c r="C153" t="str">
        <f t="shared" ca="1" si="22"/>
        <v>luty</v>
      </c>
      <c r="D153" s="6">
        <f t="shared" si="23"/>
        <v>1315.7083333333344</v>
      </c>
      <c r="E153" s="6">
        <f t="shared" si="24"/>
        <v>482.37500000000097</v>
      </c>
      <c r="F153" s="6">
        <f t="shared" si="25"/>
        <v>833.33333333333337</v>
      </c>
      <c r="G153" s="6">
        <f t="shared" si="26"/>
        <v>105687.41666666669</v>
      </c>
      <c r="H153" s="6">
        <f t="shared" si="27"/>
        <v>123333.33333333307</v>
      </c>
      <c r="I153" s="6">
        <f t="shared" si="28"/>
        <v>229020.75</v>
      </c>
      <c r="J153" s="6">
        <f t="shared" si="29"/>
        <v>126666.66666666693</v>
      </c>
    </row>
    <row r="154" spans="1:10" x14ac:dyDescent="0.25">
      <c r="A154">
        <f t="shared" si="20"/>
        <v>149</v>
      </c>
      <c r="B154" s="2">
        <f t="shared" ca="1" si="21"/>
        <v>46458</v>
      </c>
      <c r="C154" t="str">
        <f t="shared" ca="1" si="22"/>
        <v>marzec</v>
      </c>
      <c r="D154" s="6">
        <f t="shared" si="23"/>
        <v>1312.5555555555566</v>
      </c>
      <c r="E154" s="6">
        <f t="shared" si="24"/>
        <v>479.22222222222325</v>
      </c>
      <c r="F154" s="6">
        <f t="shared" si="25"/>
        <v>833.33333333333337</v>
      </c>
      <c r="G154" s="6">
        <f t="shared" si="26"/>
        <v>106166.63888888891</v>
      </c>
      <c r="H154" s="6">
        <f t="shared" si="27"/>
        <v>124166.6666666664</v>
      </c>
      <c r="I154" s="6">
        <f t="shared" si="28"/>
        <v>230333.30555555556</v>
      </c>
      <c r="J154" s="6">
        <f t="shared" si="29"/>
        <v>125833.3333333336</v>
      </c>
    </row>
    <row r="155" spans="1:10" x14ac:dyDescent="0.25">
      <c r="A155">
        <f t="shared" si="20"/>
        <v>150</v>
      </c>
      <c r="B155" s="2">
        <f t="shared" ca="1" si="21"/>
        <v>46489</v>
      </c>
      <c r="C155" t="str">
        <f t="shared" ca="1" si="22"/>
        <v>kwiecień</v>
      </c>
      <c r="D155" s="6">
        <f t="shared" si="23"/>
        <v>1309.4027777777787</v>
      </c>
      <c r="E155" s="6">
        <f t="shared" si="24"/>
        <v>476.06944444444548</v>
      </c>
      <c r="F155" s="6">
        <f t="shared" si="25"/>
        <v>833.33333333333337</v>
      </c>
      <c r="G155" s="6">
        <f t="shared" si="26"/>
        <v>106642.70833333336</v>
      </c>
      <c r="H155" s="6">
        <f t="shared" si="27"/>
        <v>124999.99999999972</v>
      </c>
      <c r="I155" s="6">
        <f t="shared" si="28"/>
        <v>231642.70833333334</v>
      </c>
      <c r="J155" s="6">
        <f t="shared" si="29"/>
        <v>125000.00000000028</v>
      </c>
    </row>
    <row r="156" spans="1:10" x14ac:dyDescent="0.25">
      <c r="A156">
        <f t="shared" si="20"/>
        <v>151</v>
      </c>
      <c r="B156" s="2">
        <f t="shared" ca="1" si="21"/>
        <v>46519</v>
      </c>
      <c r="C156" t="str">
        <f t="shared" ca="1" si="22"/>
        <v>maj</v>
      </c>
      <c r="D156" s="6">
        <f t="shared" si="23"/>
        <v>1306.2500000000011</v>
      </c>
      <c r="E156" s="6">
        <f t="shared" si="24"/>
        <v>472.91666666666771</v>
      </c>
      <c r="F156" s="6">
        <f t="shared" si="25"/>
        <v>833.33333333333337</v>
      </c>
      <c r="G156" s="6">
        <f t="shared" si="26"/>
        <v>107115.62500000003</v>
      </c>
      <c r="H156" s="6">
        <f t="shared" si="27"/>
        <v>125833.33333333305</v>
      </c>
      <c r="I156" s="6">
        <f t="shared" si="28"/>
        <v>232948.95833333334</v>
      </c>
      <c r="J156" s="6">
        <f t="shared" si="29"/>
        <v>124166.66666666695</v>
      </c>
    </row>
    <row r="157" spans="1:10" x14ac:dyDescent="0.25">
      <c r="A157">
        <f t="shared" si="20"/>
        <v>152</v>
      </c>
      <c r="B157" s="2">
        <f t="shared" ca="1" si="21"/>
        <v>46550</v>
      </c>
      <c r="C157" t="str">
        <f t="shared" ca="1" si="22"/>
        <v>czerwiec</v>
      </c>
      <c r="D157" s="6">
        <f t="shared" si="23"/>
        <v>1303.0972222222233</v>
      </c>
      <c r="E157" s="6">
        <f t="shared" si="24"/>
        <v>469.76388888888999</v>
      </c>
      <c r="F157" s="6">
        <f t="shared" si="25"/>
        <v>833.33333333333337</v>
      </c>
      <c r="G157" s="6">
        <f t="shared" si="26"/>
        <v>107585.38888888892</v>
      </c>
      <c r="H157" s="6">
        <f t="shared" si="27"/>
        <v>126666.66666666638</v>
      </c>
      <c r="I157" s="6">
        <f t="shared" si="28"/>
        <v>234252.05555555556</v>
      </c>
      <c r="J157" s="6">
        <f t="shared" si="29"/>
        <v>123333.33333333362</v>
      </c>
    </row>
    <row r="158" spans="1:10" x14ac:dyDescent="0.25">
      <c r="A158">
        <f t="shared" si="20"/>
        <v>153</v>
      </c>
      <c r="B158" s="2">
        <f t="shared" ca="1" si="21"/>
        <v>46580</v>
      </c>
      <c r="C158" t="str">
        <f t="shared" ca="1" si="22"/>
        <v>lipiec</v>
      </c>
      <c r="D158" s="6">
        <f t="shared" si="23"/>
        <v>1299.9444444444457</v>
      </c>
      <c r="E158" s="6">
        <f t="shared" si="24"/>
        <v>466.61111111111222</v>
      </c>
      <c r="F158" s="6">
        <f t="shared" si="25"/>
        <v>833.33333333333337</v>
      </c>
      <c r="G158" s="6">
        <f t="shared" si="26"/>
        <v>108052.00000000003</v>
      </c>
      <c r="H158" s="6">
        <f t="shared" si="27"/>
        <v>127499.99999999971</v>
      </c>
      <c r="I158" s="6">
        <f t="shared" si="28"/>
        <v>235552</v>
      </c>
      <c r="J158" s="6">
        <f t="shared" si="29"/>
        <v>122500.00000000029</v>
      </c>
    </row>
    <row r="159" spans="1:10" x14ac:dyDescent="0.25">
      <c r="A159">
        <f t="shared" si="20"/>
        <v>154</v>
      </c>
      <c r="B159" s="2">
        <f t="shared" ca="1" si="21"/>
        <v>46611</v>
      </c>
      <c r="C159" t="str">
        <f t="shared" ca="1" si="22"/>
        <v>sierpień</v>
      </c>
      <c r="D159" s="6">
        <f t="shared" si="23"/>
        <v>1296.7916666666679</v>
      </c>
      <c r="E159" s="6">
        <f t="shared" si="24"/>
        <v>463.45833333333445</v>
      </c>
      <c r="F159" s="6">
        <f t="shared" si="25"/>
        <v>833.33333333333337</v>
      </c>
      <c r="G159" s="6">
        <f t="shared" si="26"/>
        <v>108515.45833333336</v>
      </c>
      <c r="H159" s="6">
        <f t="shared" si="27"/>
        <v>128333.33333333304</v>
      </c>
      <c r="I159" s="6">
        <f t="shared" si="28"/>
        <v>236848.79166666666</v>
      </c>
      <c r="J159" s="6">
        <f t="shared" si="29"/>
        <v>121666.66666666696</v>
      </c>
    </row>
    <row r="160" spans="1:10" x14ac:dyDescent="0.25">
      <c r="A160">
        <f t="shared" si="20"/>
        <v>155</v>
      </c>
      <c r="B160" s="2">
        <f t="shared" ca="1" si="21"/>
        <v>46642</v>
      </c>
      <c r="C160" t="str">
        <f t="shared" ca="1" si="22"/>
        <v>wrzesień</v>
      </c>
      <c r="D160" s="6">
        <f t="shared" si="23"/>
        <v>1293.6388888888901</v>
      </c>
      <c r="E160" s="6">
        <f t="shared" si="24"/>
        <v>460.30555555555674</v>
      </c>
      <c r="F160" s="6">
        <f t="shared" si="25"/>
        <v>833.33333333333337</v>
      </c>
      <c r="G160" s="6">
        <f t="shared" si="26"/>
        <v>108975.76388888892</v>
      </c>
      <c r="H160" s="6">
        <f t="shared" si="27"/>
        <v>129166.66666666637</v>
      </c>
      <c r="I160" s="6">
        <f t="shared" si="28"/>
        <v>238142.43055555553</v>
      </c>
      <c r="J160" s="6">
        <f t="shared" si="29"/>
        <v>120833.33333333363</v>
      </c>
    </row>
    <row r="161" spans="1:10" x14ac:dyDescent="0.25">
      <c r="A161">
        <f t="shared" si="20"/>
        <v>156</v>
      </c>
      <c r="B161" s="2">
        <f t="shared" ca="1" si="21"/>
        <v>46672</v>
      </c>
      <c r="C161" t="str">
        <f t="shared" ca="1" si="22"/>
        <v>październik</v>
      </c>
      <c r="D161" s="6">
        <f t="shared" si="23"/>
        <v>1290.4861111111122</v>
      </c>
      <c r="E161" s="6">
        <f t="shared" si="24"/>
        <v>457.15277777777897</v>
      </c>
      <c r="F161" s="6">
        <f t="shared" si="25"/>
        <v>833.33333333333337</v>
      </c>
      <c r="G161" s="6">
        <f t="shared" si="26"/>
        <v>109432.9166666667</v>
      </c>
      <c r="H161" s="6">
        <f t="shared" si="27"/>
        <v>129999.99999999969</v>
      </c>
      <c r="I161" s="6">
        <f t="shared" si="28"/>
        <v>239432.91666666666</v>
      </c>
      <c r="J161" s="6">
        <f t="shared" si="29"/>
        <v>120000.00000000031</v>
      </c>
    </row>
    <row r="162" spans="1:10" x14ac:dyDescent="0.25">
      <c r="A162">
        <f t="shared" si="20"/>
        <v>157</v>
      </c>
      <c r="B162" s="2">
        <f t="shared" ca="1" si="21"/>
        <v>46703</v>
      </c>
      <c r="C162" t="str">
        <f t="shared" ca="1" si="22"/>
        <v>listopad</v>
      </c>
      <c r="D162" s="6">
        <f t="shared" si="23"/>
        <v>1287.3333333333346</v>
      </c>
      <c r="E162" s="6">
        <f t="shared" si="24"/>
        <v>454.00000000000119</v>
      </c>
      <c r="F162" s="6">
        <f t="shared" si="25"/>
        <v>833.33333333333337</v>
      </c>
      <c r="G162" s="6">
        <f t="shared" si="26"/>
        <v>109886.9166666667</v>
      </c>
      <c r="H162" s="6">
        <f t="shared" si="27"/>
        <v>130833.33333333302</v>
      </c>
      <c r="I162" s="6">
        <f t="shared" si="28"/>
        <v>240720.25</v>
      </c>
      <c r="J162" s="6">
        <f t="shared" si="29"/>
        <v>119166.66666666698</v>
      </c>
    </row>
    <row r="163" spans="1:10" x14ac:dyDescent="0.25">
      <c r="A163">
        <f t="shared" si="20"/>
        <v>158</v>
      </c>
      <c r="B163" s="2">
        <f t="shared" ca="1" si="21"/>
        <v>46733</v>
      </c>
      <c r="C163" t="str">
        <f t="shared" ca="1" si="22"/>
        <v>grudzień</v>
      </c>
      <c r="D163" s="6">
        <f t="shared" si="23"/>
        <v>1284.1805555555568</v>
      </c>
      <c r="E163" s="6">
        <f t="shared" si="24"/>
        <v>450.84722222222348</v>
      </c>
      <c r="F163" s="6">
        <f t="shared" si="25"/>
        <v>833.33333333333337</v>
      </c>
      <c r="G163" s="6">
        <f t="shared" si="26"/>
        <v>110337.76388888892</v>
      </c>
      <c r="H163" s="6">
        <f t="shared" si="27"/>
        <v>131666.66666666637</v>
      </c>
      <c r="I163" s="6">
        <f t="shared" si="28"/>
        <v>242004.43055555556</v>
      </c>
      <c r="J163" s="6">
        <f t="shared" si="29"/>
        <v>118333.33333333363</v>
      </c>
    </row>
    <row r="164" spans="1:10" x14ac:dyDescent="0.25">
      <c r="A164">
        <f t="shared" si="20"/>
        <v>159</v>
      </c>
      <c r="B164" s="2">
        <f t="shared" ca="1" si="21"/>
        <v>46764</v>
      </c>
      <c r="C164" t="str">
        <f t="shared" ca="1" si="22"/>
        <v>styczeń</v>
      </c>
      <c r="D164" s="6">
        <f t="shared" si="23"/>
        <v>1281.027777777779</v>
      </c>
      <c r="E164" s="6">
        <f t="shared" si="24"/>
        <v>447.69444444444565</v>
      </c>
      <c r="F164" s="6">
        <f t="shared" si="25"/>
        <v>833.33333333333337</v>
      </c>
      <c r="G164" s="6">
        <f t="shared" si="26"/>
        <v>110785.45833333337</v>
      </c>
      <c r="H164" s="6">
        <f t="shared" si="27"/>
        <v>132499.99999999971</v>
      </c>
      <c r="I164" s="6">
        <f t="shared" si="28"/>
        <v>243285.45833333334</v>
      </c>
      <c r="J164" s="6">
        <f t="shared" si="29"/>
        <v>117500.00000000029</v>
      </c>
    </row>
    <row r="165" spans="1:10" x14ac:dyDescent="0.25">
      <c r="A165">
        <f t="shared" si="20"/>
        <v>160</v>
      </c>
      <c r="B165" s="2">
        <f t="shared" ca="1" si="21"/>
        <v>46795</v>
      </c>
      <c r="C165" t="str">
        <f t="shared" ca="1" si="22"/>
        <v>luty</v>
      </c>
      <c r="D165" s="6">
        <f t="shared" si="23"/>
        <v>1277.8750000000011</v>
      </c>
      <c r="E165" s="6">
        <f t="shared" si="24"/>
        <v>444.54166666666782</v>
      </c>
      <c r="F165" s="6">
        <f t="shared" si="25"/>
        <v>833.33333333333337</v>
      </c>
      <c r="G165" s="6">
        <f t="shared" si="26"/>
        <v>111230.00000000004</v>
      </c>
      <c r="H165" s="6">
        <f t="shared" si="27"/>
        <v>133333.33333333305</v>
      </c>
      <c r="I165" s="6">
        <f t="shared" si="28"/>
        <v>244563.33333333334</v>
      </c>
      <c r="J165" s="6">
        <f t="shared" si="29"/>
        <v>116666.66666666695</v>
      </c>
    </row>
    <row r="166" spans="1:10" x14ac:dyDescent="0.25">
      <c r="A166">
        <f t="shared" si="20"/>
        <v>161</v>
      </c>
      <c r="B166" s="2">
        <f t="shared" ca="1" si="21"/>
        <v>46824</v>
      </c>
      <c r="C166" t="str">
        <f t="shared" ca="1" si="22"/>
        <v>marzec</v>
      </c>
      <c r="D166" s="6">
        <f t="shared" si="23"/>
        <v>1274.7222222222233</v>
      </c>
      <c r="E166" s="6">
        <f t="shared" si="24"/>
        <v>441.38888888888999</v>
      </c>
      <c r="F166" s="6">
        <f t="shared" si="25"/>
        <v>833.33333333333337</v>
      </c>
      <c r="G166" s="6">
        <f t="shared" si="26"/>
        <v>111671.38888888893</v>
      </c>
      <c r="H166" s="6">
        <f t="shared" si="27"/>
        <v>134166.6666666664</v>
      </c>
      <c r="I166" s="6">
        <f t="shared" si="28"/>
        <v>245838.05555555556</v>
      </c>
      <c r="J166" s="6">
        <f t="shared" si="29"/>
        <v>115833.3333333336</v>
      </c>
    </row>
    <row r="167" spans="1:10" x14ac:dyDescent="0.25">
      <c r="A167">
        <f t="shared" si="20"/>
        <v>162</v>
      </c>
      <c r="B167" s="2">
        <f t="shared" ca="1" si="21"/>
        <v>46855</v>
      </c>
      <c r="C167" t="str">
        <f t="shared" ca="1" si="22"/>
        <v>kwiecień</v>
      </c>
      <c r="D167" s="6">
        <f t="shared" si="23"/>
        <v>1271.5694444444455</v>
      </c>
      <c r="E167" s="6">
        <f t="shared" si="24"/>
        <v>438.23611111111217</v>
      </c>
      <c r="F167" s="6">
        <f t="shared" si="25"/>
        <v>833.33333333333337</v>
      </c>
      <c r="G167" s="6">
        <f t="shared" si="26"/>
        <v>112109.62500000004</v>
      </c>
      <c r="H167" s="6">
        <f t="shared" si="27"/>
        <v>134999.99999999974</v>
      </c>
      <c r="I167" s="6">
        <f t="shared" si="28"/>
        <v>247109.625</v>
      </c>
      <c r="J167" s="6">
        <f t="shared" si="29"/>
        <v>115000.00000000026</v>
      </c>
    </row>
    <row r="168" spans="1:10" x14ac:dyDescent="0.25">
      <c r="A168">
        <f t="shared" si="20"/>
        <v>163</v>
      </c>
      <c r="B168" s="2">
        <f t="shared" ca="1" si="21"/>
        <v>46885</v>
      </c>
      <c r="C168" t="str">
        <f t="shared" ca="1" si="22"/>
        <v>maj</v>
      </c>
      <c r="D168" s="6">
        <f t="shared" si="23"/>
        <v>1268.4166666666677</v>
      </c>
      <c r="E168" s="6">
        <f t="shared" si="24"/>
        <v>435.08333333333434</v>
      </c>
      <c r="F168" s="6">
        <f t="shared" si="25"/>
        <v>833.33333333333337</v>
      </c>
      <c r="G168" s="6">
        <f t="shared" si="26"/>
        <v>112544.70833333337</v>
      </c>
      <c r="H168" s="6">
        <f t="shared" si="27"/>
        <v>135833.33333333308</v>
      </c>
      <c r="I168" s="6">
        <f t="shared" si="28"/>
        <v>248378.04166666666</v>
      </c>
      <c r="J168" s="6">
        <f t="shared" si="29"/>
        <v>114166.66666666692</v>
      </c>
    </row>
    <row r="169" spans="1:10" x14ac:dyDescent="0.25">
      <c r="A169">
        <f t="shared" si="20"/>
        <v>164</v>
      </c>
      <c r="B169" s="2">
        <f t="shared" ca="1" si="21"/>
        <v>46916</v>
      </c>
      <c r="C169" t="str">
        <f t="shared" ca="1" si="22"/>
        <v>czerwiec</v>
      </c>
      <c r="D169" s="6">
        <f t="shared" si="23"/>
        <v>1265.2638888888901</v>
      </c>
      <c r="E169" s="6">
        <f t="shared" si="24"/>
        <v>431.93055555555657</v>
      </c>
      <c r="F169" s="6">
        <f t="shared" si="25"/>
        <v>833.33333333333337</v>
      </c>
      <c r="G169" s="6">
        <f t="shared" si="26"/>
        <v>112976.63888888893</v>
      </c>
      <c r="H169" s="6">
        <f t="shared" si="27"/>
        <v>136666.66666666642</v>
      </c>
      <c r="I169" s="6">
        <f t="shared" si="28"/>
        <v>249643.30555555553</v>
      </c>
      <c r="J169" s="6">
        <f t="shared" si="29"/>
        <v>113333.33333333358</v>
      </c>
    </row>
    <row r="170" spans="1:10" x14ac:dyDescent="0.25">
      <c r="A170">
        <f t="shared" si="20"/>
        <v>165</v>
      </c>
      <c r="B170" s="2">
        <f t="shared" ca="1" si="21"/>
        <v>46946</v>
      </c>
      <c r="C170" t="str">
        <f t="shared" ca="1" si="22"/>
        <v>lipiec</v>
      </c>
      <c r="D170" s="6">
        <f t="shared" si="23"/>
        <v>1262.1111111111122</v>
      </c>
      <c r="E170" s="6">
        <f t="shared" si="24"/>
        <v>428.77777777777874</v>
      </c>
      <c r="F170" s="6">
        <f t="shared" si="25"/>
        <v>833.33333333333337</v>
      </c>
      <c r="G170" s="6">
        <f t="shared" si="26"/>
        <v>113405.41666666672</v>
      </c>
      <c r="H170" s="6">
        <f t="shared" si="27"/>
        <v>137499.99999999977</v>
      </c>
      <c r="I170" s="6">
        <f t="shared" si="28"/>
        <v>250905.41666666666</v>
      </c>
      <c r="J170" s="6">
        <f t="shared" si="29"/>
        <v>112500.00000000023</v>
      </c>
    </row>
    <row r="171" spans="1:10" x14ac:dyDescent="0.25">
      <c r="A171">
        <f t="shared" si="20"/>
        <v>166</v>
      </c>
      <c r="B171" s="2">
        <f t="shared" ca="1" si="21"/>
        <v>46977</v>
      </c>
      <c r="C171" t="str">
        <f t="shared" ca="1" si="22"/>
        <v>sierpień</v>
      </c>
      <c r="D171" s="6">
        <f t="shared" si="23"/>
        <v>1258.9583333333344</v>
      </c>
      <c r="E171" s="6">
        <f t="shared" si="24"/>
        <v>425.62500000000091</v>
      </c>
      <c r="F171" s="6">
        <f t="shared" si="25"/>
        <v>833.33333333333337</v>
      </c>
      <c r="G171" s="6">
        <f t="shared" si="26"/>
        <v>113831.04166666672</v>
      </c>
      <c r="H171" s="6">
        <f t="shared" si="27"/>
        <v>138333.33333333311</v>
      </c>
      <c r="I171" s="6">
        <f t="shared" si="28"/>
        <v>252164.375</v>
      </c>
      <c r="J171" s="6">
        <f t="shared" si="29"/>
        <v>111666.66666666689</v>
      </c>
    </row>
    <row r="172" spans="1:10" x14ac:dyDescent="0.25">
      <c r="A172">
        <f t="shared" si="20"/>
        <v>167</v>
      </c>
      <c r="B172" s="2">
        <f t="shared" ca="1" si="21"/>
        <v>47008</v>
      </c>
      <c r="C172" t="str">
        <f t="shared" ca="1" si="22"/>
        <v>wrzesień</v>
      </c>
      <c r="D172" s="6">
        <f t="shared" si="23"/>
        <v>1255.8055555555566</v>
      </c>
      <c r="E172" s="6">
        <f t="shared" si="24"/>
        <v>422.47222222222308</v>
      </c>
      <c r="F172" s="6">
        <f t="shared" si="25"/>
        <v>833.33333333333337</v>
      </c>
      <c r="G172" s="6">
        <f t="shared" si="26"/>
        <v>114253.51388888893</v>
      </c>
      <c r="H172" s="6">
        <f t="shared" si="27"/>
        <v>139166.66666666645</v>
      </c>
      <c r="I172" s="6">
        <f t="shared" si="28"/>
        <v>253420.18055555556</v>
      </c>
      <c r="J172" s="6">
        <f t="shared" si="29"/>
        <v>110833.33333333355</v>
      </c>
    </row>
    <row r="173" spans="1:10" x14ac:dyDescent="0.25">
      <c r="A173">
        <f t="shared" si="20"/>
        <v>168</v>
      </c>
      <c r="B173" s="2">
        <f t="shared" ca="1" si="21"/>
        <v>47038</v>
      </c>
      <c r="C173" t="str">
        <f t="shared" ca="1" si="22"/>
        <v>październik</v>
      </c>
      <c r="D173" s="6">
        <f t="shared" si="23"/>
        <v>1252.6527777777787</v>
      </c>
      <c r="E173" s="6">
        <f t="shared" si="24"/>
        <v>419.31944444444525</v>
      </c>
      <c r="F173" s="6">
        <f t="shared" si="25"/>
        <v>833.33333333333337</v>
      </c>
      <c r="G173" s="6">
        <f t="shared" si="26"/>
        <v>114672.83333333337</v>
      </c>
      <c r="H173" s="6">
        <f t="shared" si="27"/>
        <v>139999.9999999998</v>
      </c>
      <c r="I173" s="6">
        <f t="shared" si="28"/>
        <v>254672.83333333334</v>
      </c>
      <c r="J173" s="6">
        <f t="shared" si="29"/>
        <v>110000.0000000002</v>
      </c>
    </row>
    <row r="174" spans="1:10" x14ac:dyDescent="0.25">
      <c r="A174">
        <f t="shared" si="20"/>
        <v>169</v>
      </c>
      <c r="B174" s="2">
        <f t="shared" ca="1" si="21"/>
        <v>47069</v>
      </c>
      <c r="C174" t="str">
        <f t="shared" ca="1" si="22"/>
        <v>listopad</v>
      </c>
      <c r="D174" s="6">
        <f t="shared" si="23"/>
        <v>1249.5000000000009</v>
      </c>
      <c r="E174" s="6">
        <f t="shared" si="24"/>
        <v>416.16666666666748</v>
      </c>
      <c r="F174" s="6">
        <f t="shared" si="25"/>
        <v>833.33333333333337</v>
      </c>
      <c r="G174" s="6">
        <f t="shared" si="26"/>
        <v>115089.00000000004</v>
      </c>
      <c r="H174" s="6">
        <f t="shared" si="27"/>
        <v>140833.33333333314</v>
      </c>
      <c r="I174" s="6">
        <f t="shared" si="28"/>
        <v>255922.33333333334</v>
      </c>
      <c r="J174" s="6">
        <f t="shared" si="29"/>
        <v>109166.66666666686</v>
      </c>
    </row>
    <row r="175" spans="1:10" x14ac:dyDescent="0.25">
      <c r="A175">
        <f t="shared" si="20"/>
        <v>170</v>
      </c>
      <c r="B175" s="2">
        <f t="shared" ca="1" si="21"/>
        <v>47099</v>
      </c>
      <c r="C175" t="str">
        <f t="shared" ca="1" si="22"/>
        <v>grudzień</v>
      </c>
      <c r="D175" s="6">
        <f t="shared" si="23"/>
        <v>1246.3472222222231</v>
      </c>
      <c r="E175" s="6">
        <f t="shared" si="24"/>
        <v>413.01388888888965</v>
      </c>
      <c r="F175" s="6">
        <f t="shared" si="25"/>
        <v>833.33333333333337</v>
      </c>
      <c r="G175" s="6">
        <f t="shared" si="26"/>
        <v>115502.01388888893</v>
      </c>
      <c r="H175" s="6">
        <f t="shared" si="27"/>
        <v>141666.66666666648</v>
      </c>
      <c r="I175" s="6">
        <f t="shared" si="28"/>
        <v>257168.68055555556</v>
      </c>
      <c r="J175" s="6">
        <f t="shared" si="29"/>
        <v>108333.33333333352</v>
      </c>
    </row>
    <row r="176" spans="1:10" x14ac:dyDescent="0.25">
      <c r="A176">
        <f t="shared" si="20"/>
        <v>171</v>
      </c>
      <c r="B176" s="2">
        <f t="shared" ca="1" si="21"/>
        <v>47130</v>
      </c>
      <c r="C176" t="str">
        <f t="shared" ca="1" si="22"/>
        <v>styczeń</v>
      </c>
      <c r="D176" s="6">
        <f t="shared" si="23"/>
        <v>1243.1944444444453</v>
      </c>
      <c r="E176" s="6">
        <f t="shared" si="24"/>
        <v>409.86111111111182</v>
      </c>
      <c r="F176" s="6">
        <f t="shared" si="25"/>
        <v>833.33333333333337</v>
      </c>
      <c r="G176" s="6">
        <f t="shared" si="26"/>
        <v>115911.87500000004</v>
      </c>
      <c r="H176" s="6">
        <f t="shared" si="27"/>
        <v>142499.99999999983</v>
      </c>
      <c r="I176" s="6">
        <f t="shared" si="28"/>
        <v>258411.875</v>
      </c>
      <c r="J176" s="6">
        <f t="shared" si="29"/>
        <v>107500.00000000017</v>
      </c>
    </row>
    <row r="177" spans="1:10" x14ac:dyDescent="0.25">
      <c r="A177">
        <f t="shared" si="20"/>
        <v>172</v>
      </c>
      <c r="B177" s="2">
        <f t="shared" ca="1" si="21"/>
        <v>47161</v>
      </c>
      <c r="C177" t="str">
        <f t="shared" ca="1" si="22"/>
        <v>luty</v>
      </c>
      <c r="D177" s="6">
        <f t="shared" si="23"/>
        <v>1240.0416666666674</v>
      </c>
      <c r="E177" s="6">
        <f t="shared" si="24"/>
        <v>406.708333333334</v>
      </c>
      <c r="F177" s="6">
        <f t="shared" si="25"/>
        <v>833.33333333333337</v>
      </c>
      <c r="G177" s="6">
        <f t="shared" si="26"/>
        <v>116318.58333333337</v>
      </c>
      <c r="H177" s="6">
        <f t="shared" si="27"/>
        <v>143333.33333333317</v>
      </c>
      <c r="I177" s="6">
        <f t="shared" si="28"/>
        <v>259651.91666666666</v>
      </c>
      <c r="J177" s="6">
        <f t="shared" si="29"/>
        <v>106666.66666666683</v>
      </c>
    </row>
    <row r="178" spans="1:10" x14ac:dyDescent="0.25">
      <c r="A178">
        <f t="shared" si="20"/>
        <v>173</v>
      </c>
      <c r="B178" s="2">
        <f t="shared" ca="1" si="21"/>
        <v>47189</v>
      </c>
      <c r="C178" t="str">
        <f t="shared" ca="1" si="22"/>
        <v>marzec</v>
      </c>
      <c r="D178" s="6">
        <f t="shared" si="23"/>
        <v>1236.8888888888896</v>
      </c>
      <c r="E178" s="6">
        <f t="shared" si="24"/>
        <v>403.55555555555617</v>
      </c>
      <c r="F178" s="6">
        <f t="shared" si="25"/>
        <v>833.33333333333337</v>
      </c>
      <c r="G178" s="6">
        <f t="shared" si="26"/>
        <v>116722.13888888893</v>
      </c>
      <c r="H178" s="6">
        <f t="shared" si="27"/>
        <v>144166.66666666651</v>
      </c>
      <c r="I178" s="6">
        <f t="shared" si="28"/>
        <v>260888.80555555553</v>
      </c>
      <c r="J178" s="6">
        <f t="shared" si="29"/>
        <v>105833.33333333349</v>
      </c>
    </row>
    <row r="179" spans="1:10" x14ac:dyDescent="0.25">
      <c r="A179">
        <f t="shared" si="20"/>
        <v>174</v>
      </c>
      <c r="B179" s="2">
        <f t="shared" ca="1" si="21"/>
        <v>47220</v>
      </c>
      <c r="C179" t="str">
        <f t="shared" ca="1" si="22"/>
        <v>kwiecień</v>
      </c>
      <c r="D179" s="6">
        <f t="shared" si="23"/>
        <v>1233.7361111111118</v>
      </c>
      <c r="E179" s="6">
        <f t="shared" si="24"/>
        <v>400.40277777777834</v>
      </c>
      <c r="F179" s="6">
        <f t="shared" si="25"/>
        <v>833.33333333333337</v>
      </c>
      <c r="G179" s="6">
        <f t="shared" si="26"/>
        <v>117122.54166666672</v>
      </c>
      <c r="H179" s="6">
        <f t="shared" si="27"/>
        <v>144999.99999999985</v>
      </c>
      <c r="I179" s="6">
        <f t="shared" si="28"/>
        <v>262122.54166666666</v>
      </c>
      <c r="J179" s="6">
        <f t="shared" si="29"/>
        <v>105000.00000000015</v>
      </c>
    </row>
    <row r="180" spans="1:10" x14ac:dyDescent="0.25">
      <c r="A180">
        <f t="shared" si="20"/>
        <v>175</v>
      </c>
      <c r="B180" s="2">
        <f t="shared" ca="1" si="21"/>
        <v>47250</v>
      </c>
      <c r="C180" t="str">
        <f t="shared" ca="1" si="22"/>
        <v>maj</v>
      </c>
      <c r="D180" s="6">
        <f t="shared" si="23"/>
        <v>1230.5833333333339</v>
      </c>
      <c r="E180" s="6">
        <f t="shared" si="24"/>
        <v>397.25000000000063</v>
      </c>
      <c r="F180" s="6">
        <f t="shared" si="25"/>
        <v>833.33333333333337</v>
      </c>
      <c r="G180" s="6">
        <f t="shared" si="26"/>
        <v>117519.79166666672</v>
      </c>
      <c r="H180" s="6">
        <f t="shared" si="27"/>
        <v>145833.3333333332</v>
      </c>
      <c r="I180" s="6">
        <f t="shared" si="28"/>
        <v>263353.125</v>
      </c>
      <c r="J180" s="6">
        <f t="shared" si="29"/>
        <v>104166.6666666668</v>
      </c>
    </row>
    <row r="181" spans="1:10" x14ac:dyDescent="0.25">
      <c r="A181">
        <f t="shared" si="20"/>
        <v>176</v>
      </c>
      <c r="B181" s="2">
        <f t="shared" ca="1" si="21"/>
        <v>47281</v>
      </c>
      <c r="C181" t="str">
        <f t="shared" ca="1" si="22"/>
        <v>czerwiec</v>
      </c>
      <c r="D181" s="6">
        <f t="shared" si="23"/>
        <v>1227.4305555555561</v>
      </c>
      <c r="E181" s="6">
        <f t="shared" si="24"/>
        <v>394.0972222222228</v>
      </c>
      <c r="F181" s="6">
        <f t="shared" si="25"/>
        <v>833.33333333333337</v>
      </c>
      <c r="G181" s="6">
        <f t="shared" si="26"/>
        <v>117913.88888888893</v>
      </c>
      <c r="H181" s="6">
        <f t="shared" si="27"/>
        <v>146666.66666666654</v>
      </c>
      <c r="I181" s="6">
        <f t="shared" si="28"/>
        <v>264580.55555555556</v>
      </c>
      <c r="J181" s="6">
        <f t="shared" si="29"/>
        <v>103333.33333333346</v>
      </c>
    </row>
    <row r="182" spans="1:10" x14ac:dyDescent="0.25">
      <c r="A182">
        <f t="shared" si="20"/>
        <v>177</v>
      </c>
      <c r="B182" s="2">
        <f t="shared" ca="1" si="21"/>
        <v>47311</v>
      </c>
      <c r="C182" t="str">
        <f t="shared" ca="1" si="22"/>
        <v>lipiec</v>
      </c>
      <c r="D182" s="6">
        <f t="shared" si="23"/>
        <v>1224.2777777777783</v>
      </c>
      <c r="E182" s="6">
        <f t="shared" si="24"/>
        <v>390.94444444444497</v>
      </c>
      <c r="F182" s="6">
        <f t="shared" si="25"/>
        <v>833.33333333333337</v>
      </c>
      <c r="G182" s="6">
        <f t="shared" si="26"/>
        <v>118304.83333333337</v>
      </c>
      <c r="H182" s="6">
        <f t="shared" si="27"/>
        <v>147499.99999999988</v>
      </c>
      <c r="I182" s="6">
        <f t="shared" si="28"/>
        <v>265804.83333333331</v>
      </c>
      <c r="J182" s="6">
        <f t="shared" si="29"/>
        <v>102500.00000000012</v>
      </c>
    </row>
    <row r="183" spans="1:10" x14ac:dyDescent="0.25">
      <c r="A183">
        <f t="shared" si="20"/>
        <v>178</v>
      </c>
      <c r="B183" s="2">
        <f t="shared" ca="1" si="21"/>
        <v>47342</v>
      </c>
      <c r="C183" t="str">
        <f t="shared" ca="1" si="22"/>
        <v>sierpień</v>
      </c>
      <c r="D183" s="6">
        <f t="shared" si="23"/>
        <v>1221.1250000000005</v>
      </c>
      <c r="E183" s="6">
        <f t="shared" si="24"/>
        <v>387.79166666666714</v>
      </c>
      <c r="F183" s="6">
        <f t="shared" si="25"/>
        <v>833.33333333333337</v>
      </c>
      <c r="G183" s="6">
        <f t="shared" si="26"/>
        <v>118692.62500000004</v>
      </c>
      <c r="H183" s="6">
        <f t="shared" si="27"/>
        <v>148333.33333333323</v>
      </c>
      <c r="I183" s="6">
        <f t="shared" si="28"/>
        <v>267025.95833333331</v>
      </c>
      <c r="J183" s="6">
        <f t="shared" si="29"/>
        <v>101666.66666666677</v>
      </c>
    </row>
    <row r="184" spans="1:10" x14ac:dyDescent="0.25">
      <c r="A184">
        <f t="shared" si="20"/>
        <v>179</v>
      </c>
      <c r="B184" s="2">
        <f t="shared" ca="1" si="21"/>
        <v>47373</v>
      </c>
      <c r="C184" t="str">
        <f t="shared" ca="1" si="22"/>
        <v>wrzesień</v>
      </c>
      <c r="D184" s="6">
        <f t="shared" si="23"/>
        <v>1217.9722222222226</v>
      </c>
      <c r="E184" s="6">
        <f t="shared" si="24"/>
        <v>384.63888888888931</v>
      </c>
      <c r="F184" s="6">
        <f t="shared" si="25"/>
        <v>833.33333333333337</v>
      </c>
      <c r="G184" s="6">
        <f t="shared" si="26"/>
        <v>119077.26388888893</v>
      </c>
      <c r="H184" s="6">
        <f t="shared" si="27"/>
        <v>149166.66666666657</v>
      </c>
      <c r="I184" s="6">
        <f t="shared" si="28"/>
        <v>268243.93055555556</v>
      </c>
      <c r="J184" s="6">
        <f t="shared" si="29"/>
        <v>100833.33333333343</v>
      </c>
    </row>
    <row r="185" spans="1:10" x14ac:dyDescent="0.25">
      <c r="A185">
        <f t="shared" si="20"/>
        <v>180</v>
      </c>
      <c r="B185" s="2">
        <f t="shared" ca="1" si="21"/>
        <v>47403</v>
      </c>
      <c r="C185" t="str">
        <f t="shared" ca="1" si="22"/>
        <v>październik</v>
      </c>
      <c r="D185" s="6">
        <f t="shared" si="23"/>
        <v>1214.8194444444448</v>
      </c>
      <c r="E185" s="6">
        <f t="shared" si="24"/>
        <v>381.48611111111148</v>
      </c>
      <c r="F185" s="6">
        <f t="shared" si="25"/>
        <v>833.33333333333337</v>
      </c>
      <c r="G185" s="6">
        <f t="shared" si="26"/>
        <v>119458.75000000004</v>
      </c>
      <c r="H185" s="6">
        <f t="shared" si="27"/>
        <v>149999.99999999991</v>
      </c>
      <c r="I185" s="6">
        <f t="shared" si="28"/>
        <v>269458.75</v>
      </c>
      <c r="J185" s="6">
        <f t="shared" si="29"/>
        <v>100000.00000000009</v>
      </c>
    </row>
    <row r="186" spans="1:10" x14ac:dyDescent="0.25">
      <c r="A186">
        <f t="shared" si="20"/>
        <v>181</v>
      </c>
      <c r="B186" s="2">
        <f t="shared" ca="1" si="21"/>
        <v>47434</v>
      </c>
      <c r="C186" t="str">
        <f t="shared" ca="1" si="22"/>
        <v>listopad</v>
      </c>
      <c r="D186" s="6">
        <f t="shared" si="23"/>
        <v>1211.666666666667</v>
      </c>
      <c r="E186" s="6">
        <f t="shared" si="24"/>
        <v>378.33333333333371</v>
      </c>
      <c r="F186" s="6">
        <f t="shared" si="25"/>
        <v>833.33333333333337</v>
      </c>
      <c r="G186" s="6">
        <f t="shared" si="26"/>
        <v>119837.08333333337</v>
      </c>
      <c r="H186" s="6">
        <f t="shared" si="27"/>
        <v>150833.33333333326</v>
      </c>
      <c r="I186" s="6">
        <f t="shared" si="28"/>
        <v>270670.41666666669</v>
      </c>
      <c r="J186" s="6">
        <f t="shared" si="29"/>
        <v>99166.666666666744</v>
      </c>
    </row>
    <row r="187" spans="1:10" x14ac:dyDescent="0.25">
      <c r="A187">
        <f t="shared" si="20"/>
        <v>182</v>
      </c>
      <c r="B187" s="2">
        <f t="shared" ca="1" si="21"/>
        <v>47464</v>
      </c>
      <c r="C187" t="str">
        <f t="shared" ca="1" si="22"/>
        <v>grudzień</v>
      </c>
      <c r="D187" s="6">
        <f t="shared" si="23"/>
        <v>1208.5138888888891</v>
      </c>
      <c r="E187" s="6">
        <f t="shared" si="24"/>
        <v>375.18055555555588</v>
      </c>
      <c r="F187" s="6">
        <f t="shared" si="25"/>
        <v>833.33333333333337</v>
      </c>
      <c r="G187" s="6">
        <f t="shared" si="26"/>
        <v>120212.26388888893</v>
      </c>
      <c r="H187" s="6">
        <f t="shared" si="27"/>
        <v>151666.6666666666</v>
      </c>
      <c r="I187" s="6">
        <f t="shared" si="28"/>
        <v>271878.93055555556</v>
      </c>
      <c r="J187" s="6">
        <f t="shared" si="29"/>
        <v>98333.333333333401</v>
      </c>
    </row>
    <row r="188" spans="1:10" x14ac:dyDescent="0.25">
      <c r="A188">
        <f t="shared" si="20"/>
        <v>183</v>
      </c>
      <c r="B188" s="2">
        <f t="shared" ca="1" si="21"/>
        <v>47495</v>
      </c>
      <c r="C188" t="str">
        <f t="shared" ca="1" si="22"/>
        <v>styczeń</v>
      </c>
      <c r="D188" s="6">
        <f t="shared" si="23"/>
        <v>1205.3611111111113</v>
      </c>
      <c r="E188" s="6">
        <f t="shared" si="24"/>
        <v>372.02777777777806</v>
      </c>
      <c r="F188" s="6">
        <f t="shared" si="25"/>
        <v>833.33333333333337</v>
      </c>
      <c r="G188" s="6">
        <f t="shared" si="26"/>
        <v>120584.29166666672</v>
      </c>
      <c r="H188" s="6">
        <f t="shared" si="27"/>
        <v>152499.99999999994</v>
      </c>
      <c r="I188" s="6">
        <f t="shared" si="28"/>
        <v>273084.29166666669</v>
      </c>
      <c r="J188" s="6">
        <f t="shared" si="29"/>
        <v>97500.000000000058</v>
      </c>
    </row>
    <row r="189" spans="1:10" x14ac:dyDescent="0.25">
      <c r="A189">
        <f t="shared" si="20"/>
        <v>184</v>
      </c>
      <c r="B189" s="2">
        <f t="shared" ca="1" si="21"/>
        <v>47526</v>
      </c>
      <c r="C189" t="str">
        <f t="shared" ca="1" si="22"/>
        <v>luty</v>
      </c>
      <c r="D189" s="6">
        <f t="shared" si="23"/>
        <v>1202.2083333333335</v>
      </c>
      <c r="E189" s="6">
        <f t="shared" si="24"/>
        <v>368.87500000000023</v>
      </c>
      <c r="F189" s="6">
        <f t="shared" si="25"/>
        <v>833.33333333333337</v>
      </c>
      <c r="G189" s="6">
        <f t="shared" si="26"/>
        <v>120953.16666666672</v>
      </c>
      <c r="H189" s="6">
        <f t="shared" si="27"/>
        <v>153333.33333333328</v>
      </c>
      <c r="I189" s="6">
        <f t="shared" si="28"/>
        <v>274286.5</v>
      </c>
      <c r="J189" s="6">
        <f t="shared" si="29"/>
        <v>96666.666666666715</v>
      </c>
    </row>
    <row r="190" spans="1:10" x14ac:dyDescent="0.25">
      <c r="A190">
        <f t="shared" si="20"/>
        <v>185</v>
      </c>
      <c r="B190" s="2">
        <f t="shared" ca="1" si="21"/>
        <v>47554</v>
      </c>
      <c r="C190" t="str">
        <f t="shared" ca="1" si="22"/>
        <v>marzec</v>
      </c>
      <c r="D190" s="6">
        <f t="shared" si="23"/>
        <v>1199.0555555555557</v>
      </c>
      <c r="E190" s="6">
        <f t="shared" si="24"/>
        <v>365.7222222222224</v>
      </c>
      <c r="F190" s="6">
        <f t="shared" si="25"/>
        <v>833.33333333333337</v>
      </c>
      <c r="G190" s="6">
        <f t="shared" si="26"/>
        <v>121318.88888888893</v>
      </c>
      <c r="H190" s="6">
        <f t="shared" si="27"/>
        <v>154166.66666666663</v>
      </c>
      <c r="I190" s="6">
        <f t="shared" si="28"/>
        <v>275485.55555555556</v>
      </c>
      <c r="J190" s="6">
        <f t="shared" si="29"/>
        <v>95833.333333333372</v>
      </c>
    </row>
    <row r="191" spans="1:10" x14ac:dyDescent="0.25">
      <c r="A191">
        <f t="shared" si="20"/>
        <v>186</v>
      </c>
      <c r="B191" s="2">
        <f t="shared" ca="1" si="21"/>
        <v>47585</v>
      </c>
      <c r="C191" t="str">
        <f t="shared" ca="1" si="22"/>
        <v>kwiecień</v>
      </c>
      <c r="D191" s="6">
        <f t="shared" si="23"/>
        <v>1195.9027777777781</v>
      </c>
      <c r="E191" s="6">
        <f t="shared" si="24"/>
        <v>362.56944444444463</v>
      </c>
      <c r="F191" s="6">
        <f t="shared" si="25"/>
        <v>833.33333333333337</v>
      </c>
      <c r="G191" s="6">
        <f t="shared" si="26"/>
        <v>121681.45833333337</v>
      </c>
      <c r="H191" s="6">
        <f t="shared" si="27"/>
        <v>154999.99999999997</v>
      </c>
      <c r="I191" s="6">
        <f t="shared" si="28"/>
        <v>276681.45833333331</v>
      </c>
      <c r="J191" s="6">
        <f t="shared" si="29"/>
        <v>95000.000000000029</v>
      </c>
    </row>
    <row r="192" spans="1:10" x14ac:dyDescent="0.25">
      <c r="A192">
        <f t="shared" si="20"/>
        <v>187</v>
      </c>
      <c r="B192" s="2">
        <f t="shared" ca="1" si="21"/>
        <v>47615</v>
      </c>
      <c r="C192" t="str">
        <f t="shared" ca="1" si="22"/>
        <v>maj</v>
      </c>
      <c r="D192" s="6">
        <f t="shared" si="23"/>
        <v>1192.7500000000002</v>
      </c>
      <c r="E192" s="6">
        <f t="shared" si="24"/>
        <v>359.4166666666668</v>
      </c>
      <c r="F192" s="6">
        <f t="shared" si="25"/>
        <v>833.33333333333337</v>
      </c>
      <c r="G192" s="6">
        <f t="shared" si="26"/>
        <v>122040.87500000004</v>
      </c>
      <c r="H192" s="6">
        <f t="shared" si="27"/>
        <v>155833.33333333331</v>
      </c>
      <c r="I192" s="6">
        <f t="shared" si="28"/>
        <v>277874.20833333331</v>
      </c>
      <c r="J192" s="6">
        <f t="shared" si="29"/>
        <v>94166.666666666686</v>
      </c>
    </row>
    <row r="193" spans="1:10" x14ac:dyDescent="0.25">
      <c r="A193">
        <f t="shared" si="20"/>
        <v>188</v>
      </c>
      <c r="B193" s="2">
        <f t="shared" ca="1" si="21"/>
        <v>47646</v>
      </c>
      <c r="C193" t="str">
        <f t="shared" ca="1" si="22"/>
        <v>czerwiec</v>
      </c>
      <c r="D193" s="6">
        <f t="shared" si="23"/>
        <v>1189.5972222222224</v>
      </c>
      <c r="E193" s="6">
        <f t="shared" si="24"/>
        <v>356.26388888888897</v>
      </c>
      <c r="F193" s="6">
        <f t="shared" si="25"/>
        <v>833.33333333333337</v>
      </c>
      <c r="G193" s="6">
        <f t="shared" si="26"/>
        <v>122397.13888888893</v>
      </c>
      <c r="H193" s="6">
        <f t="shared" si="27"/>
        <v>156666.66666666666</v>
      </c>
      <c r="I193" s="6">
        <f t="shared" si="28"/>
        <v>279063.80555555556</v>
      </c>
      <c r="J193" s="6">
        <f t="shared" si="29"/>
        <v>93333.333333333343</v>
      </c>
    </row>
    <row r="194" spans="1:10" x14ac:dyDescent="0.25">
      <c r="A194">
        <f t="shared" si="20"/>
        <v>189</v>
      </c>
      <c r="B194" s="2">
        <f t="shared" ca="1" si="21"/>
        <v>47676</v>
      </c>
      <c r="C194" t="str">
        <f t="shared" ca="1" si="22"/>
        <v>lipiec</v>
      </c>
      <c r="D194" s="6">
        <f t="shared" si="23"/>
        <v>1186.4444444444446</v>
      </c>
      <c r="E194" s="6">
        <f t="shared" si="24"/>
        <v>353.11111111111114</v>
      </c>
      <c r="F194" s="6">
        <f t="shared" si="25"/>
        <v>833.33333333333337</v>
      </c>
      <c r="G194" s="6">
        <f t="shared" si="26"/>
        <v>122750.25000000004</v>
      </c>
      <c r="H194" s="6">
        <f t="shared" si="27"/>
        <v>157500</v>
      </c>
      <c r="I194" s="6">
        <f t="shared" si="28"/>
        <v>280250.25</v>
      </c>
      <c r="J194" s="6">
        <f t="shared" si="29"/>
        <v>92500</v>
      </c>
    </row>
    <row r="195" spans="1:10" x14ac:dyDescent="0.25">
      <c r="A195">
        <f t="shared" si="20"/>
        <v>190</v>
      </c>
      <c r="B195" s="2">
        <f t="shared" ca="1" si="21"/>
        <v>47707</v>
      </c>
      <c r="C195" t="str">
        <f t="shared" ca="1" si="22"/>
        <v>sierpień</v>
      </c>
      <c r="D195" s="6">
        <f t="shared" si="23"/>
        <v>1183.2916666666667</v>
      </c>
      <c r="E195" s="6">
        <f t="shared" si="24"/>
        <v>349.95833333333331</v>
      </c>
      <c r="F195" s="6">
        <f t="shared" si="25"/>
        <v>833.33333333333337</v>
      </c>
      <c r="G195" s="6">
        <f t="shared" si="26"/>
        <v>123100.20833333337</v>
      </c>
      <c r="H195" s="6">
        <f t="shared" si="27"/>
        <v>158333.33333333334</v>
      </c>
      <c r="I195" s="6">
        <f t="shared" si="28"/>
        <v>281433.54166666669</v>
      </c>
      <c r="J195" s="6">
        <f t="shared" si="29"/>
        <v>91666.666666666657</v>
      </c>
    </row>
    <row r="196" spans="1:10" x14ac:dyDescent="0.25">
      <c r="A196">
        <f t="shared" si="20"/>
        <v>191</v>
      </c>
      <c r="B196" s="2">
        <f t="shared" ca="1" si="21"/>
        <v>47738</v>
      </c>
      <c r="C196" t="str">
        <f t="shared" ca="1" si="22"/>
        <v>wrzesień</v>
      </c>
      <c r="D196" s="6">
        <f t="shared" si="23"/>
        <v>1180.1388888888889</v>
      </c>
      <c r="E196" s="6">
        <f t="shared" si="24"/>
        <v>346.80555555555549</v>
      </c>
      <c r="F196" s="6">
        <f t="shared" si="25"/>
        <v>833.33333333333337</v>
      </c>
      <c r="G196" s="6">
        <f t="shared" si="26"/>
        <v>123447.01388888893</v>
      </c>
      <c r="H196" s="6">
        <f t="shared" si="27"/>
        <v>159166.66666666669</v>
      </c>
      <c r="I196" s="6">
        <f t="shared" si="28"/>
        <v>282613.68055555556</v>
      </c>
      <c r="J196" s="6">
        <f t="shared" si="29"/>
        <v>90833.333333333314</v>
      </c>
    </row>
    <row r="197" spans="1:10" x14ac:dyDescent="0.25">
      <c r="A197">
        <f t="shared" si="20"/>
        <v>192</v>
      </c>
      <c r="B197" s="2">
        <f t="shared" ca="1" si="21"/>
        <v>47768</v>
      </c>
      <c r="C197" t="str">
        <f t="shared" ca="1" si="22"/>
        <v>październik</v>
      </c>
      <c r="D197" s="6">
        <f t="shared" si="23"/>
        <v>1176.9861111111111</v>
      </c>
      <c r="E197" s="6">
        <f t="shared" si="24"/>
        <v>343.65277777777777</v>
      </c>
      <c r="F197" s="6">
        <f t="shared" si="25"/>
        <v>833.33333333333337</v>
      </c>
      <c r="G197" s="6">
        <f t="shared" si="26"/>
        <v>123790.66666666672</v>
      </c>
      <c r="H197" s="6">
        <f t="shared" si="27"/>
        <v>160000.00000000003</v>
      </c>
      <c r="I197" s="6">
        <f t="shared" si="28"/>
        <v>283790.66666666669</v>
      </c>
      <c r="J197" s="6">
        <f t="shared" si="29"/>
        <v>89999.999999999971</v>
      </c>
    </row>
    <row r="198" spans="1:10" x14ac:dyDescent="0.25">
      <c r="A198">
        <f t="shared" si="20"/>
        <v>193</v>
      </c>
      <c r="B198" s="2">
        <f t="shared" ca="1" si="21"/>
        <v>47799</v>
      </c>
      <c r="C198" t="str">
        <f t="shared" ca="1" si="22"/>
        <v>listopad</v>
      </c>
      <c r="D198" s="6">
        <f t="shared" si="23"/>
        <v>1173.8333333333333</v>
      </c>
      <c r="E198" s="6">
        <f t="shared" si="24"/>
        <v>340.49999999999994</v>
      </c>
      <c r="F198" s="6">
        <f t="shared" si="25"/>
        <v>833.33333333333337</v>
      </c>
      <c r="G198" s="6">
        <f t="shared" si="26"/>
        <v>124131.16666666672</v>
      </c>
      <c r="H198" s="6">
        <f t="shared" si="27"/>
        <v>160833.33333333337</v>
      </c>
      <c r="I198" s="6">
        <f t="shared" si="28"/>
        <v>284964.5</v>
      </c>
      <c r="J198" s="6">
        <f t="shared" si="29"/>
        <v>89166.666666666628</v>
      </c>
    </row>
    <row r="199" spans="1:10" x14ac:dyDescent="0.25">
      <c r="A199">
        <f t="shared" ref="A199:A262" si="30">IF($B$2&gt;A198,A198+1,"")</f>
        <v>194</v>
      </c>
      <c r="B199" s="2">
        <f t="shared" ref="B199:B262" ca="1" si="31">IF(A199&lt;&gt;"",DATE(YEAR(B198),MONTH(B198)+1,DAY(B198)),"")</f>
        <v>47829</v>
      </c>
      <c r="C199" t="str">
        <f t="shared" ref="C199:C262" ca="1" si="32">TEXT(B199,"mmmm")</f>
        <v>grudzień</v>
      </c>
      <c r="D199" s="6">
        <f t="shared" ref="D199:D262" si="33">IF(A199&lt;&gt;"",E199+F199,"")</f>
        <v>1170.6805555555554</v>
      </c>
      <c r="E199" s="6">
        <f t="shared" ref="E199:E262" si="34">IF(A199&lt;&gt;"",J198*$B$3/12,"")</f>
        <v>337.34722222222211</v>
      </c>
      <c r="F199" s="6">
        <f t="shared" ref="F199:F262" si="35">IF(A199&lt;&gt;"",$B$1/ ($B$2),"")</f>
        <v>833.33333333333337</v>
      </c>
      <c r="G199" s="6">
        <f t="shared" ref="G199:G262" si="36">IF(A199&lt;&gt;"",E199+G198,"")</f>
        <v>124468.51388888893</v>
      </c>
      <c r="H199" s="6">
        <f t="shared" ref="H199:H262" si="37">IF(A199&lt;&gt;"",F199+H198,"")</f>
        <v>161666.66666666672</v>
      </c>
      <c r="I199" s="6">
        <f t="shared" ref="I199:I262" si="38">IF(A199&lt;&gt;"",I198+D199,"")</f>
        <v>286135.18055555556</v>
      </c>
      <c r="J199" s="6">
        <f t="shared" ref="J199:J262" si="39">IF(A199&lt;&gt;"",$B$1-H199,"")</f>
        <v>88333.333333333285</v>
      </c>
    </row>
    <row r="200" spans="1:10" x14ac:dyDescent="0.25">
      <c r="A200">
        <f t="shared" si="30"/>
        <v>195</v>
      </c>
      <c r="B200" s="2">
        <f t="shared" ca="1" si="31"/>
        <v>47860</v>
      </c>
      <c r="C200" t="str">
        <f t="shared" ca="1" si="32"/>
        <v>styczeń</v>
      </c>
      <c r="D200" s="6">
        <f t="shared" si="33"/>
        <v>1167.5277777777776</v>
      </c>
      <c r="E200" s="6">
        <f t="shared" si="34"/>
        <v>334.19444444444429</v>
      </c>
      <c r="F200" s="6">
        <f t="shared" si="35"/>
        <v>833.33333333333337</v>
      </c>
      <c r="G200" s="6">
        <f t="shared" si="36"/>
        <v>124802.70833333337</v>
      </c>
      <c r="H200" s="6">
        <f t="shared" si="37"/>
        <v>162500.00000000006</v>
      </c>
      <c r="I200" s="6">
        <f t="shared" si="38"/>
        <v>287302.70833333331</v>
      </c>
      <c r="J200" s="6">
        <f t="shared" si="39"/>
        <v>87499.999999999942</v>
      </c>
    </row>
    <row r="201" spans="1:10" x14ac:dyDescent="0.25">
      <c r="A201">
        <f t="shared" si="30"/>
        <v>196</v>
      </c>
      <c r="B201" s="2">
        <f t="shared" ca="1" si="31"/>
        <v>47891</v>
      </c>
      <c r="C201" t="str">
        <f t="shared" ca="1" si="32"/>
        <v>luty</v>
      </c>
      <c r="D201" s="6">
        <f t="shared" si="33"/>
        <v>1164.3749999999998</v>
      </c>
      <c r="E201" s="6">
        <f t="shared" si="34"/>
        <v>331.04166666666646</v>
      </c>
      <c r="F201" s="6">
        <f t="shared" si="35"/>
        <v>833.33333333333337</v>
      </c>
      <c r="G201" s="6">
        <f t="shared" si="36"/>
        <v>125133.75000000004</v>
      </c>
      <c r="H201" s="6">
        <f t="shared" si="37"/>
        <v>163333.3333333334</v>
      </c>
      <c r="I201" s="6">
        <f t="shared" si="38"/>
        <v>288467.08333333331</v>
      </c>
      <c r="J201" s="6">
        <f t="shared" si="39"/>
        <v>86666.666666666599</v>
      </c>
    </row>
    <row r="202" spans="1:10" x14ac:dyDescent="0.25">
      <c r="A202">
        <f t="shared" si="30"/>
        <v>197</v>
      </c>
      <c r="B202" s="2">
        <f t="shared" ca="1" si="31"/>
        <v>47919</v>
      </c>
      <c r="C202" t="str">
        <f t="shared" ca="1" si="32"/>
        <v>marzec</v>
      </c>
      <c r="D202" s="6">
        <f t="shared" si="33"/>
        <v>1161.2222222222219</v>
      </c>
      <c r="E202" s="6">
        <f t="shared" si="34"/>
        <v>327.88888888888863</v>
      </c>
      <c r="F202" s="6">
        <f t="shared" si="35"/>
        <v>833.33333333333337</v>
      </c>
      <c r="G202" s="6">
        <f t="shared" si="36"/>
        <v>125461.63888888893</v>
      </c>
      <c r="H202" s="6">
        <f t="shared" si="37"/>
        <v>164166.66666666674</v>
      </c>
      <c r="I202" s="6">
        <f t="shared" si="38"/>
        <v>289628.30555555556</v>
      </c>
      <c r="J202" s="6">
        <f t="shared" si="39"/>
        <v>85833.333333333256</v>
      </c>
    </row>
    <row r="203" spans="1:10" x14ac:dyDescent="0.25">
      <c r="A203">
        <f t="shared" si="30"/>
        <v>198</v>
      </c>
      <c r="B203" s="2">
        <f t="shared" ca="1" si="31"/>
        <v>47950</v>
      </c>
      <c r="C203" t="str">
        <f t="shared" ca="1" si="32"/>
        <v>kwiecień</v>
      </c>
      <c r="D203" s="6">
        <f t="shared" si="33"/>
        <v>1158.0694444444441</v>
      </c>
      <c r="E203" s="6">
        <f t="shared" si="34"/>
        <v>324.7361111111108</v>
      </c>
      <c r="F203" s="6">
        <f t="shared" si="35"/>
        <v>833.33333333333337</v>
      </c>
      <c r="G203" s="6">
        <f t="shared" si="36"/>
        <v>125786.37500000004</v>
      </c>
      <c r="H203" s="6">
        <f t="shared" si="37"/>
        <v>165000.00000000009</v>
      </c>
      <c r="I203" s="6">
        <f t="shared" si="38"/>
        <v>290786.375</v>
      </c>
      <c r="J203" s="6">
        <f t="shared" si="39"/>
        <v>84999.999999999913</v>
      </c>
    </row>
    <row r="204" spans="1:10" x14ac:dyDescent="0.25">
      <c r="A204">
        <f t="shared" si="30"/>
        <v>199</v>
      </c>
      <c r="B204" s="2">
        <f t="shared" ca="1" si="31"/>
        <v>47980</v>
      </c>
      <c r="C204" t="str">
        <f t="shared" ca="1" si="32"/>
        <v>maj</v>
      </c>
      <c r="D204" s="6">
        <f t="shared" si="33"/>
        <v>1154.9166666666665</v>
      </c>
      <c r="E204" s="6">
        <f t="shared" si="34"/>
        <v>321.58333333333303</v>
      </c>
      <c r="F204" s="6">
        <f t="shared" si="35"/>
        <v>833.33333333333337</v>
      </c>
      <c r="G204" s="6">
        <f t="shared" si="36"/>
        <v>126107.95833333337</v>
      </c>
      <c r="H204" s="6">
        <f t="shared" si="37"/>
        <v>165833.33333333343</v>
      </c>
      <c r="I204" s="6">
        <f t="shared" si="38"/>
        <v>291941.29166666669</v>
      </c>
      <c r="J204" s="6">
        <f t="shared" si="39"/>
        <v>84166.66666666657</v>
      </c>
    </row>
    <row r="205" spans="1:10" x14ac:dyDescent="0.25">
      <c r="A205">
        <f t="shared" si="30"/>
        <v>200</v>
      </c>
      <c r="B205" s="2">
        <f t="shared" ca="1" si="31"/>
        <v>48011</v>
      </c>
      <c r="C205" t="str">
        <f t="shared" ca="1" si="32"/>
        <v>czerwiec</v>
      </c>
      <c r="D205" s="6">
        <f t="shared" si="33"/>
        <v>1151.7638888888887</v>
      </c>
      <c r="E205" s="6">
        <f t="shared" si="34"/>
        <v>318.4305555555552</v>
      </c>
      <c r="F205" s="6">
        <f t="shared" si="35"/>
        <v>833.33333333333337</v>
      </c>
      <c r="G205" s="6">
        <f t="shared" si="36"/>
        <v>126426.38888888893</v>
      </c>
      <c r="H205" s="6">
        <f t="shared" si="37"/>
        <v>166666.66666666677</v>
      </c>
      <c r="I205" s="6">
        <f t="shared" si="38"/>
        <v>293093.05555555556</v>
      </c>
      <c r="J205" s="6">
        <f t="shared" si="39"/>
        <v>83333.333333333227</v>
      </c>
    </row>
    <row r="206" spans="1:10" x14ac:dyDescent="0.25">
      <c r="A206">
        <f t="shared" si="30"/>
        <v>201</v>
      </c>
      <c r="B206" s="2">
        <f t="shared" ca="1" si="31"/>
        <v>48041</v>
      </c>
      <c r="C206" t="str">
        <f t="shared" ca="1" si="32"/>
        <v>lipiec</v>
      </c>
      <c r="D206" s="6">
        <f t="shared" si="33"/>
        <v>1148.6111111111109</v>
      </c>
      <c r="E206" s="6">
        <f t="shared" si="34"/>
        <v>315.27777777777743</v>
      </c>
      <c r="F206" s="6">
        <f t="shared" si="35"/>
        <v>833.33333333333337</v>
      </c>
      <c r="G206" s="6">
        <f t="shared" si="36"/>
        <v>126741.66666666672</v>
      </c>
      <c r="H206" s="6">
        <f t="shared" si="37"/>
        <v>167500.00000000012</v>
      </c>
      <c r="I206" s="6">
        <f t="shared" si="38"/>
        <v>294241.66666666669</v>
      </c>
      <c r="J206" s="6">
        <f t="shared" si="39"/>
        <v>82499.999999999884</v>
      </c>
    </row>
    <row r="207" spans="1:10" x14ac:dyDescent="0.25">
      <c r="A207">
        <f t="shared" si="30"/>
        <v>202</v>
      </c>
      <c r="B207" s="2">
        <f t="shared" ca="1" si="31"/>
        <v>48072</v>
      </c>
      <c r="C207" t="str">
        <f t="shared" ca="1" si="32"/>
        <v>sierpień</v>
      </c>
      <c r="D207" s="6">
        <f t="shared" si="33"/>
        <v>1145.458333333333</v>
      </c>
      <c r="E207" s="6">
        <f t="shared" si="34"/>
        <v>312.1249999999996</v>
      </c>
      <c r="F207" s="6">
        <f t="shared" si="35"/>
        <v>833.33333333333337</v>
      </c>
      <c r="G207" s="6">
        <f t="shared" si="36"/>
        <v>127053.79166666672</v>
      </c>
      <c r="H207" s="6">
        <f t="shared" si="37"/>
        <v>168333.33333333346</v>
      </c>
      <c r="I207" s="6">
        <f t="shared" si="38"/>
        <v>295387.125</v>
      </c>
      <c r="J207" s="6">
        <f t="shared" si="39"/>
        <v>81666.666666666541</v>
      </c>
    </row>
    <row r="208" spans="1:10" x14ac:dyDescent="0.25">
      <c r="A208">
        <f t="shared" si="30"/>
        <v>203</v>
      </c>
      <c r="B208" s="2">
        <f t="shared" ca="1" si="31"/>
        <v>48103</v>
      </c>
      <c r="C208" t="str">
        <f t="shared" ca="1" si="32"/>
        <v>wrzesień</v>
      </c>
      <c r="D208" s="6">
        <f t="shared" si="33"/>
        <v>1142.3055555555552</v>
      </c>
      <c r="E208" s="6">
        <f t="shared" si="34"/>
        <v>308.97222222222177</v>
      </c>
      <c r="F208" s="6">
        <f t="shared" si="35"/>
        <v>833.33333333333337</v>
      </c>
      <c r="G208" s="6">
        <f t="shared" si="36"/>
        <v>127362.76388888893</v>
      </c>
      <c r="H208" s="6">
        <f t="shared" si="37"/>
        <v>169166.6666666668</v>
      </c>
      <c r="I208" s="6">
        <f t="shared" si="38"/>
        <v>296529.43055555556</v>
      </c>
      <c r="J208" s="6">
        <f t="shared" si="39"/>
        <v>80833.333333333198</v>
      </c>
    </row>
    <row r="209" spans="1:10" x14ac:dyDescent="0.25">
      <c r="A209">
        <f t="shared" si="30"/>
        <v>204</v>
      </c>
      <c r="B209" s="2">
        <f t="shared" ca="1" si="31"/>
        <v>48133</v>
      </c>
      <c r="C209" t="str">
        <f t="shared" ca="1" si="32"/>
        <v>październik</v>
      </c>
      <c r="D209" s="6">
        <f t="shared" si="33"/>
        <v>1139.1527777777774</v>
      </c>
      <c r="E209" s="6">
        <f t="shared" si="34"/>
        <v>305.81944444444395</v>
      </c>
      <c r="F209" s="6">
        <f t="shared" si="35"/>
        <v>833.33333333333337</v>
      </c>
      <c r="G209" s="6">
        <f t="shared" si="36"/>
        <v>127668.58333333337</v>
      </c>
      <c r="H209" s="6">
        <f t="shared" si="37"/>
        <v>170000.00000000015</v>
      </c>
      <c r="I209" s="6">
        <f t="shared" si="38"/>
        <v>297668.58333333331</v>
      </c>
      <c r="J209" s="6">
        <f t="shared" si="39"/>
        <v>79999.999999999854</v>
      </c>
    </row>
    <row r="210" spans="1:10" x14ac:dyDescent="0.25">
      <c r="A210">
        <f t="shared" si="30"/>
        <v>205</v>
      </c>
      <c r="B210" s="2">
        <f t="shared" ca="1" si="31"/>
        <v>48164</v>
      </c>
      <c r="C210" t="str">
        <f t="shared" ca="1" si="32"/>
        <v>listopad</v>
      </c>
      <c r="D210" s="6">
        <f t="shared" si="33"/>
        <v>1135.9999999999995</v>
      </c>
      <c r="E210" s="6">
        <f t="shared" si="34"/>
        <v>302.66666666666612</v>
      </c>
      <c r="F210" s="6">
        <f t="shared" si="35"/>
        <v>833.33333333333337</v>
      </c>
      <c r="G210" s="6">
        <f t="shared" si="36"/>
        <v>127971.25000000004</v>
      </c>
      <c r="H210" s="6">
        <f t="shared" si="37"/>
        <v>170833.33333333349</v>
      </c>
      <c r="I210" s="6">
        <f t="shared" si="38"/>
        <v>298804.58333333331</v>
      </c>
      <c r="J210" s="6">
        <f t="shared" si="39"/>
        <v>79166.666666666511</v>
      </c>
    </row>
    <row r="211" spans="1:10" x14ac:dyDescent="0.25">
      <c r="A211">
        <f t="shared" si="30"/>
        <v>206</v>
      </c>
      <c r="B211" s="2">
        <f t="shared" ca="1" si="31"/>
        <v>48194</v>
      </c>
      <c r="C211" t="str">
        <f t="shared" ca="1" si="32"/>
        <v>grudzień</v>
      </c>
      <c r="D211" s="6">
        <f t="shared" si="33"/>
        <v>1132.8472222222217</v>
      </c>
      <c r="E211" s="6">
        <f t="shared" si="34"/>
        <v>299.51388888888829</v>
      </c>
      <c r="F211" s="6">
        <f t="shared" si="35"/>
        <v>833.33333333333337</v>
      </c>
      <c r="G211" s="6">
        <f t="shared" si="36"/>
        <v>128270.76388888893</v>
      </c>
      <c r="H211" s="6">
        <f t="shared" si="37"/>
        <v>171666.66666666683</v>
      </c>
      <c r="I211" s="6">
        <f t="shared" si="38"/>
        <v>299937.43055555556</v>
      </c>
      <c r="J211" s="6">
        <f t="shared" si="39"/>
        <v>78333.333333333168</v>
      </c>
    </row>
    <row r="212" spans="1:10" x14ac:dyDescent="0.25">
      <c r="A212">
        <f t="shared" si="30"/>
        <v>207</v>
      </c>
      <c r="B212" s="2">
        <f t="shared" ca="1" si="31"/>
        <v>48225</v>
      </c>
      <c r="C212" t="str">
        <f t="shared" ca="1" si="32"/>
        <v>styczeń</v>
      </c>
      <c r="D212" s="6">
        <f t="shared" si="33"/>
        <v>1129.6944444444439</v>
      </c>
      <c r="E212" s="6">
        <f t="shared" si="34"/>
        <v>296.36111111111052</v>
      </c>
      <c r="F212" s="6">
        <f t="shared" si="35"/>
        <v>833.33333333333337</v>
      </c>
      <c r="G212" s="6">
        <f t="shared" si="36"/>
        <v>128567.12500000004</v>
      </c>
      <c r="H212" s="6">
        <f t="shared" si="37"/>
        <v>172500.00000000017</v>
      </c>
      <c r="I212" s="6">
        <f t="shared" si="38"/>
        <v>301067.125</v>
      </c>
      <c r="J212" s="6">
        <f t="shared" si="39"/>
        <v>77499.999999999825</v>
      </c>
    </row>
    <row r="213" spans="1:10" x14ac:dyDescent="0.25">
      <c r="A213">
        <f t="shared" si="30"/>
        <v>208</v>
      </c>
      <c r="B213" s="2">
        <f t="shared" ca="1" si="31"/>
        <v>48256</v>
      </c>
      <c r="C213" t="str">
        <f t="shared" ca="1" si="32"/>
        <v>luty</v>
      </c>
      <c r="D213" s="6">
        <f t="shared" si="33"/>
        <v>1126.5416666666661</v>
      </c>
      <c r="E213" s="6">
        <f t="shared" si="34"/>
        <v>293.20833333333269</v>
      </c>
      <c r="F213" s="6">
        <f t="shared" si="35"/>
        <v>833.33333333333337</v>
      </c>
      <c r="G213" s="6">
        <f t="shared" si="36"/>
        <v>128860.33333333337</v>
      </c>
      <c r="H213" s="6">
        <f t="shared" si="37"/>
        <v>173333.33333333352</v>
      </c>
      <c r="I213" s="6">
        <f t="shared" si="38"/>
        <v>302193.66666666669</v>
      </c>
      <c r="J213" s="6">
        <f t="shared" si="39"/>
        <v>76666.666666666482</v>
      </c>
    </row>
    <row r="214" spans="1:10" x14ac:dyDescent="0.25">
      <c r="A214">
        <f t="shared" si="30"/>
        <v>209</v>
      </c>
      <c r="B214" s="2">
        <f t="shared" ca="1" si="31"/>
        <v>48285</v>
      </c>
      <c r="C214" t="str">
        <f t="shared" ca="1" si="32"/>
        <v>marzec</v>
      </c>
      <c r="D214" s="6">
        <f t="shared" si="33"/>
        <v>1123.3888888888882</v>
      </c>
      <c r="E214" s="6">
        <f t="shared" si="34"/>
        <v>290.05555555555486</v>
      </c>
      <c r="F214" s="6">
        <f t="shared" si="35"/>
        <v>833.33333333333337</v>
      </c>
      <c r="G214" s="6">
        <f t="shared" si="36"/>
        <v>129150.38888888893</v>
      </c>
      <c r="H214" s="6">
        <f t="shared" si="37"/>
        <v>174166.66666666686</v>
      </c>
      <c r="I214" s="6">
        <f t="shared" si="38"/>
        <v>303317.05555555556</v>
      </c>
      <c r="J214" s="6">
        <f t="shared" si="39"/>
        <v>75833.333333333139</v>
      </c>
    </row>
    <row r="215" spans="1:10" x14ac:dyDescent="0.25">
      <c r="A215">
        <f t="shared" si="30"/>
        <v>210</v>
      </c>
      <c r="B215" s="2">
        <f t="shared" ca="1" si="31"/>
        <v>48316</v>
      </c>
      <c r="C215" t="str">
        <f t="shared" ca="1" si="32"/>
        <v>kwiecień</v>
      </c>
      <c r="D215" s="6">
        <f t="shared" si="33"/>
        <v>1120.2361111111104</v>
      </c>
      <c r="E215" s="6">
        <f t="shared" si="34"/>
        <v>286.90277777777709</v>
      </c>
      <c r="F215" s="6">
        <f t="shared" si="35"/>
        <v>833.33333333333337</v>
      </c>
      <c r="G215" s="6">
        <f t="shared" si="36"/>
        <v>129437.29166666672</v>
      </c>
      <c r="H215" s="6">
        <f t="shared" si="37"/>
        <v>175000.0000000002</v>
      </c>
      <c r="I215" s="6">
        <f t="shared" si="38"/>
        <v>304437.29166666669</v>
      </c>
      <c r="J215" s="6">
        <f t="shared" si="39"/>
        <v>74999.999999999796</v>
      </c>
    </row>
    <row r="216" spans="1:10" x14ac:dyDescent="0.25">
      <c r="A216">
        <f t="shared" si="30"/>
        <v>211</v>
      </c>
      <c r="B216" s="2">
        <f t="shared" ca="1" si="31"/>
        <v>48346</v>
      </c>
      <c r="C216" t="str">
        <f t="shared" ca="1" si="32"/>
        <v>maj</v>
      </c>
      <c r="D216" s="6">
        <f t="shared" si="33"/>
        <v>1117.0833333333326</v>
      </c>
      <c r="E216" s="6">
        <f t="shared" si="34"/>
        <v>283.74999999999926</v>
      </c>
      <c r="F216" s="6">
        <f t="shared" si="35"/>
        <v>833.33333333333337</v>
      </c>
      <c r="G216" s="6">
        <f t="shared" si="36"/>
        <v>129721.04166666672</v>
      </c>
      <c r="H216" s="6">
        <f t="shared" si="37"/>
        <v>175833.33333333355</v>
      </c>
      <c r="I216" s="6">
        <f t="shared" si="38"/>
        <v>305554.375</v>
      </c>
      <c r="J216" s="6">
        <f t="shared" si="39"/>
        <v>74166.666666666453</v>
      </c>
    </row>
    <row r="217" spans="1:10" x14ac:dyDescent="0.25">
      <c r="A217">
        <f t="shared" si="30"/>
        <v>212</v>
      </c>
      <c r="B217" s="2">
        <f t="shared" ca="1" si="31"/>
        <v>48377</v>
      </c>
      <c r="C217" t="str">
        <f t="shared" ca="1" si="32"/>
        <v>czerwiec</v>
      </c>
      <c r="D217" s="6">
        <f t="shared" si="33"/>
        <v>1113.9305555555547</v>
      </c>
      <c r="E217" s="6">
        <f t="shared" si="34"/>
        <v>280.59722222222143</v>
      </c>
      <c r="F217" s="6">
        <f t="shared" si="35"/>
        <v>833.33333333333337</v>
      </c>
      <c r="G217" s="6">
        <f t="shared" si="36"/>
        <v>130001.63888888893</v>
      </c>
      <c r="H217" s="6">
        <f t="shared" si="37"/>
        <v>176666.66666666689</v>
      </c>
      <c r="I217" s="6">
        <f t="shared" si="38"/>
        <v>306668.30555555556</v>
      </c>
      <c r="J217" s="6">
        <f t="shared" si="39"/>
        <v>73333.33333333311</v>
      </c>
    </row>
    <row r="218" spans="1:10" x14ac:dyDescent="0.25">
      <c r="A218">
        <f t="shared" si="30"/>
        <v>213</v>
      </c>
      <c r="B218" s="2">
        <f t="shared" ca="1" si="31"/>
        <v>48407</v>
      </c>
      <c r="C218" t="str">
        <f t="shared" ca="1" si="32"/>
        <v>lipiec</v>
      </c>
      <c r="D218" s="6">
        <f t="shared" si="33"/>
        <v>1110.7777777777769</v>
      </c>
      <c r="E218" s="6">
        <f t="shared" si="34"/>
        <v>277.4444444444436</v>
      </c>
      <c r="F218" s="6">
        <f t="shared" si="35"/>
        <v>833.33333333333337</v>
      </c>
      <c r="G218" s="6">
        <f t="shared" si="36"/>
        <v>130279.08333333337</v>
      </c>
      <c r="H218" s="6">
        <f t="shared" si="37"/>
        <v>177500.00000000023</v>
      </c>
      <c r="I218" s="6">
        <f t="shared" si="38"/>
        <v>307779.08333333331</v>
      </c>
      <c r="J218" s="6">
        <f t="shared" si="39"/>
        <v>72499.999999999767</v>
      </c>
    </row>
    <row r="219" spans="1:10" x14ac:dyDescent="0.25">
      <c r="A219">
        <f t="shared" si="30"/>
        <v>214</v>
      </c>
      <c r="B219" s="2">
        <f t="shared" ca="1" si="31"/>
        <v>48438</v>
      </c>
      <c r="C219" t="str">
        <f t="shared" ca="1" si="32"/>
        <v>sierpień</v>
      </c>
      <c r="D219" s="6">
        <f t="shared" si="33"/>
        <v>1107.6249999999991</v>
      </c>
      <c r="E219" s="6">
        <f t="shared" si="34"/>
        <v>274.29166666666578</v>
      </c>
      <c r="F219" s="6">
        <f t="shared" si="35"/>
        <v>833.33333333333337</v>
      </c>
      <c r="G219" s="6">
        <f t="shared" si="36"/>
        <v>130553.37500000004</v>
      </c>
      <c r="H219" s="6">
        <f t="shared" si="37"/>
        <v>178333.33333333358</v>
      </c>
      <c r="I219" s="6">
        <f t="shared" si="38"/>
        <v>308886.70833333331</v>
      </c>
      <c r="J219" s="6">
        <f t="shared" si="39"/>
        <v>71666.666666666424</v>
      </c>
    </row>
    <row r="220" spans="1:10" x14ac:dyDescent="0.25">
      <c r="A220">
        <f t="shared" si="30"/>
        <v>215</v>
      </c>
      <c r="B220" s="2">
        <f t="shared" ca="1" si="31"/>
        <v>48469</v>
      </c>
      <c r="C220" t="str">
        <f t="shared" ca="1" si="32"/>
        <v>wrzesień</v>
      </c>
      <c r="D220" s="6">
        <f t="shared" si="33"/>
        <v>1104.4722222222213</v>
      </c>
      <c r="E220" s="6">
        <f t="shared" si="34"/>
        <v>271.138888888888</v>
      </c>
      <c r="F220" s="6">
        <f t="shared" si="35"/>
        <v>833.33333333333337</v>
      </c>
      <c r="G220" s="6">
        <f t="shared" si="36"/>
        <v>130824.51388888893</v>
      </c>
      <c r="H220" s="6">
        <f t="shared" si="37"/>
        <v>179166.66666666692</v>
      </c>
      <c r="I220" s="6">
        <f t="shared" si="38"/>
        <v>309991.18055555556</v>
      </c>
      <c r="J220" s="6">
        <f t="shared" si="39"/>
        <v>70833.333333333081</v>
      </c>
    </row>
    <row r="221" spans="1:10" x14ac:dyDescent="0.25">
      <c r="A221">
        <f t="shared" si="30"/>
        <v>216</v>
      </c>
      <c r="B221" s="2">
        <f t="shared" ca="1" si="31"/>
        <v>48499</v>
      </c>
      <c r="C221" t="str">
        <f t="shared" ca="1" si="32"/>
        <v>październik</v>
      </c>
      <c r="D221" s="6">
        <f t="shared" si="33"/>
        <v>1101.3194444444434</v>
      </c>
      <c r="E221" s="6">
        <f t="shared" si="34"/>
        <v>267.98611111111018</v>
      </c>
      <c r="F221" s="6">
        <f t="shared" si="35"/>
        <v>833.33333333333337</v>
      </c>
      <c r="G221" s="6">
        <f t="shared" si="36"/>
        <v>131092.50000000006</v>
      </c>
      <c r="H221" s="6">
        <f t="shared" si="37"/>
        <v>180000.00000000026</v>
      </c>
      <c r="I221" s="6">
        <f t="shared" si="38"/>
        <v>311092.5</v>
      </c>
      <c r="J221" s="6">
        <f t="shared" si="39"/>
        <v>69999.999999999738</v>
      </c>
    </row>
    <row r="222" spans="1:10" x14ac:dyDescent="0.25">
      <c r="A222">
        <f t="shared" si="30"/>
        <v>217</v>
      </c>
      <c r="B222" s="2">
        <f t="shared" ca="1" si="31"/>
        <v>48530</v>
      </c>
      <c r="C222" t="str">
        <f t="shared" ca="1" si="32"/>
        <v>listopad</v>
      </c>
      <c r="D222" s="6">
        <f t="shared" si="33"/>
        <v>1098.1666666666656</v>
      </c>
      <c r="E222" s="6">
        <f t="shared" si="34"/>
        <v>264.83333333333235</v>
      </c>
      <c r="F222" s="6">
        <f t="shared" si="35"/>
        <v>833.33333333333337</v>
      </c>
      <c r="G222" s="6">
        <f t="shared" si="36"/>
        <v>131357.3333333334</v>
      </c>
      <c r="H222" s="6">
        <f t="shared" si="37"/>
        <v>180833.3333333336</v>
      </c>
      <c r="I222" s="6">
        <f t="shared" si="38"/>
        <v>312190.66666666669</v>
      </c>
      <c r="J222" s="6">
        <f t="shared" si="39"/>
        <v>69166.666666666395</v>
      </c>
    </row>
    <row r="223" spans="1:10" x14ac:dyDescent="0.25">
      <c r="A223">
        <f t="shared" si="30"/>
        <v>218</v>
      </c>
      <c r="B223" s="2">
        <f t="shared" ca="1" si="31"/>
        <v>48560</v>
      </c>
      <c r="C223" t="str">
        <f t="shared" ca="1" si="32"/>
        <v>grudzień</v>
      </c>
      <c r="D223" s="6">
        <f t="shared" si="33"/>
        <v>1095.013888888888</v>
      </c>
      <c r="E223" s="6">
        <f t="shared" si="34"/>
        <v>261.68055555555458</v>
      </c>
      <c r="F223" s="6">
        <f t="shared" si="35"/>
        <v>833.33333333333337</v>
      </c>
      <c r="G223" s="6">
        <f t="shared" si="36"/>
        <v>131619.01388888896</v>
      </c>
      <c r="H223" s="6">
        <f t="shared" si="37"/>
        <v>181666.66666666695</v>
      </c>
      <c r="I223" s="6">
        <f t="shared" si="38"/>
        <v>313285.68055555556</v>
      </c>
      <c r="J223" s="6">
        <f t="shared" si="39"/>
        <v>68333.333333333052</v>
      </c>
    </row>
    <row r="224" spans="1:10" x14ac:dyDescent="0.25">
      <c r="A224">
        <f t="shared" si="30"/>
        <v>219</v>
      </c>
      <c r="B224" s="2">
        <f t="shared" ca="1" si="31"/>
        <v>48591</v>
      </c>
      <c r="C224" t="str">
        <f t="shared" ca="1" si="32"/>
        <v>styczeń</v>
      </c>
      <c r="D224" s="6">
        <f t="shared" si="33"/>
        <v>1091.8611111111102</v>
      </c>
      <c r="E224" s="6">
        <f t="shared" si="34"/>
        <v>258.52777777777675</v>
      </c>
      <c r="F224" s="6">
        <f t="shared" si="35"/>
        <v>833.33333333333337</v>
      </c>
      <c r="G224" s="6">
        <f t="shared" si="36"/>
        <v>131877.54166666674</v>
      </c>
      <c r="H224" s="6">
        <f t="shared" si="37"/>
        <v>182500.00000000029</v>
      </c>
      <c r="I224" s="6">
        <f t="shared" si="38"/>
        <v>314377.54166666669</v>
      </c>
      <c r="J224" s="6">
        <f t="shared" si="39"/>
        <v>67499.999999999709</v>
      </c>
    </row>
    <row r="225" spans="1:10" x14ac:dyDescent="0.25">
      <c r="A225">
        <f t="shared" si="30"/>
        <v>220</v>
      </c>
      <c r="B225" s="2">
        <f t="shared" ca="1" si="31"/>
        <v>48622</v>
      </c>
      <c r="C225" t="str">
        <f t="shared" ca="1" si="32"/>
        <v>luty</v>
      </c>
      <c r="D225" s="6">
        <f t="shared" si="33"/>
        <v>1088.7083333333323</v>
      </c>
      <c r="E225" s="6">
        <f t="shared" si="34"/>
        <v>255.37499999999889</v>
      </c>
      <c r="F225" s="6">
        <f t="shared" si="35"/>
        <v>833.33333333333337</v>
      </c>
      <c r="G225" s="6">
        <f t="shared" si="36"/>
        <v>132132.91666666674</v>
      </c>
      <c r="H225" s="6">
        <f t="shared" si="37"/>
        <v>183333.33333333363</v>
      </c>
      <c r="I225" s="6">
        <f t="shared" si="38"/>
        <v>315466.25</v>
      </c>
      <c r="J225" s="6">
        <f t="shared" si="39"/>
        <v>66666.666666666366</v>
      </c>
    </row>
    <row r="226" spans="1:10" x14ac:dyDescent="0.25">
      <c r="A226">
        <f t="shared" si="30"/>
        <v>221</v>
      </c>
      <c r="B226" s="2">
        <f t="shared" ca="1" si="31"/>
        <v>48650</v>
      </c>
      <c r="C226" t="str">
        <f t="shared" ca="1" si="32"/>
        <v>marzec</v>
      </c>
      <c r="D226" s="6">
        <f t="shared" si="33"/>
        <v>1085.5555555555545</v>
      </c>
      <c r="E226" s="6">
        <f t="shared" si="34"/>
        <v>252.22222222222112</v>
      </c>
      <c r="F226" s="6">
        <f t="shared" si="35"/>
        <v>833.33333333333337</v>
      </c>
      <c r="G226" s="6">
        <f t="shared" si="36"/>
        <v>132385.13888888896</v>
      </c>
      <c r="H226" s="6">
        <f t="shared" si="37"/>
        <v>184166.66666666698</v>
      </c>
      <c r="I226" s="6">
        <f t="shared" si="38"/>
        <v>316551.80555555556</v>
      </c>
      <c r="J226" s="6">
        <f t="shared" si="39"/>
        <v>65833.333333333023</v>
      </c>
    </row>
    <row r="227" spans="1:10" x14ac:dyDescent="0.25">
      <c r="A227">
        <f t="shared" si="30"/>
        <v>222</v>
      </c>
      <c r="B227" s="2">
        <f t="shared" ca="1" si="31"/>
        <v>48681</v>
      </c>
      <c r="C227" t="str">
        <f t="shared" ca="1" si="32"/>
        <v>kwiecień</v>
      </c>
      <c r="D227" s="6">
        <f t="shared" si="33"/>
        <v>1082.4027777777767</v>
      </c>
      <c r="E227" s="6">
        <f t="shared" si="34"/>
        <v>249.06944444444329</v>
      </c>
      <c r="F227" s="6">
        <f t="shared" si="35"/>
        <v>833.33333333333337</v>
      </c>
      <c r="G227" s="6">
        <f t="shared" si="36"/>
        <v>132634.2083333334</v>
      </c>
      <c r="H227" s="6">
        <f t="shared" si="37"/>
        <v>185000.00000000032</v>
      </c>
      <c r="I227" s="6">
        <f t="shared" si="38"/>
        <v>317634.20833333331</v>
      </c>
      <c r="J227" s="6">
        <f t="shared" si="39"/>
        <v>64999.99999999968</v>
      </c>
    </row>
    <row r="228" spans="1:10" x14ac:dyDescent="0.25">
      <c r="A228">
        <f t="shared" si="30"/>
        <v>223</v>
      </c>
      <c r="B228" s="2">
        <f t="shared" ca="1" si="31"/>
        <v>48711</v>
      </c>
      <c r="C228" t="str">
        <f t="shared" ca="1" si="32"/>
        <v>maj</v>
      </c>
      <c r="D228" s="6">
        <f t="shared" si="33"/>
        <v>1079.2499999999989</v>
      </c>
      <c r="E228" s="6">
        <f t="shared" si="34"/>
        <v>245.91666666666546</v>
      </c>
      <c r="F228" s="6">
        <f t="shared" si="35"/>
        <v>833.33333333333337</v>
      </c>
      <c r="G228" s="6">
        <f t="shared" si="36"/>
        <v>132880.12500000006</v>
      </c>
      <c r="H228" s="6">
        <f t="shared" si="37"/>
        <v>185833.33333333366</v>
      </c>
      <c r="I228" s="6">
        <f t="shared" si="38"/>
        <v>318713.45833333331</v>
      </c>
      <c r="J228" s="6">
        <f t="shared" si="39"/>
        <v>64166.666666666337</v>
      </c>
    </row>
    <row r="229" spans="1:10" x14ac:dyDescent="0.25">
      <c r="A229">
        <f t="shared" si="30"/>
        <v>224</v>
      </c>
      <c r="B229" s="2">
        <f t="shared" ca="1" si="31"/>
        <v>48742</v>
      </c>
      <c r="C229" t="str">
        <f t="shared" ca="1" si="32"/>
        <v>czerwiec</v>
      </c>
      <c r="D229" s="6">
        <f t="shared" si="33"/>
        <v>1076.097222222221</v>
      </c>
      <c r="E229" s="6">
        <f t="shared" si="34"/>
        <v>242.76388888888766</v>
      </c>
      <c r="F229" s="6">
        <f t="shared" si="35"/>
        <v>833.33333333333337</v>
      </c>
      <c r="G229" s="6">
        <f t="shared" si="36"/>
        <v>133122.88888888893</v>
      </c>
      <c r="H229" s="6">
        <f t="shared" si="37"/>
        <v>186666.66666666701</v>
      </c>
      <c r="I229" s="6">
        <f t="shared" si="38"/>
        <v>319789.55555555556</v>
      </c>
      <c r="J229" s="6">
        <f t="shared" si="39"/>
        <v>63333.333333332994</v>
      </c>
    </row>
    <row r="230" spans="1:10" x14ac:dyDescent="0.25">
      <c r="A230">
        <f t="shared" si="30"/>
        <v>225</v>
      </c>
      <c r="B230" s="2">
        <f t="shared" ca="1" si="31"/>
        <v>48772</v>
      </c>
      <c r="C230" t="str">
        <f t="shared" ca="1" si="32"/>
        <v>lipiec</v>
      </c>
      <c r="D230" s="6">
        <f t="shared" si="33"/>
        <v>1072.9444444444432</v>
      </c>
      <c r="E230" s="6">
        <f t="shared" si="34"/>
        <v>239.61111111110984</v>
      </c>
      <c r="F230" s="6">
        <f t="shared" si="35"/>
        <v>833.33333333333337</v>
      </c>
      <c r="G230" s="6">
        <f t="shared" si="36"/>
        <v>133362.50000000006</v>
      </c>
      <c r="H230" s="6">
        <f t="shared" si="37"/>
        <v>187500.00000000035</v>
      </c>
      <c r="I230" s="6">
        <f t="shared" si="38"/>
        <v>320862.5</v>
      </c>
      <c r="J230" s="6">
        <f t="shared" si="39"/>
        <v>62499.999999999651</v>
      </c>
    </row>
    <row r="231" spans="1:10" x14ac:dyDescent="0.25">
      <c r="A231">
        <f t="shared" si="30"/>
        <v>226</v>
      </c>
      <c r="B231" s="2">
        <f t="shared" ca="1" si="31"/>
        <v>48803</v>
      </c>
      <c r="C231" t="str">
        <f t="shared" ca="1" si="32"/>
        <v>sierpień</v>
      </c>
      <c r="D231" s="6">
        <f t="shared" si="33"/>
        <v>1069.7916666666654</v>
      </c>
      <c r="E231" s="6">
        <f t="shared" si="34"/>
        <v>236.45833333333204</v>
      </c>
      <c r="F231" s="6">
        <f t="shared" si="35"/>
        <v>833.33333333333337</v>
      </c>
      <c r="G231" s="6">
        <f t="shared" si="36"/>
        <v>133598.9583333334</v>
      </c>
      <c r="H231" s="6">
        <f t="shared" si="37"/>
        <v>188333.33333333369</v>
      </c>
      <c r="I231" s="6">
        <f t="shared" si="38"/>
        <v>321932.29166666669</v>
      </c>
      <c r="J231" s="6">
        <f t="shared" si="39"/>
        <v>61666.666666666308</v>
      </c>
    </row>
    <row r="232" spans="1:10" x14ac:dyDescent="0.25">
      <c r="A232">
        <f t="shared" si="30"/>
        <v>227</v>
      </c>
      <c r="B232" s="2">
        <f t="shared" ca="1" si="31"/>
        <v>48834</v>
      </c>
      <c r="C232" t="str">
        <f t="shared" ca="1" si="32"/>
        <v>wrzesień</v>
      </c>
      <c r="D232" s="6">
        <f t="shared" si="33"/>
        <v>1066.6388888888875</v>
      </c>
      <c r="E232" s="6">
        <f t="shared" si="34"/>
        <v>233.30555555555421</v>
      </c>
      <c r="F232" s="6">
        <f t="shared" si="35"/>
        <v>833.33333333333337</v>
      </c>
      <c r="G232" s="6">
        <f t="shared" si="36"/>
        <v>133832.26388888896</v>
      </c>
      <c r="H232" s="6">
        <f t="shared" si="37"/>
        <v>189166.66666666704</v>
      </c>
      <c r="I232" s="6">
        <f t="shared" si="38"/>
        <v>322998.93055555556</v>
      </c>
      <c r="J232" s="6">
        <f t="shared" si="39"/>
        <v>60833.333333332965</v>
      </c>
    </row>
    <row r="233" spans="1:10" x14ac:dyDescent="0.25">
      <c r="A233">
        <f t="shared" si="30"/>
        <v>228</v>
      </c>
      <c r="B233" s="2">
        <f t="shared" ca="1" si="31"/>
        <v>48864</v>
      </c>
      <c r="C233" t="str">
        <f t="shared" ca="1" si="32"/>
        <v>październik</v>
      </c>
      <c r="D233" s="6">
        <f t="shared" si="33"/>
        <v>1063.4861111111097</v>
      </c>
      <c r="E233" s="6">
        <f t="shared" si="34"/>
        <v>230.15277777777638</v>
      </c>
      <c r="F233" s="6">
        <f t="shared" si="35"/>
        <v>833.33333333333337</v>
      </c>
      <c r="G233" s="6">
        <f t="shared" si="36"/>
        <v>134062.41666666674</v>
      </c>
      <c r="H233" s="6">
        <f t="shared" si="37"/>
        <v>190000.00000000038</v>
      </c>
      <c r="I233" s="6">
        <f t="shared" si="38"/>
        <v>324062.41666666669</v>
      </c>
      <c r="J233" s="6">
        <f t="shared" si="39"/>
        <v>59999.999999999622</v>
      </c>
    </row>
    <row r="234" spans="1:10" x14ac:dyDescent="0.25">
      <c r="A234">
        <f t="shared" si="30"/>
        <v>229</v>
      </c>
      <c r="B234" s="2">
        <f t="shared" ca="1" si="31"/>
        <v>48895</v>
      </c>
      <c r="C234" t="str">
        <f t="shared" ca="1" si="32"/>
        <v>listopad</v>
      </c>
      <c r="D234" s="6">
        <f t="shared" si="33"/>
        <v>1060.3333333333319</v>
      </c>
      <c r="E234" s="6">
        <f t="shared" si="34"/>
        <v>226.99999999999861</v>
      </c>
      <c r="F234" s="6">
        <f t="shared" si="35"/>
        <v>833.33333333333337</v>
      </c>
      <c r="G234" s="6">
        <f t="shared" si="36"/>
        <v>134289.41666666674</v>
      </c>
      <c r="H234" s="6">
        <f t="shared" si="37"/>
        <v>190833.33333333372</v>
      </c>
      <c r="I234" s="6">
        <f t="shared" si="38"/>
        <v>325122.75</v>
      </c>
      <c r="J234" s="6">
        <f t="shared" si="39"/>
        <v>59166.666666666279</v>
      </c>
    </row>
    <row r="235" spans="1:10" x14ac:dyDescent="0.25">
      <c r="A235">
        <f t="shared" si="30"/>
        <v>230</v>
      </c>
      <c r="B235" s="2">
        <f t="shared" ca="1" si="31"/>
        <v>48925</v>
      </c>
      <c r="C235" t="str">
        <f t="shared" ca="1" si="32"/>
        <v>grudzień</v>
      </c>
      <c r="D235" s="6">
        <f t="shared" si="33"/>
        <v>1057.1805555555541</v>
      </c>
      <c r="E235" s="6">
        <f t="shared" si="34"/>
        <v>223.84722222222078</v>
      </c>
      <c r="F235" s="6">
        <f t="shared" si="35"/>
        <v>833.33333333333337</v>
      </c>
      <c r="G235" s="6">
        <f t="shared" si="36"/>
        <v>134513.26388888896</v>
      </c>
      <c r="H235" s="6">
        <f t="shared" si="37"/>
        <v>191666.66666666706</v>
      </c>
      <c r="I235" s="6">
        <f t="shared" si="38"/>
        <v>326179.93055555556</v>
      </c>
      <c r="J235" s="6">
        <f t="shared" si="39"/>
        <v>58333.333333332936</v>
      </c>
    </row>
    <row r="236" spans="1:10" x14ac:dyDescent="0.25">
      <c r="A236">
        <f t="shared" si="30"/>
        <v>231</v>
      </c>
      <c r="B236" s="2">
        <f t="shared" ca="1" si="31"/>
        <v>48956</v>
      </c>
      <c r="C236" t="str">
        <f t="shared" ca="1" si="32"/>
        <v>styczeń</v>
      </c>
      <c r="D236" s="6">
        <f t="shared" si="33"/>
        <v>1054.0277777777762</v>
      </c>
      <c r="E236" s="6">
        <f t="shared" si="34"/>
        <v>220.69444444444295</v>
      </c>
      <c r="F236" s="6">
        <f t="shared" si="35"/>
        <v>833.33333333333337</v>
      </c>
      <c r="G236" s="6">
        <f t="shared" si="36"/>
        <v>134733.9583333334</v>
      </c>
      <c r="H236" s="6">
        <f t="shared" si="37"/>
        <v>192500.00000000041</v>
      </c>
      <c r="I236" s="6">
        <f t="shared" si="38"/>
        <v>327233.95833333331</v>
      </c>
      <c r="J236" s="6">
        <f t="shared" si="39"/>
        <v>57499.999999999593</v>
      </c>
    </row>
    <row r="237" spans="1:10" x14ac:dyDescent="0.25">
      <c r="A237">
        <f t="shared" si="30"/>
        <v>232</v>
      </c>
      <c r="B237" s="2">
        <f t="shared" ca="1" si="31"/>
        <v>48987</v>
      </c>
      <c r="C237" t="str">
        <f t="shared" ca="1" si="32"/>
        <v>luty</v>
      </c>
      <c r="D237" s="6">
        <f t="shared" si="33"/>
        <v>1050.8749999999986</v>
      </c>
      <c r="E237" s="6">
        <f t="shared" si="34"/>
        <v>217.54166666666515</v>
      </c>
      <c r="F237" s="6">
        <f t="shared" si="35"/>
        <v>833.33333333333337</v>
      </c>
      <c r="G237" s="6">
        <f t="shared" si="36"/>
        <v>134951.50000000006</v>
      </c>
      <c r="H237" s="6">
        <f t="shared" si="37"/>
        <v>193333.33333333375</v>
      </c>
      <c r="I237" s="6">
        <f t="shared" si="38"/>
        <v>328284.83333333331</v>
      </c>
      <c r="J237" s="6">
        <f t="shared" si="39"/>
        <v>56666.66666666625</v>
      </c>
    </row>
    <row r="238" spans="1:10" x14ac:dyDescent="0.25">
      <c r="A238">
        <f t="shared" si="30"/>
        <v>233</v>
      </c>
      <c r="B238" s="2">
        <f t="shared" ca="1" si="31"/>
        <v>49015</v>
      </c>
      <c r="C238" t="str">
        <f t="shared" ca="1" si="32"/>
        <v>marzec</v>
      </c>
      <c r="D238" s="6">
        <f t="shared" si="33"/>
        <v>1047.7222222222208</v>
      </c>
      <c r="E238" s="6">
        <f t="shared" si="34"/>
        <v>214.38888888888732</v>
      </c>
      <c r="F238" s="6">
        <f t="shared" si="35"/>
        <v>833.33333333333337</v>
      </c>
      <c r="G238" s="6">
        <f t="shared" si="36"/>
        <v>135165.88888888893</v>
      </c>
      <c r="H238" s="6">
        <f t="shared" si="37"/>
        <v>194166.66666666709</v>
      </c>
      <c r="I238" s="6">
        <f t="shared" si="38"/>
        <v>329332.55555555556</v>
      </c>
      <c r="J238" s="6">
        <f t="shared" si="39"/>
        <v>55833.333333332906</v>
      </c>
    </row>
    <row r="239" spans="1:10" x14ac:dyDescent="0.25">
      <c r="A239">
        <f t="shared" si="30"/>
        <v>234</v>
      </c>
      <c r="B239" s="2">
        <f t="shared" ca="1" si="31"/>
        <v>49046</v>
      </c>
      <c r="C239" t="str">
        <f t="shared" ca="1" si="32"/>
        <v>kwiecień</v>
      </c>
      <c r="D239" s="6">
        <f t="shared" si="33"/>
        <v>1044.569444444443</v>
      </c>
      <c r="E239" s="6">
        <f t="shared" si="34"/>
        <v>211.23611111110949</v>
      </c>
      <c r="F239" s="6">
        <f t="shared" si="35"/>
        <v>833.33333333333337</v>
      </c>
      <c r="G239" s="6">
        <f t="shared" si="36"/>
        <v>135377.12500000006</v>
      </c>
      <c r="H239" s="6">
        <f t="shared" si="37"/>
        <v>195000.00000000044</v>
      </c>
      <c r="I239" s="6">
        <f t="shared" si="38"/>
        <v>330377.125</v>
      </c>
      <c r="J239" s="6">
        <f t="shared" si="39"/>
        <v>54999.999999999563</v>
      </c>
    </row>
    <row r="240" spans="1:10" x14ac:dyDescent="0.25">
      <c r="A240">
        <f t="shared" si="30"/>
        <v>235</v>
      </c>
      <c r="B240" s="2">
        <f t="shared" ca="1" si="31"/>
        <v>49076</v>
      </c>
      <c r="C240" t="str">
        <f t="shared" ca="1" si="32"/>
        <v>maj</v>
      </c>
      <c r="D240" s="6">
        <f t="shared" si="33"/>
        <v>1041.4166666666652</v>
      </c>
      <c r="E240" s="6">
        <f t="shared" si="34"/>
        <v>208.08333333333169</v>
      </c>
      <c r="F240" s="6">
        <f t="shared" si="35"/>
        <v>833.33333333333337</v>
      </c>
      <c r="G240" s="6">
        <f t="shared" si="36"/>
        <v>135585.2083333334</v>
      </c>
      <c r="H240" s="6">
        <f t="shared" si="37"/>
        <v>195833.33333333378</v>
      </c>
      <c r="I240" s="6">
        <f t="shared" si="38"/>
        <v>331418.54166666669</v>
      </c>
      <c r="J240" s="6">
        <f t="shared" si="39"/>
        <v>54166.66666666622</v>
      </c>
    </row>
    <row r="241" spans="1:10" x14ac:dyDescent="0.25">
      <c r="A241">
        <f t="shared" si="30"/>
        <v>236</v>
      </c>
      <c r="B241" s="2">
        <f t="shared" ca="1" si="31"/>
        <v>49107</v>
      </c>
      <c r="C241" t="str">
        <f t="shared" ca="1" si="32"/>
        <v>czerwiec</v>
      </c>
      <c r="D241" s="6">
        <f t="shared" si="33"/>
        <v>1038.2638888888873</v>
      </c>
      <c r="E241" s="6">
        <f t="shared" si="34"/>
        <v>204.93055555555387</v>
      </c>
      <c r="F241" s="6">
        <f t="shared" si="35"/>
        <v>833.33333333333337</v>
      </c>
      <c r="G241" s="6">
        <f t="shared" si="36"/>
        <v>135790.13888888896</v>
      </c>
      <c r="H241" s="6">
        <f t="shared" si="37"/>
        <v>196666.66666666712</v>
      </c>
      <c r="I241" s="6">
        <f t="shared" si="38"/>
        <v>332456.80555555556</v>
      </c>
      <c r="J241" s="6">
        <f t="shared" si="39"/>
        <v>53333.333333332877</v>
      </c>
    </row>
    <row r="242" spans="1:10" x14ac:dyDescent="0.25">
      <c r="A242">
        <f t="shared" si="30"/>
        <v>237</v>
      </c>
      <c r="B242" s="2">
        <f t="shared" ca="1" si="31"/>
        <v>49137</v>
      </c>
      <c r="C242" t="str">
        <f t="shared" ca="1" si="32"/>
        <v>lipiec</v>
      </c>
      <c r="D242" s="6">
        <f t="shared" si="33"/>
        <v>1035.1111111111095</v>
      </c>
      <c r="E242" s="6">
        <f t="shared" si="34"/>
        <v>201.77777777777604</v>
      </c>
      <c r="F242" s="6">
        <f t="shared" si="35"/>
        <v>833.33333333333337</v>
      </c>
      <c r="G242" s="6">
        <f t="shared" si="36"/>
        <v>135991.91666666674</v>
      </c>
      <c r="H242" s="6">
        <f t="shared" si="37"/>
        <v>197500.00000000047</v>
      </c>
      <c r="I242" s="6">
        <f t="shared" si="38"/>
        <v>333491.91666666669</v>
      </c>
      <c r="J242" s="6">
        <f t="shared" si="39"/>
        <v>52499.999999999534</v>
      </c>
    </row>
    <row r="243" spans="1:10" x14ac:dyDescent="0.25">
      <c r="A243">
        <f t="shared" si="30"/>
        <v>238</v>
      </c>
      <c r="B243" s="2">
        <f t="shared" ca="1" si="31"/>
        <v>49168</v>
      </c>
      <c r="C243" t="str">
        <f t="shared" ca="1" si="32"/>
        <v>sierpień</v>
      </c>
      <c r="D243" s="6">
        <f t="shared" si="33"/>
        <v>1031.9583333333317</v>
      </c>
      <c r="E243" s="6">
        <f t="shared" si="34"/>
        <v>198.62499999999827</v>
      </c>
      <c r="F243" s="6">
        <f t="shared" si="35"/>
        <v>833.33333333333337</v>
      </c>
      <c r="G243" s="6">
        <f t="shared" si="36"/>
        <v>136190.54166666674</v>
      </c>
      <c r="H243" s="6">
        <f t="shared" si="37"/>
        <v>198333.33333333381</v>
      </c>
      <c r="I243" s="6">
        <f t="shared" si="38"/>
        <v>334523.875</v>
      </c>
      <c r="J243" s="6">
        <f t="shared" si="39"/>
        <v>51666.666666666191</v>
      </c>
    </row>
    <row r="244" spans="1:10" x14ac:dyDescent="0.25">
      <c r="A244">
        <f t="shared" si="30"/>
        <v>239</v>
      </c>
      <c r="B244" s="2">
        <f t="shared" ca="1" si="31"/>
        <v>49199</v>
      </c>
      <c r="C244" t="str">
        <f t="shared" ca="1" si="32"/>
        <v>wrzesień</v>
      </c>
      <c r="D244" s="6">
        <f t="shared" si="33"/>
        <v>1028.8055555555538</v>
      </c>
      <c r="E244" s="6">
        <f t="shared" si="34"/>
        <v>195.47222222222044</v>
      </c>
      <c r="F244" s="6">
        <f t="shared" si="35"/>
        <v>833.33333333333337</v>
      </c>
      <c r="G244" s="6">
        <f t="shared" si="36"/>
        <v>136386.01388888896</v>
      </c>
      <c r="H244" s="6">
        <f t="shared" si="37"/>
        <v>199166.66666666715</v>
      </c>
      <c r="I244" s="6">
        <f t="shared" si="38"/>
        <v>335552.68055555556</v>
      </c>
      <c r="J244" s="6">
        <f t="shared" si="39"/>
        <v>50833.333333332848</v>
      </c>
    </row>
    <row r="245" spans="1:10" x14ac:dyDescent="0.25">
      <c r="A245">
        <f t="shared" si="30"/>
        <v>240</v>
      </c>
      <c r="B245" s="2">
        <f t="shared" ca="1" si="31"/>
        <v>49229</v>
      </c>
      <c r="C245" t="str">
        <f t="shared" ca="1" si="32"/>
        <v>październik</v>
      </c>
      <c r="D245" s="6">
        <f t="shared" si="33"/>
        <v>1025.652777777776</v>
      </c>
      <c r="E245" s="6">
        <f t="shared" si="34"/>
        <v>192.31944444444264</v>
      </c>
      <c r="F245" s="6">
        <f t="shared" si="35"/>
        <v>833.33333333333337</v>
      </c>
      <c r="G245" s="6">
        <f t="shared" si="36"/>
        <v>136578.3333333334</v>
      </c>
      <c r="H245" s="6">
        <f t="shared" si="37"/>
        <v>200000.00000000049</v>
      </c>
      <c r="I245" s="6">
        <f t="shared" si="38"/>
        <v>336578.33333333331</v>
      </c>
      <c r="J245" s="6">
        <f t="shared" si="39"/>
        <v>49999.999999999505</v>
      </c>
    </row>
    <row r="246" spans="1:10" x14ac:dyDescent="0.25">
      <c r="A246">
        <f t="shared" si="30"/>
        <v>241</v>
      </c>
      <c r="B246" s="2">
        <f t="shared" ca="1" si="31"/>
        <v>49260</v>
      </c>
      <c r="C246" t="str">
        <f t="shared" ca="1" si="32"/>
        <v>listopad</v>
      </c>
      <c r="D246" s="6">
        <f t="shared" si="33"/>
        <v>1022.4999999999982</v>
      </c>
      <c r="E246" s="6">
        <f t="shared" si="34"/>
        <v>189.16666666666481</v>
      </c>
      <c r="F246" s="6">
        <f t="shared" si="35"/>
        <v>833.33333333333337</v>
      </c>
      <c r="G246" s="6">
        <f t="shared" si="36"/>
        <v>136767.50000000006</v>
      </c>
      <c r="H246" s="6">
        <f t="shared" si="37"/>
        <v>200833.33333333384</v>
      </c>
      <c r="I246" s="6">
        <f t="shared" si="38"/>
        <v>337600.83333333331</v>
      </c>
      <c r="J246" s="6">
        <f t="shared" si="39"/>
        <v>49166.666666666162</v>
      </c>
    </row>
    <row r="247" spans="1:10" x14ac:dyDescent="0.25">
      <c r="A247">
        <f t="shared" si="30"/>
        <v>242</v>
      </c>
      <c r="B247" s="2">
        <f t="shared" ca="1" si="31"/>
        <v>49290</v>
      </c>
      <c r="C247" t="str">
        <f t="shared" ca="1" si="32"/>
        <v>grudzień</v>
      </c>
      <c r="D247" s="6">
        <f t="shared" si="33"/>
        <v>1019.3472222222204</v>
      </c>
      <c r="E247" s="6">
        <f t="shared" si="34"/>
        <v>186.01388888888698</v>
      </c>
      <c r="F247" s="6">
        <f t="shared" si="35"/>
        <v>833.33333333333337</v>
      </c>
      <c r="G247" s="6">
        <f t="shared" si="36"/>
        <v>136953.51388888893</v>
      </c>
      <c r="H247" s="6">
        <f t="shared" si="37"/>
        <v>201666.66666666718</v>
      </c>
      <c r="I247" s="6">
        <f t="shared" si="38"/>
        <v>338620.18055555556</v>
      </c>
      <c r="J247" s="6">
        <f t="shared" si="39"/>
        <v>48333.333333332819</v>
      </c>
    </row>
    <row r="248" spans="1:10" x14ac:dyDescent="0.25">
      <c r="A248">
        <f t="shared" si="30"/>
        <v>243</v>
      </c>
      <c r="B248" s="2">
        <f t="shared" ca="1" si="31"/>
        <v>49321</v>
      </c>
      <c r="C248" t="str">
        <f t="shared" ca="1" si="32"/>
        <v>styczeń</v>
      </c>
      <c r="D248" s="6">
        <f t="shared" si="33"/>
        <v>1016.1944444444425</v>
      </c>
      <c r="E248" s="6">
        <f t="shared" si="34"/>
        <v>182.86111111110918</v>
      </c>
      <c r="F248" s="6">
        <f t="shared" si="35"/>
        <v>833.33333333333337</v>
      </c>
      <c r="G248" s="6">
        <f t="shared" si="36"/>
        <v>137136.37500000003</v>
      </c>
      <c r="H248" s="6">
        <f t="shared" si="37"/>
        <v>202500.00000000052</v>
      </c>
      <c r="I248" s="6">
        <f t="shared" si="38"/>
        <v>339636.375</v>
      </c>
      <c r="J248" s="6">
        <f t="shared" si="39"/>
        <v>47499.999999999476</v>
      </c>
    </row>
    <row r="249" spans="1:10" x14ac:dyDescent="0.25">
      <c r="A249">
        <f t="shared" si="30"/>
        <v>244</v>
      </c>
      <c r="B249" s="2">
        <f t="shared" ca="1" si="31"/>
        <v>49352</v>
      </c>
      <c r="C249" t="str">
        <f t="shared" ca="1" si="32"/>
        <v>luty</v>
      </c>
      <c r="D249" s="6">
        <f t="shared" si="33"/>
        <v>1013.0416666666647</v>
      </c>
      <c r="E249" s="6">
        <f t="shared" si="34"/>
        <v>179.70833333333135</v>
      </c>
      <c r="F249" s="6">
        <f t="shared" si="35"/>
        <v>833.33333333333337</v>
      </c>
      <c r="G249" s="6">
        <f t="shared" si="36"/>
        <v>137316.08333333337</v>
      </c>
      <c r="H249" s="6">
        <f t="shared" si="37"/>
        <v>203333.33333333387</v>
      </c>
      <c r="I249" s="6">
        <f t="shared" si="38"/>
        <v>340649.41666666669</v>
      </c>
      <c r="J249" s="6">
        <f t="shared" si="39"/>
        <v>46666.666666666133</v>
      </c>
    </row>
    <row r="250" spans="1:10" x14ac:dyDescent="0.25">
      <c r="A250">
        <f t="shared" si="30"/>
        <v>245</v>
      </c>
      <c r="B250" s="2">
        <f t="shared" ca="1" si="31"/>
        <v>49380</v>
      </c>
      <c r="C250" t="str">
        <f t="shared" ca="1" si="32"/>
        <v>marzec</v>
      </c>
      <c r="D250" s="6">
        <f t="shared" si="33"/>
        <v>1009.8888888888869</v>
      </c>
      <c r="E250" s="6">
        <f t="shared" si="34"/>
        <v>176.55555555555352</v>
      </c>
      <c r="F250" s="6">
        <f t="shared" si="35"/>
        <v>833.33333333333337</v>
      </c>
      <c r="G250" s="6">
        <f t="shared" si="36"/>
        <v>137492.63888888893</v>
      </c>
      <c r="H250" s="6">
        <f t="shared" si="37"/>
        <v>204166.66666666721</v>
      </c>
      <c r="I250" s="6">
        <f t="shared" si="38"/>
        <v>341659.30555555556</v>
      </c>
      <c r="J250" s="6">
        <f t="shared" si="39"/>
        <v>45833.33333333279</v>
      </c>
    </row>
    <row r="251" spans="1:10" x14ac:dyDescent="0.25">
      <c r="A251">
        <f t="shared" si="30"/>
        <v>246</v>
      </c>
      <c r="B251" s="2">
        <f t="shared" ca="1" si="31"/>
        <v>49411</v>
      </c>
      <c r="C251" t="str">
        <f t="shared" ca="1" si="32"/>
        <v>kwiecień</v>
      </c>
      <c r="D251" s="6">
        <f t="shared" si="33"/>
        <v>1006.7361111111092</v>
      </c>
      <c r="E251" s="6">
        <f t="shared" si="34"/>
        <v>173.40277777777575</v>
      </c>
      <c r="F251" s="6">
        <f t="shared" si="35"/>
        <v>833.33333333333337</v>
      </c>
      <c r="G251" s="6">
        <f t="shared" si="36"/>
        <v>137666.04166666672</v>
      </c>
      <c r="H251" s="6">
        <f t="shared" si="37"/>
        <v>205000.00000000055</v>
      </c>
      <c r="I251" s="6">
        <f t="shared" si="38"/>
        <v>342666.04166666669</v>
      </c>
      <c r="J251" s="6">
        <f t="shared" si="39"/>
        <v>44999.999999999447</v>
      </c>
    </row>
    <row r="252" spans="1:10" x14ac:dyDescent="0.25">
      <c r="A252">
        <f t="shared" si="30"/>
        <v>247</v>
      </c>
      <c r="B252" s="2">
        <f t="shared" ca="1" si="31"/>
        <v>49441</v>
      </c>
      <c r="C252" t="str">
        <f t="shared" ca="1" si="32"/>
        <v>maj</v>
      </c>
      <c r="D252" s="6">
        <f t="shared" si="33"/>
        <v>1003.5833333333313</v>
      </c>
      <c r="E252" s="6">
        <f t="shared" si="34"/>
        <v>170.24999999999793</v>
      </c>
      <c r="F252" s="6">
        <f t="shared" si="35"/>
        <v>833.33333333333337</v>
      </c>
      <c r="G252" s="6">
        <f t="shared" si="36"/>
        <v>137836.29166666672</v>
      </c>
      <c r="H252" s="6">
        <f t="shared" si="37"/>
        <v>205833.3333333339</v>
      </c>
      <c r="I252" s="6">
        <f t="shared" si="38"/>
        <v>343669.625</v>
      </c>
      <c r="J252" s="6">
        <f t="shared" si="39"/>
        <v>44166.666666666104</v>
      </c>
    </row>
    <row r="253" spans="1:10" x14ac:dyDescent="0.25">
      <c r="A253">
        <f t="shared" si="30"/>
        <v>248</v>
      </c>
      <c r="B253" s="2">
        <f t="shared" ca="1" si="31"/>
        <v>49472</v>
      </c>
      <c r="C253" t="str">
        <f t="shared" ca="1" si="32"/>
        <v>czerwiec</v>
      </c>
      <c r="D253" s="6">
        <f t="shared" si="33"/>
        <v>1000.4305555555535</v>
      </c>
      <c r="E253" s="6">
        <f t="shared" si="34"/>
        <v>167.0972222222201</v>
      </c>
      <c r="F253" s="6">
        <f t="shared" si="35"/>
        <v>833.33333333333337</v>
      </c>
      <c r="G253" s="6">
        <f t="shared" si="36"/>
        <v>138003.38888888893</v>
      </c>
      <c r="H253" s="6">
        <f t="shared" si="37"/>
        <v>206666.66666666724</v>
      </c>
      <c r="I253" s="6">
        <f t="shared" si="38"/>
        <v>344670.05555555556</v>
      </c>
      <c r="J253" s="6">
        <f t="shared" si="39"/>
        <v>43333.333333332761</v>
      </c>
    </row>
    <row r="254" spans="1:10" x14ac:dyDescent="0.25">
      <c r="A254">
        <f t="shared" si="30"/>
        <v>249</v>
      </c>
      <c r="B254" s="2">
        <f t="shared" ca="1" si="31"/>
        <v>49502</v>
      </c>
      <c r="C254" t="str">
        <f t="shared" ca="1" si="32"/>
        <v>lipiec</v>
      </c>
      <c r="D254" s="6">
        <f t="shared" si="33"/>
        <v>997.27777777777567</v>
      </c>
      <c r="E254" s="6">
        <f t="shared" si="34"/>
        <v>163.9444444444423</v>
      </c>
      <c r="F254" s="6">
        <f t="shared" si="35"/>
        <v>833.33333333333337</v>
      </c>
      <c r="G254" s="6">
        <f t="shared" si="36"/>
        <v>138167.33333333337</v>
      </c>
      <c r="H254" s="6">
        <f t="shared" si="37"/>
        <v>207500.00000000058</v>
      </c>
      <c r="I254" s="6">
        <f t="shared" si="38"/>
        <v>345667.33333333331</v>
      </c>
      <c r="J254" s="6">
        <f t="shared" si="39"/>
        <v>42499.999999999418</v>
      </c>
    </row>
    <row r="255" spans="1:10" x14ac:dyDescent="0.25">
      <c r="A255">
        <f t="shared" si="30"/>
        <v>250</v>
      </c>
      <c r="B255" s="2">
        <f t="shared" ca="1" si="31"/>
        <v>49533</v>
      </c>
      <c r="C255" t="str">
        <f t="shared" ca="1" si="32"/>
        <v>sierpień</v>
      </c>
      <c r="D255" s="6">
        <f t="shared" si="33"/>
        <v>994.12499999999784</v>
      </c>
      <c r="E255" s="6">
        <f t="shared" si="34"/>
        <v>160.79166666666447</v>
      </c>
      <c r="F255" s="6">
        <f t="shared" si="35"/>
        <v>833.33333333333337</v>
      </c>
      <c r="G255" s="6">
        <f t="shared" si="36"/>
        <v>138328.12500000003</v>
      </c>
      <c r="H255" s="6">
        <f t="shared" si="37"/>
        <v>208333.33333333393</v>
      </c>
      <c r="I255" s="6">
        <f t="shared" si="38"/>
        <v>346661.45833333331</v>
      </c>
      <c r="J255" s="6">
        <f t="shared" si="39"/>
        <v>41666.666666666075</v>
      </c>
    </row>
    <row r="256" spans="1:10" x14ac:dyDescent="0.25">
      <c r="A256">
        <f t="shared" si="30"/>
        <v>251</v>
      </c>
      <c r="B256" s="2">
        <f t="shared" ca="1" si="31"/>
        <v>49564</v>
      </c>
      <c r="C256" t="str">
        <f t="shared" ca="1" si="32"/>
        <v>wrzesień</v>
      </c>
      <c r="D256" s="6">
        <f t="shared" si="33"/>
        <v>990.97222222222001</v>
      </c>
      <c r="E256" s="6">
        <f t="shared" si="34"/>
        <v>157.63888888888667</v>
      </c>
      <c r="F256" s="6">
        <f t="shared" si="35"/>
        <v>833.33333333333337</v>
      </c>
      <c r="G256" s="6">
        <f t="shared" si="36"/>
        <v>138485.76388888891</v>
      </c>
      <c r="H256" s="6">
        <f t="shared" si="37"/>
        <v>209166.66666666727</v>
      </c>
      <c r="I256" s="6">
        <f t="shared" si="38"/>
        <v>347652.43055555556</v>
      </c>
      <c r="J256" s="6">
        <f t="shared" si="39"/>
        <v>40833.333333332732</v>
      </c>
    </row>
    <row r="257" spans="1:10" x14ac:dyDescent="0.25">
      <c r="A257">
        <f t="shared" si="30"/>
        <v>252</v>
      </c>
      <c r="B257" s="2">
        <f t="shared" ca="1" si="31"/>
        <v>49594</v>
      </c>
      <c r="C257" t="str">
        <f t="shared" ca="1" si="32"/>
        <v>październik</v>
      </c>
      <c r="D257" s="6">
        <f t="shared" si="33"/>
        <v>987.81944444444218</v>
      </c>
      <c r="E257" s="6">
        <f t="shared" si="34"/>
        <v>154.48611111110884</v>
      </c>
      <c r="F257" s="6">
        <f t="shared" si="35"/>
        <v>833.33333333333337</v>
      </c>
      <c r="G257" s="6">
        <f t="shared" si="36"/>
        <v>138640.25</v>
      </c>
      <c r="H257" s="6">
        <f t="shared" si="37"/>
        <v>210000.00000000061</v>
      </c>
      <c r="I257" s="6">
        <f t="shared" si="38"/>
        <v>348640.25</v>
      </c>
      <c r="J257" s="6">
        <f t="shared" si="39"/>
        <v>39999.999999999389</v>
      </c>
    </row>
    <row r="258" spans="1:10" x14ac:dyDescent="0.25">
      <c r="A258">
        <f t="shared" si="30"/>
        <v>253</v>
      </c>
      <c r="B258" s="2">
        <f t="shared" ca="1" si="31"/>
        <v>49625</v>
      </c>
      <c r="C258" t="str">
        <f t="shared" ca="1" si="32"/>
        <v>listopad</v>
      </c>
      <c r="D258" s="6">
        <f t="shared" si="33"/>
        <v>984.66666666666436</v>
      </c>
      <c r="E258" s="6">
        <f t="shared" si="34"/>
        <v>151.33333333333101</v>
      </c>
      <c r="F258" s="6">
        <f t="shared" si="35"/>
        <v>833.33333333333337</v>
      </c>
      <c r="G258" s="6">
        <f t="shared" si="36"/>
        <v>138791.58333333334</v>
      </c>
      <c r="H258" s="6">
        <f t="shared" si="37"/>
        <v>210833.33333333395</v>
      </c>
      <c r="I258" s="6">
        <f t="shared" si="38"/>
        <v>349624.91666666669</v>
      </c>
      <c r="J258" s="6">
        <f t="shared" si="39"/>
        <v>39166.666666666046</v>
      </c>
    </row>
    <row r="259" spans="1:10" x14ac:dyDescent="0.25">
      <c r="A259">
        <f t="shared" si="30"/>
        <v>254</v>
      </c>
      <c r="B259" s="2">
        <f t="shared" ca="1" si="31"/>
        <v>49655</v>
      </c>
      <c r="C259" t="str">
        <f t="shared" ca="1" si="32"/>
        <v>grudzień</v>
      </c>
      <c r="D259" s="6">
        <f t="shared" si="33"/>
        <v>981.51388888888664</v>
      </c>
      <c r="E259" s="6">
        <f t="shared" si="34"/>
        <v>148.18055555555321</v>
      </c>
      <c r="F259" s="6">
        <f t="shared" si="35"/>
        <v>833.33333333333337</v>
      </c>
      <c r="G259" s="6">
        <f t="shared" si="36"/>
        <v>138939.76388888891</v>
      </c>
      <c r="H259" s="6">
        <f t="shared" si="37"/>
        <v>211666.6666666673</v>
      </c>
      <c r="I259" s="6">
        <f t="shared" si="38"/>
        <v>350606.43055555556</v>
      </c>
      <c r="J259" s="6">
        <f t="shared" si="39"/>
        <v>38333.333333332703</v>
      </c>
    </row>
    <row r="260" spans="1:10" x14ac:dyDescent="0.25">
      <c r="A260">
        <f t="shared" si="30"/>
        <v>255</v>
      </c>
      <c r="B260" s="2">
        <f t="shared" ca="1" si="31"/>
        <v>49686</v>
      </c>
      <c r="C260" t="str">
        <f t="shared" ca="1" si="32"/>
        <v>styczeń</v>
      </c>
      <c r="D260" s="6">
        <f t="shared" si="33"/>
        <v>978.36111111110881</v>
      </c>
      <c r="E260" s="6">
        <f t="shared" si="34"/>
        <v>145.02777777777541</v>
      </c>
      <c r="F260" s="6">
        <f t="shared" si="35"/>
        <v>833.33333333333337</v>
      </c>
      <c r="G260" s="6">
        <f t="shared" si="36"/>
        <v>139084.79166666669</v>
      </c>
      <c r="H260" s="6">
        <f t="shared" si="37"/>
        <v>212500.00000000064</v>
      </c>
      <c r="I260" s="6">
        <f t="shared" si="38"/>
        <v>351584.79166666669</v>
      </c>
      <c r="J260" s="6">
        <f t="shared" si="39"/>
        <v>37499.99999999936</v>
      </c>
    </row>
    <row r="261" spans="1:10" x14ac:dyDescent="0.25">
      <c r="A261">
        <f t="shared" si="30"/>
        <v>256</v>
      </c>
      <c r="B261" s="2">
        <f t="shared" ca="1" si="31"/>
        <v>49717</v>
      </c>
      <c r="C261" t="str">
        <f t="shared" ca="1" si="32"/>
        <v>luty</v>
      </c>
      <c r="D261" s="6">
        <f t="shared" si="33"/>
        <v>975.20833333333098</v>
      </c>
      <c r="E261" s="6">
        <f t="shared" si="34"/>
        <v>141.87499999999758</v>
      </c>
      <c r="F261" s="6">
        <f t="shared" si="35"/>
        <v>833.33333333333337</v>
      </c>
      <c r="G261" s="6">
        <f t="shared" si="36"/>
        <v>139226.66666666669</v>
      </c>
      <c r="H261" s="6">
        <f t="shared" si="37"/>
        <v>213333.33333333398</v>
      </c>
      <c r="I261" s="6">
        <f t="shared" si="38"/>
        <v>352560</v>
      </c>
      <c r="J261" s="6">
        <f t="shared" si="39"/>
        <v>36666.666666666017</v>
      </c>
    </row>
    <row r="262" spans="1:10" x14ac:dyDescent="0.25">
      <c r="A262">
        <f t="shared" si="30"/>
        <v>257</v>
      </c>
      <c r="B262" s="2">
        <f t="shared" ca="1" si="31"/>
        <v>49746</v>
      </c>
      <c r="C262" t="str">
        <f t="shared" ca="1" si="32"/>
        <v>marzec</v>
      </c>
      <c r="D262" s="6">
        <f t="shared" si="33"/>
        <v>972.05555555555316</v>
      </c>
      <c r="E262" s="6">
        <f t="shared" si="34"/>
        <v>138.72222222221976</v>
      </c>
      <c r="F262" s="6">
        <f t="shared" si="35"/>
        <v>833.33333333333337</v>
      </c>
      <c r="G262" s="6">
        <f t="shared" si="36"/>
        <v>139365.38888888891</v>
      </c>
      <c r="H262" s="6">
        <f t="shared" si="37"/>
        <v>214166.66666666733</v>
      </c>
      <c r="I262" s="6">
        <f t="shared" si="38"/>
        <v>353532.05555555556</v>
      </c>
      <c r="J262" s="6">
        <f t="shared" si="39"/>
        <v>35833.333333332674</v>
      </c>
    </row>
    <row r="263" spans="1:10" x14ac:dyDescent="0.25">
      <c r="A263">
        <f t="shared" ref="A263:A326" si="40">IF($B$2&gt;A262,A262+1,"")</f>
        <v>258</v>
      </c>
      <c r="B263" s="2">
        <f t="shared" ref="B263:B326" ca="1" si="41">IF(A263&lt;&gt;"",DATE(YEAR(B262),MONTH(B262)+1,DAY(B262)),"")</f>
        <v>49777</v>
      </c>
      <c r="C263" t="str">
        <f t="shared" ref="C263:C326" ca="1" si="42">TEXT(B263,"mmmm")</f>
        <v>kwiecień</v>
      </c>
      <c r="D263" s="6">
        <f t="shared" ref="D263:D326" si="43">IF(A263&lt;&gt;"",E263+F263,"")</f>
        <v>968.90277777777533</v>
      </c>
      <c r="E263" s="6">
        <f t="shared" ref="E263:E326" si="44">IF(A263&lt;&gt;"",J262*$B$3/12,"")</f>
        <v>135.56944444444196</v>
      </c>
      <c r="F263" s="6">
        <f t="shared" ref="F263:F326" si="45">IF(A263&lt;&gt;"",$B$1/ ($B$2),"")</f>
        <v>833.33333333333337</v>
      </c>
      <c r="G263" s="6">
        <f t="shared" ref="G263:G326" si="46">IF(A263&lt;&gt;"",E263+G262,"")</f>
        <v>139500.95833333334</v>
      </c>
      <c r="H263" s="6">
        <f t="shared" ref="H263:H326" si="47">IF(A263&lt;&gt;"",F263+H262,"")</f>
        <v>215000.00000000067</v>
      </c>
      <c r="I263" s="6">
        <f t="shared" ref="I263:I326" si="48">IF(A263&lt;&gt;"",I262+D263,"")</f>
        <v>354500.95833333331</v>
      </c>
      <c r="J263" s="6">
        <f t="shared" ref="J263:J326" si="49">IF(A263&lt;&gt;"",$B$1-H263,"")</f>
        <v>34999.999999999331</v>
      </c>
    </row>
    <row r="264" spans="1:10" x14ac:dyDescent="0.25">
      <c r="A264">
        <f t="shared" si="40"/>
        <v>259</v>
      </c>
      <c r="B264" s="2">
        <f t="shared" ca="1" si="41"/>
        <v>49807</v>
      </c>
      <c r="C264" t="str">
        <f t="shared" ca="1" si="42"/>
        <v>maj</v>
      </c>
      <c r="D264" s="6">
        <f t="shared" si="43"/>
        <v>965.7499999999975</v>
      </c>
      <c r="E264" s="6">
        <f t="shared" si="44"/>
        <v>132.41666666666416</v>
      </c>
      <c r="F264" s="6">
        <f t="shared" si="45"/>
        <v>833.33333333333337</v>
      </c>
      <c r="G264" s="6">
        <f t="shared" si="46"/>
        <v>139633.375</v>
      </c>
      <c r="H264" s="6">
        <f t="shared" si="47"/>
        <v>215833.33333333401</v>
      </c>
      <c r="I264" s="6">
        <f t="shared" si="48"/>
        <v>355466.70833333331</v>
      </c>
      <c r="J264" s="6">
        <f t="shared" si="49"/>
        <v>34166.666666665988</v>
      </c>
    </row>
    <row r="265" spans="1:10" x14ac:dyDescent="0.25">
      <c r="A265">
        <f t="shared" si="40"/>
        <v>260</v>
      </c>
      <c r="B265" s="2">
        <f t="shared" ca="1" si="41"/>
        <v>49838</v>
      </c>
      <c r="C265" t="str">
        <f t="shared" ca="1" si="42"/>
        <v>czerwiec</v>
      </c>
      <c r="D265" s="6">
        <f t="shared" si="43"/>
        <v>962.59722222221967</v>
      </c>
      <c r="E265" s="6">
        <f t="shared" si="44"/>
        <v>129.26388888888633</v>
      </c>
      <c r="F265" s="6">
        <f t="shared" si="45"/>
        <v>833.33333333333337</v>
      </c>
      <c r="G265" s="6">
        <f t="shared" si="46"/>
        <v>139762.63888888888</v>
      </c>
      <c r="H265" s="6">
        <f t="shared" si="47"/>
        <v>216666.66666666736</v>
      </c>
      <c r="I265" s="6">
        <f t="shared" si="48"/>
        <v>356429.30555555556</v>
      </c>
      <c r="J265" s="6">
        <f t="shared" si="49"/>
        <v>33333.333333332645</v>
      </c>
    </row>
    <row r="266" spans="1:10" x14ac:dyDescent="0.25">
      <c r="A266">
        <f t="shared" si="40"/>
        <v>261</v>
      </c>
      <c r="B266" s="2">
        <f t="shared" ca="1" si="41"/>
        <v>49868</v>
      </c>
      <c r="C266" t="str">
        <f t="shared" ca="1" si="42"/>
        <v>lipiec</v>
      </c>
      <c r="D266" s="6">
        <f t="shared" si="43"/>
        <v>959.44444444444184</v>
      </c>
      <c r="E266" s="6">
        <f t="shared" si="44"/>
        <v>126.11111111110851</v>
      </c>
      <c r="F266" s="6">
        <f t="shared" si="45"/>
        <v>833.33333333333337</v>
      </c>
      <c r="G266" s="6">
        <f t="shared" si="46"/>
        <v>139888.74999999997</v>
      </c>
      <c r="H266" s="6">
        <f t="shared" si="47"/>
        <v>217500.0000000007</v>
      </c>
      <c r="I266" s="6">
        <f t="shared" si="48"/>
        <v>357388.75</v>
      </c>
      <c r="J266" s="6">
        <f t="shared" si="49"/>
        <v>32499.999999999302</v>
      </c>
    </row>
    <row r="267" spans="1:10" x14ac:dyDescent="0.25">
      <c r="A267">
        <f t="shared" si="40"/>
        <v>262</v>
      </c>
      <c r="B267" s="2">
        <f t="shared" ca="1" si="41"/>
        <v>49899</v>
      </c>
      <c r="C267" t="str">
        <f t="shared" ca="1" si="42"/>
        <v>sierpień</v>
      </c>
      <c r="D267" s="6">
        <f t="shared" si="43"/>
        <v>956.29166666666401</v>
      </c>
      <c r="E267" s="6">
        <f t="shared" si="44"/>
        <v>122.9583333333307</v>
      </c>
      <c r="F267" s="6">
        <f t="shared" si="45"/>
        <v>833.33333333333337</v>
      </c>
      <c r="G267" s="6">
        <f t="shared" si="46"/>
        <v>140011.70833333331</v>
      </c>
      <c r="H267" s="6">
        <f t="shared" si="47"/>
        <v>218333.33333333404</v>
      </c>
      <c r="I267" s="6">
        <f t="shared" si="48"/>
        <v>358345.04166666669</v>
      </c>
      <c r="J267" s="6">
        <f t="shared" si="49"/>
        <v>31666.666666665958</v>
      </c>
    </row>
    <row r="268" spans="1:10" x14ac:dyDescent="0.25">
      <c r="A268">
        <f t="shared" si="40"/>
        <v>263</v>
      </c>
      <c r="B268" s="2">
        <f t="shared" ca="1" si="41"/>
        <v>49930</v>
      </c>
      <c r="C268" t="str">
        <f t="shared" ca="1" si="42"/>
        <v>wrzesień</v>
      </c>
      <c r="D268" s="6">
        <f t="shared" si="43"/>
        <v>953.1388888888863</v>
      </c>
      <c r="E268" s="6">
        <f t="shared" si="44"/>
        <v>119.80555555555289</v>
      </c>
      <c r="F268" s="6">
        <f t="shared" si="45"/>
        <v>833.33333333333337</v>
      </c>
      <c r="G268" s="6">
        <f t="shared" si="46"/>
        <v>140131.51388888888</v>
      </c>
      <c r="H268" s="6">
        <f t="shared" si="47"/>
        <v>219166.66666666738</v>
      </c>
      <c r="I268" s="6">
        <f t="shared" si="48"/>
        <v>359298.18055555556</v>
      </c>
      <c r="J268" s="6">
        <f t="shared" si="49"/>
        <v>30833.333333332615</v>
      </c>
    </row>
    <row r="269" spans="1:10" x14ac:dyDescent="0.25">
      <c r="A269">
        <f t="shared" si="40"/>
        <v>264</v>
      </c>
      <c r="B269" s="2">
        <f t="shared" ca="1" si="41"/>
        <v>49960</v>
      </c>
      <c r="C269" t="str">
        <f t="shared" ca="1" si="42"/>
        <v>październik</v>
      </c>
      <c r="D269" s="6">
        <f t="shared" si="43"/>
        <v>949.98611111110847</v>
      </c>
      <c r="E269" s="6">
        <f t="shared" si="44"/>
        <v>116.65277777777506</v>
      </c>
      <c r="F269" s="6">
        <f t="shared" si="45"/>
        <v>833.33333333333337</v>
      </c>
      <c r="G269" s="6">
        <f t="shared" si="46"/>
        <v>140248.16666666666</v>
      </c>
      <c r="H269" s="6">
        <f t="shared" si="47"/>
        <v>220000.00000000073</v>
      </c>
      <c r="I269" s="6">
        <f t="shared" si="48"/>
        <v>360248.16666666669</v>
      </c>
      <c r="J269" s="6">
        <f t="shared" si="49"/>
        <v>29999.999999999272</v>
      </c>
    </row>
    <row r="270" spans="1:10" x14ac:dyDescent="0.25">
      <c r="A270">
        <f t="shared" si="40"/>
        <v>265</v>
      </c>
      <c r="B270" s="2">
        <f t="shared" ca="1" si="41"/>
        <v>49991</v>
      </c>
      <c r="C270" t="str">
        <f t="shared" ca="1" si="42"/>
        <v>listopad</v>
      </c>
      <c r="D270" s="6">
        <f t="shared" si="43"/>
        <v>946.83333333333064</v>
      </c>
      <c r="E270" s="6">
        <f t="shared" si="44"/>
        <v>113.49999999999726</v>
      </c>
      <c r="F270" s="6">
        <f t="shared" si="45"/>
        <v>833.33333333333337</v>
      </c>
      <c r="G270" s="6">
        <f t="shared" si="46"/>
        <v>140361.66666666666</v>
      </c>
      <c r="H270" s="6">
        <f t="shared" si="47"/>
        <v>220833.33333333407</v>
      </c>
      <c r="I270" s="6">
        <f t="shared" si="48"/>
        <v>361195</v>
      </c>
      <c r="J270" s="6">
        <f t="shared" si="49"/>
        <v>29166.666666665929</v>
      </c>
    </row>
    <row r="271" spans="1:10" x14ac:dyDescent="0.25">
      <c r="A271">
        <f t="shared" si="40"/>
        <v>266</v>
      </c>
      <c r="B271" s="2">
        <f t="shared" ca="1" si="41"/>
        <v>50021</v>
      </c>
      <c r="C271" t="str">
        <f t="shared" ca="1" si="42"/>
        <v>grudzień</v>
      </c>
      <c r="D271" s="6">
        <f t="shared" si="43"/>
        <v>943.68055555555281</v>
      </c>
      <c r="E271" s="6">
        <f t="shared" si="44"/>
        <v>110.34722222221944</v>
      </c>
      <c r="F271" s="6">
        <f t="shared" si="45"/>
        <v>833.33333333333337</v>
      </c>
      <c r="G271" s="6">
        <f t="shared" si="46"/>
        <v>140472.01388888888</v>
      </c>
      <c r="H271" s="6">
        <f t="shared" si="47"/>
        <v>221666.66666666741</v>
      </c>
      <c r="I271" s="6">
        <f t="shared" si="48"/>
        <v>362138.68055555556</v>
      </c>
      <c r="J271" s="6">
        <f t="shared" si="49"/>
        <v>28333.333333332586</v>
      </c>
    </row>
    <row r="272" spans="1:10" x14ac:dyDescent="0.25">
      <c r="A272">
        <f t="shared" si="40"/>
        <v>267</v>
      </c>
      <c r="B272" s="2">
        <f t="shared" ca="1" si="41"/>
        <v>50052</v>
      </c>
      <c r="C272" t="str">
        <f t="shared" ca="1" si="42"/>
        <v>styczeń</v>
      </c>
      <c r="D272" s="6">
        <f t="shared" si="43"/>
        <v>940.52777777777499</v>
      </c>
      <c r="E272" s="6">
        <f t="shared" si="44"/>
        <v>107.19444444444163</v>
      </c>
      <c r="F272" s="6">
        <f t="shared" si="45"/>
        <v>833.33333333333337</v>
      </c>
      <c r="G272" s="6">
        <f t="shared" si="46"/>
        <v>140579.20833333331</v>
      </c>
      <c r="H272" s="6">
        <f t="shared" si="47"/>
        <v>222500.00000000076</v>
      </c>
      <c r="I272" s="6">
        <f t="shared" si="48"/>
        <v>363079.20833333331</v>
      </c>
      <c r="J272" s="6">
        <f t="shared" si="49"/>
        <v>27499.999999999243</v>
      </c>
    </row>
    <row r="273" spans="1:10" x14ac:dyDescent="0.25">
      <c r="A273">
        <f t="shared" si="40"/>
        <v>268</v>
      </c>
      <c r="B273" s="2">
        <f t="shared" ca="1" si="41"/>
        <v>50083</v>
      </c>
      <c r="C273" t="str">
        <f t="shared" ca="1" si="42"/>
        <v>luty</v>
      </c>
      <c r="D273" s="6">
        <f t="shared" si="43"/>
        <v>937.37499999999716</v>
      </c>
      <c r="E273" s="6">
        <f t="shared" si="44"/>
        <v>104.0416666666638</v>
      </c>
      <c r="F273" s="6">
        <f t="shared" si="45"/>
        <v>833.33333333333337</v>
      </c>
      <c r="G273" s="6">
        <f t="shared" si="46"/>
        <v>140683.24999999997</v>
      </c>
      <c r="H273" s="6">
        <f t="shared" si="47"/>
        <v>223333.3333333341</v>
      </c>
      <c r="I273" s="6">
        <f t="shared" si="48"/>
        <v>364016.58333333331</v>
      </c>
      <c r="J273" s="6">
        <f t="shared" si="49"/>
        <v>26666.6666666659</v>
      </c>
    </row>
    <row r="274" spans="1:10" x14ac:dyDescent="0.25">
      <c r="A274">
        <f t="shared" si="40"/>
        <v>269</v>
      </c>
      <c r="B274" s="2">
        <f t="shared" ca="1" si="41"/>
        <v>50111</v>
      </c>
      <c r="C274" t="str">
        <f t="shared" ca="1" si="42"/>
        <v>marzec</v>
      </c>
      <c r="D274" s="6">
        <f t="shared" si="43"/>
        <v>934.22222222221933</v>
      </c>
      <c r="E274" s="6">
        <f t="shared" si="44"/>
        <v>100.888888888886</v>
      </c>
      <c r="F274" s="6">
        <f t="shared" si="45"/>
        <v>833.33333333333337</v>
      </c>
      <c r="G274" s="6">
        <f t="shared" si="46"/>
        <v>140784.13888888885</v>
      </c>
      <c r="H274" s="6">
        <f t="shared" si="47"/>
        <v>224166.66666666744</v>
      </c>
      <c r="I274" s="6">
        <f t="shared" si="48"/>
        <v>364950.80555555556</v>
      </c>
      <c r="J274" s="6">
        <f t="shared" si="49"/>
        <v>25833.333333332557</v>
      </c>
    </row>
    <row r="275" spans="1:10" x14ac:dyDescent="0.25">
      <c r="A275">
        <f t="shared" si="40"/>
        <v>270</v>
      </c>
      <c r="B275" s="2">
        <f t="shared" ca="1" si="41"/>
        <v>50142</v>
      </c>
      <c r="C275" t="str">
        <f t="shared" ca="1" si="42"/>
        <v>kwiecień</v>
      </c>
      <c r="D275" s="6">
        <f t="shared" si="43"/>
        <v>931.06944444444161</v>
      </c>
      <c r="E275" s="6">
        <f t="shared" si="44"/>
        <v>97.736111111108187</v>
      </c>
      <c r="F275" s="6">
        <f t="shared" si="45"/>
        <v>833.33333333333337</v>
      </c>
      <c r="G275" s="6">
        <f t="shared" si="46"/>
        <v>140881.87499999994</v>
      </c>
      <c r="H275" s="6">
        <f t="shared" si="47"/>
        <v>225000.00000000079</v>
      </c>
      <c r="I275" s="6">
        <f t="shared" si="48"/>
        <v>365881.875</v>
      </c>
      <c r="J275" s="6">
        <f t="shared" si="49"/>
        <v>24999.999999999214</v>
      </c>
    </row>
    <row r="276" spans="1:10" x14ac:dyDescent="0.25">
      <c r="A276">
        <f t="shared" si="40"/>
        <v>271</v>
      </c>
      <c r="B276" s="2">
        <f t="shared" ca="1" si="41"/>
        <v>50172</v>
      </c>
      <c r="C276" t="str">
        <f t="shared" ca="1" si="42"/>
        <v>maj</v>
      </c>
      <c r="D276" s="6">
        <f t="shared" si="43"/>
        <v>927.91666666666379</v>
      </c>
      <c r="E276" s="6">
        <f t="shared" si="44"/>
        <v>94.583333333330359</v>
      </c>
      <c r="F276" s="6">
        <f t="shared" si="45"/>
        <v>833.33333333333337</v>
      </c>
      <c r="G276" s="6">
        <f t="shared" si="46"/>
        <v>140976.45833333328</v>
      </c>
      <c r="H276" s="6">
        <f t="shared" si="47"/>
        <v>225833.33333333413</v>
      </c>
      <c r="I276" s="6">
        <f t="shared" si="48"/>
        <v>366809.79166666669</v>
      </c>
      <c r="J276" s="6">
        <f t="shared" si="49"/>
        <v>24166.666666665871</v>
      </c>
    </row>
    <row r="277" spans="1:10" x14ac:dyDescent="0.25">
      <c r="A277">
        <f t="shared" si="40"/>
        <v>272</v>
      </c>
      <c r="B277" s="2">
        <f t="shared" ca="1" si="41"/>
        <v>50203</v>
      </c>
      <c r="C277" t="str">
        <f t="shared" ca="1" si="42"/>
        <v>czerwiec</v>
      </c>
      <c r="D277" s="6">
        <f t="shared" si="43"/>
        <v>924.76388888888596</v>
      </c>
      <c r="E277" s="6">
        <f t="shared" si="44"/>
        <v>91.430555555552544</v>
      </c>
      <c r="F277" s="6">
        <f t="shared" si="45"/>
        <v>833.33333333333337</v>
      </c>
      <c r="G277" s="6">
        <f t="shared" si="46"/>
        <v>141067.88888888885</v>
      </c>
      <c r="H277" s="6">
        <f t="shared" si="47"/>
        <v>226666.66666666747</v>
      </c>
      <c r="I277" s="6">
        <f t="shared" si="48"/>
        <v>367734.55555555556</v>
      </c>
      <c r="J277" s="6">
        <f t="shared" si="49"/>
        <v>23333.333333332528</v>
      </c>
    </row>
    <row r="278" spans="1:10" x14ac:dyDescent="0.25">
      <c r="A278">
        <f t="shared" si="40"/>
        <v>273</v>
      </c>
      <c r="B278" s="2">
        <f t="shared" ca="1" si="41"/>
        <v>50233</v>
      </c>
      <c r="C278" t="str">
        <f t="shared" ca="1" si="42"/>
        <v>lipiec</v>
      </c>
      <c r="D278" s="6">
        <f t="shared" si="43"/>
        <v>921.61111111110813</v>
      </c>
      <c r="E278" s="6">
        <f t="shared" si="44"/>
        <v>88.277777777774745</v>
      </c>
      <c r="F278" s="6">
        <f t="shared" si="45"/>
        <v>833.33333333333337</v>
      </c>
      <c r="G278" s="6">
        <f t="shared" si="46"/>
        <v>141156.16666666663</v>
      </c>
      <c r="H278" s="6">
        <f t="shared" si="47"/>
        <v>227500.00000000081</v>
      </c>
      <c r="I278" s="6">
        <f t="shared" si="48"/>
        <v>368656.16666666669</v>
      </c>
      <c r="J278" s="6">
        <f t="shared" si="49"/>
        <v>22499.999999999185</v>
      </c>
    </row>
    <row r="279" spans="1:10" x14ac:dyDescent="0.25">
      <c r="A279">
        <f t="shared" si="40"/>
        <v>274</v>
      </c>
      <c r="B279" s="2">
        <f t="shared" ca="1" si="41"/>
        <v>50264</v>
      </c>
      <c r="C279" t="str">
        <f t="shared" ca="1" si="42"/>
        <v>sierpień</v>
      </c>
      <c r="D279" s="6">
        <f t="shared" si="43"/>
        <v>918.4583333333303</v>
      </c>
      <c r="E279" s="6">
        <f t="shared" si="44"/>
        <v>85.124999999996916</v>
      </c>
      <c r="F279" s="6">
        <f t="shared" si="45"/>
        <v>833.33333333333337</v>
      </c>
      <c r="G279" s="6">
        <f t="shared" si="46"/>
        <v>141241.29166666663</v>
      </c>
      <c r="H279" s="6">
        <f t="shared" si="47"/>
        <v>228333.33333333416</v>
      </c>
      <c r="I279" s="6">
        <f t="shared" si="48"/>
        <v>369574.625</v>
      </c>
      <c r="J279" s="6">
        <f t="shared" si="49"/>
        <v>21666.666666665842</v>
      </c>
    </row>
    <row r="280" spans="1:10" x14ac:dyDescent="0.25">
      <c r="A280">
        <f t="shared" si="40"/>
        <v>275</v>
      </c>
      <c r="B280" s="2">
        <f t="shared" ca="1" si="41"/>
        <v>50295</v>
      </c>
      <c r="C280" t="str">
        <f t="shared" ca="1" si="42"/>
        <v>wrzesień</v>
      </c>
      <c r="D280" s="6">
        <f t="shared" si="43"/>
        <v>915.30555555555247</v>
      </c>
      <c r="E280" s="6">
        <f t="shared" si="44"/>
        <v>81.972222222219116</v>
      </c>
      <c r="F280" s="6">
        <f t="shared" si="45"/>
        <v>833.33333333333337</v>
      </c>
      <c r="G280" s="6">
        <f t="shared" si="46"/>
        <v>141323.26388888885</v>
      </c>
      <c r="H280" s="6">
        <f t="shared" si="47"/>
        <v>229166.6666666675</v>
      </c>
      <c r="I280" s="6">
        <f t="shared" si="48"/>
        <v>370489.93055555556</v>
      </c>
      <c r="J280" s="6">
        <f t="shared" si="49"/>
        <v>20833.333333332499</v>
      </c>
    </row>
    <row r="281" spans="1:10" x14ac:dyDescent="0.25">
      <c r="A281">
        <f t="shared" si="40"/>
        <v>276</v>
      </c>
      <c r="B281" s="2">
        <f t="shared" ca="1" si="41"/>
        <v>50325</v>
      </c>
      <c r="C281" t="str">
        <f t="shared" ca="1" si="42"/>
        <v>październik</v>
      </c>
      <c r="D281" s="6">
        <f t="shared" si="43"/>
        <v>912.15277777777465</v>
      </c>
      <c r="E281" s="6">
        <f t="shared" si="44"/>
        <v>78.819444444441288</v>
      </c>
      <c r="F281" s="6">
        <f t="shared" si="45"/>
        <v>833.33333333333337</v>
      </c>
      <c r="G281" s="6">
        <f t="shared" si="46"/>
        <v>141402.08333333328</v>
      </c>
      <c r="H281" s="6">
        <f t="shared" si="47"/>
        <v>230000.00000000084</v>
      </c>
      <c r="I281" s="6">
        <f t="shared" si="48"/>
        <v>371402.08333333331</v>
      </c>
      <c r="J281" s="6">
        <f t="shared" si="49"/>
        <v>19999.999999999156</v>
      </c>
    </row>
    <row r="282" spans="1:10" x14ac:dyDescent="0.25">
      <c r="A282">
        <f t="shared" si="40"/>
        <v>277</v>
      </c>
      <c r="B282" s="2">
        <f t="shared" ca="1" si="41"/>
        <v>50356</v>
      </c>
      <c r="C282" t="str">
        <f t="shared" ca="1" si="42"/>
        <v>listopad</v>
      </c>
      <c r="D282" s="6">
        <f t="shared" si="43"/>
        <v>908.99999999999682</v>
      </c>
      <c r="E282" s="6">
        <f t="shared" si="44"/>
        <v>75.666666666663474</v>
      </c>
      <c r="F282" s="6">
        <f t="shared" si="45"/>
        <v>833.33333333333337</v>
      </c>
      <c r="G282" s="6">
        <f t="shared" si="46"/>
        <v>141477.74999999994</v>
      </c>
      <c r="H282" s="6">
        <f t="shared" si="47"/>
        <v>230833.33333333419</v>
      </c>
      <c r="I282" s="6">
        <f t="shared" si="48"/>
        <v>372311.08333333331</v>
      </c>
      <c r="J282" s="6">
        <f t="shared" si="49"/>
        <v>19166.666666665813</v>
      </c>
    </row>
    <row r="283" spans="1:10" x14ac:dyDescent="0.25">
      <c r="A283">
        <f t="shared" si="40"/>
        <v>278</v>
      </c>
      <c r="B283" s="2">
        <f t="shared" ca="1" si="41"/>
        <v>50386</v>
      </c>
      <c r="C283" t="str">
        <f t="shared" ca="1" si="42"/>
        <v>grudzień</v>
      </c>
      <c r="D283" s="6">
        <f t="shared" si="43"/>
        <v>905.84722222221899</v>
      </c>
      <c r="E283" s="6">
        <f t="shared" si="44"/>
        <v>72.51388888888566</v>
      </c>
      <c r="F283" s="6">
        <f t="shared" si="45"/>
        <v>833.33333333333337</v>
      </c>
      <c r="G283" s="6">
        <f t="shared" si="46"/>
        <v>141550.26388888882</v>
      </c>
      <c r="H283" s="6">
        <f t="shared" si="47"/>
        <v>231666.66666666753</v>
      </c>
      <c r="I283" s="6">
        <f t="shared" si="48"/>
        <v>373216.9305555555</v>
      </c>
      <c r="J283" s="6">
        <f t="shared" si="49"/>
        <v>18333.33333333247</v>
      </c>
    </row>
    <row r="284" spans="1:10" x14ac:dyDescent="0.25">
      <c r="A284">
        <f t="shared" si="40"/>
        <v>279</v>
      </c>
      <c r="B284" s="2">
        <f t="shared" ca="1" si="41"/>
        <v>50417</v>
      </c>
      <c r="C284" t="str">
        <f t="shared" ca="1" si="42"/>
        <v>styczeń</v>
      </c>
      <c r="D284" s="6">
        <f t="shared" si="43"/>
        <v>902.69444444444116</v>
      </c>
      <c r="E284" s="6">
        <f t="shared" si="44"/>
        <v>69.361111111107846</v>
      </c>
      <c r="F284" s="6">
        <f t="shared" si="45"/>
        <v>833.33333333333337</v>
      </c>
      <c r="G284" s="6">
        <f t="shared" si="46"/>
        <v>141619.62499999991</v>
      </c>
      <c r="H284" s="6">
        <f t="shared" si="47"/>
        <v>232500.00000000087</v>
      </c>
      <c r="I284" s="6">
        <f t="shared" si="48"/>
        <v>374119.62499999994</v>
      </c>
      <c r="J284" s="6">
        <f t="shared" si="49"/>
        <v>17499.999999999127</v>
      </c>
    </row>
    <row r="285" spans="1:10" x14ac:dyDescent="0.25">
      <c r="A285">
        <f t="shared" si="40"/>
        <v>280</v>
      </c>
      <c r="B285" s="2">
        <f t="shared" ca="1" si="41"/>
        <v>50448</v>
      </c>
      <c r="C285" t="str">
        <f t="shared" ca="1" si="42"/>
        <v>luty</v>
      </c>
      <c r="D285" s="6">
        <f t="shared" si="43"/>
        <v>899.54166666666345</v>
      </c>
      <c r="E285" s="6">
        <f t="shared" si="44"/>
        <v>66.208333333330032</v>
      </c>
      <c r="F285" s="6">
        <f t="shared" si="45"/>
        <v>833.33333333333337</v>
      </c>
      <c r="G285" s="6">
        <f t="shared" si="46"/>
        <v>141685.83333333326</v>
      </c>
      <c r="H285" s="6">
        <f t="shared" si="47"/>
        <v>233333.33333333422</v>
      </c>
      <c r="I285" s="6">
        <f t="shared" si="48"/>
        <v>375019.16666666663</v>
      </c>
      <c r="J285" s="6">
        <f t="shared" si="49"/>
        <v>16666.666666665784</v>
      </c>
    </row>
    <row r="286" spans="1:10" x14ac:dyDescent="0.25">
      <c r="A286">
        <f t="shared" si="40"/>
        <v>281</v>
      </c>
      <c r="B286" s="2">
        <f t="shared" ca="1" si="41"/>
        <v>50476</v>
      </c>
      <c r="C286" t="str">
        <f t="shared" ca="1" si="42"/>
        <v>marzec</v>
      </c>
      <c r="D286" s="6">
        <f t="shared" si="43"/>
        <v>896.38888888888562</v>
      </c>
      <c r="E286" s="6">
        <f t="shared" si="44"/>
        <v>63.055555555552218</v>
      </c>
      <c r="F286" s="6">
        <f t="shared" si="45"/>
        <v>833.33333333333337</v>
      </c>
      <c r="G286" s="6">
        <f t="shared" si="46"/>
        <v>141748.88888888882</v>
      </c>
      <c r="H286" s="6">
        <f t="shared" si="47"/>
        <v>234166.66666666756</v>
      </c>
      <c r="I286" s="6">
        <f t="shared" si="48"/>
        <v>375915.5555555555</v>
      </c>
      <c r="J286" s="6">
        <f t="shared" si="49"/>
        <v>15833.333333332441</v>
      </c>
    </row>
    <row r="287" spans="1:10" x14ac:dyDescent="0.25">
      <c r="A287">
        <f t="shared" si="40"/>
        <v>282</v>
      </c>
      <c r="B287" s="2">
        <f t="shared" ca="1" si="41"/>
        <v>50507</v>
      </c>
      <c r="C287" t="str">
        <f t="shared" ca="1" si="42"/>
        <v>kwiecień</v>
      </c>
      <c r="D287" s="6">
        <f t="shared" si="43"/>
        <v>893.23611111110779</v>
      </c>
      <c r="E287" s="6">
        <f t="shared" si="44"/>
        <v>59.902777777774411</v>
      </c>
      <c r="F287" s="6">
        <f t="shared" si="45"/>
        <v>833.33333333333337</v>
      </c>
      <c r="G287" s="6">
        <f t="shared" si="46"/>
        <v>141808.7916666666</v>
      </c>
      <c r="H287" s="6">
        <f t="shared" si="47"/>
        <v>235000.0000000009</v>
      </c>
      <c r="I287" s="6">
        <f t="shared" si="48"/>
        <v>376808.79166666663</v>
      </c>
      <c r="J287" s="6">
        <f t="shared" si="49"/>
        <v>14999.999999999098</v>
      </c>
    </row>
    <row r="288" spans="1:10" x14ac:dyDescent="0.25">
      <c r="A288">
        <f t="shared" si="40"/>
        <v>283</v>
      </c>
      <c r="B288" s="2">
        <f t="shared" ca="1" si="41"/>
        <v>50537</v>
      </c>
      <c r="C288" t="str">
        <f t="shared" ca="1" si="42"/>
        <v>maj</v>
      </c>
      <c r="D288" s="6">
        <f t="shared" si="43"/>
        <v>890.08333333332996</v>
      </c>
      <c r="E288" s="6">
        <f t="shared" si="44"/>
        <v>56.749999999996589</v>
      </c>
      <c r="F288" s="6">
        <f t="shared" si="45"/>
        <v>833.33333333333337</v>
      </c>
      <c r="G288" s="6">
        <f t="shared" si="46"/>
        <v>141865.5416666666</v>
      </c>
      <c r="H288" s="6">
        <f t="shared" si="47"/>
        <v>235833.33333333425</v>
      </c>
      <c r="I288" s="6">
        <f t="shared" si="48"/>
        <v>377698.87499999994</v>
      </c>
      <c r="J288" s="6">
        <f t="shared" si="49"/>
        <v>14166.666666665755</v>
      </c>
    </row>
    <row r="289" spans="1:10" x14ac:dyDescent="0.25">
      <c r="A289">
        <f t="shared" si="40"/>
        <v>284</v>
      </c>
      <c r="B289" s="2">
        <f t="shared" ca="1" si="41"/>
        <v>50568</v>
      </c>
      <c r="C289" t="str">
        <f t="shared" ca="1" si="42"/>
        <v>czerwiec</v>
      </c>
      <c r="D289" s="6">
        <f t="shared" si="43"/>
        <v>886.93055555555213</v>
      </c>
      <c r="E289" s="6">
        <f t="shared" si="44"/>
        <v>53.597222222218782</v>
      </c>
      <c r="F289" s="6">
        <f t="shared" si="45"/>
        <v>833.33333333333337</v>
      </c>
      <c r="G289" s="6">
        <f t="shared" si="46"/>
        <v>141919.13888888882</v>
      </c>
      <c r="H289" s="6">
        <f t="shared" si="47"/>
        <v>236666.66666666759</v>
      </c>
      <c r="I289" s="6">
        <f t="shared" si="48"/>
        <v>378585.8055555555</v>
      </c>
      <c r="J289" s="6">
        <f t="shared" si="49"/>
        <v>13333.333333332412</v>
      </c>
    </row>
    <row r="290" spans="1:10" x14ac:dyDescent="0.25">
      <c r="A290">
        <f t="shared" si="40"/>
        <v>285</v>
      </c>
      <c r="B290" s="2">
        <f t="shared" ca="1" si="41"/>
        <v>50598</v>
      </c>
      <c r="C290" t="str">
        <f t="shared" ca="1" si="42"/>
        <v>lipiec</v>
      </c>
      <c r="D290" s="6">
        <f t="shared" si="43"/>
        <v>883.7777777777743</v>
      </c>
      <c r="E290" s="6">
        <f t="shared" si="44"/>
        <v>50.444444444440961</v>
      </c>
      <c r="F290" s="6">
        <f t="shared" si="45"/>
        <v>833.33333333333337</v>
      </c>
      <c r="G290" s="6">
        <f t="shared" si="46"/>
        <v>141969.58333333326</v>
      </c>
      <c r="H290" s="6">
        <f t="shared" si="47"/>
        <v>237500.00000000093</v>
      </c>
      <c r="I290" s="6">
        <f t="shared" si="48"/>
        <v>379469.58333333326</v>
      </c>
      <c r="J290" s="6">
        <f t="shared" si="49"/>
        <v>12499.999999999069</v>
      </c>
    </row>
    <row r="291" spans="1:10" x14ac:dyDescent="0.25">
      <c r="A291">
        <f t="shared" si="40"/>
        <v>286</v>
      </c>
      <c r="B291" s="2">
        <f t="shared" ca="1" si="41"/>
        <v>50629</v>
      </c>
      <c r="C291" t="str">
        <f t="shared" ca="1" si="42"/>
        <v>sierpień</v>
      </c>
      <c r="D291" s="6">
        <f t="shared" si="43"/>
        <v>880.62499999999648</v>
      </c>
      <c r="E291" s="6">
        <f t="shared" si="44"/>
        <v>47.29166666666314</v>
      </c>
      <c r="F291" s="6">
        <f t="shared" si="45"/>
        <v>833.33333333333337</v>
      </c>
      <c r="G291" s="6">
        <f t="shared" si="46"/>
        <v>142016.87499999991</v>
      </c>
      <c r="H291" s="6">
        <f t="shared" si="47"/>
        <v>238333.33333333427</v>
      </c>
      <c r="I291" s="6">
        <f t="shared" si="48"/>
        <v>380350.20833333326</v>
      </c>
      <c r="J291" s="6">
        <f t="shared" si="49"/>
        <v>11666.666666665726</v>
      </c>
    </row>
    <row r="292" spans="1:10" x14ac:dyDescent="0.25">
      <c r="A292">
        <f t="shared" si="40"/>
        <v>287</v>
      </c>
      <c r="B292" s="2">
        <f t="shared" ca="1" si="41"/>
        <v>50660</v>
      </c>
      <c r="C292" t="str">
        <f t="shared" ca="1" si="42"/>
        <v>wrzesień</v>
      </c>
      <c r="D292" s="6">
        <f t="shared" si="43"/>
        <v>877.47222222221876</v>
      </c>
      <c r="E292" s="6">
        <f t="shared" si="44"/>
        <v>44.138888888885333</v>
      </c>
      <c r="F292" s="6">
        <f t="shared" si="45"/>
        <v>833.33333333333337</v>
      </c>
      <c r="G292" s="6">
        <f t="shared" si="46"/>
        <v>142061.01388888879</v>
      </c>
      <c r="H292" s="6">
        <f t="shared" si="47"/>
        <v>239166.66666666762</v>
      </c>
      <c r="I292" s="6">
        <f t="shared" si="48"/>
        <v>381227.68055555545</v>
      </c>
      <c r="J292" s="6">
        <f t="shared" si="49"/>
        <v>10833.333333332383</v>
      </c>
    </row>
    <row r="293" spans="1:10" x14ac:dyDescent="0.25">
      <c r="A293">
        <f t="shared" si="40"/>
        <v>288</v>
      </c>
      <c r="B293" s="2">
        <f t="shared" ca="1" si="41"/>
        <v>50690</v>
      </c>
      <c r="C293" t="str">
        <f t="shared" ca="1" si="42"/>
        <v>październik</v>
      </c>
      <c r="D293" s="6">
        <f t="shared" si="43"/>
        <v>874.31944444444093</v>
      </c>
      <c r="E293" s="6">
        <f t="shared" si="44"/>
        <v>40.986111111107519</v>
      </c>
      <c r="F293" s="6">
        <f t="shared" si="45"/>
        <v>833.33333333333337</v>
      </c>
      <c r="G293" s="6">
        <f t="shared" si="46"/>
        <v>142101.99999999988</v>
      </c>
      <c r="H293" s="6">
        <f t="shared" si="47"/>
        <v>240000.00000000096</v>
      </c>
      <c r="I293" s="6">
        <f t="shared" si="48"/>
        <v>382101.99999999988</v>
      </c>
      <c r="J293" s="6">
        <f t="shared" si="49"/>
        <v>9999.9999999990396</v>
      </c>
    </row>
    <row r="294" spans="1:10" x14ac:dyDescent="0.25">
      <c r="A294">
        <f t="shared" si="40"/>
        <v>289</v>
      </c>
      <c r="B294" s="2">
        <f t="shared" ca="1" si="41"/>
        <v>50721</v>
      </c>
      <c r="C294" t="str">
        <f t="shared" ca="1" si="42"/>
        <v>listopad</v>
      </c>
      <c r="D294" s="6">
        <f t="shared" si="43"/>
        <v>871.1666666666631</v>
      </c>
      <c r="E294" s="6">
        <f t="shared" si="44"/>
        <v>37.833333333329698</v>
      </c>
      <c r="F294" s="6">
        <f t="shared" si="45"/>
        <v>833.33333333333337</v>
      </c>
      <c r="G294" s="6">
        <f t="shared" si="46"/>
        <v>142139.83333333323</v>
      </c>
      <c r="H294" s="6">
        <f t="shared" si="47"/>
        <v>240833.3333333343</v>
      </c>
      <c r="I294" s="6">
        <f t="shared" si="48"/>
        <v>382973.16666666657</v>
      </c>
      <c r="J294" s="6">
        <f t="shared" si="49"/>
        <v>9166.6666666656965</v>
      </c>
    </row>
    <row r="295" spans="1:10" x14ac:dyDescent="0.25">
      <c r="A295">
        <f t="shared" si="40"/>
        <v>290</v>
      </c>
      <c r="B295" s="2">
        <f t="shared" ca="1" si="41"/>
        <v>50751</v>
      </c>
      <c r="C295" t="str">
        <f t="shared" ca="1" si="42"/>
        <v>grudzień</v>
      </c>
      <c r="D295" s="6">
        <f t="shared" si="43"/>
        <v>868.01388888888528</v>
      </c>
      <c r="E295" s="6">
        <f t="shared" si="44"/>
        <v>34.680555555551884</v>
      </c>
      <c r="F295" s="6">
        <f t="shared" si="45"/>
        <v>833.33333333333337</v>
      </c>
      <c r="G295" s="6">
        <f t="shared" si="46"/>
        <v>142174.51388888879</v>
      </c>
      <c r="H295" s="6">
        <f t="shared" si="47"/>
        <v>241666.66666666765</v>
      </c>
      <c r="I295" s="6">
        <f t="shared" si="48"/>
        <v>383841.18055555545</v>
      </c>
      <c r="J295" s="6">
        <f t="shared" si="49"/>
        <v>8333.3333333323535</v>
      </c>
    </row>
    <row r="296" spans="1:10" x14ac:dyDescent="0.25">
      <c r="A296">
        <f t="shared" si="40"/>
        <v>291</v>
      </c>
      <c r="B296" s="2">
        <f t="shared" ca="1" si="41"/>
        <v>50782</v>
      </c>
      <c r="C296" t="str">
        <f t="shared" ca="1" si="42"/>
        <v>styczeń</v>
      </c>
      <c r="D296" s="6">
        <f t="shared" si="43"/>
        <v>864.86111111110745</v>
      </c>
      <c r="E296" s="6">
        <f t="shared" si="44"/>
        <v>31.527777777774073</v>
      </c>
      <c r="F296" s="6">
        <f t="shared" si="45"/>
        <v>833.33333333333337</v>
      </c>
      <c r="G296" s="6">
        <f t="shared" si="46"/>
        <v>142206.04166666657</v>
      </c>
      <c r="H296" s="6">
        <f t="shared" si="47"/>
        <v>242500.00000000099</v>
      </c>
      <c r="I296" s="6">
        <f t="shared" si="48"/>
        <v>384706.04166666657</v>
      </c>
      <c r="J296" s="6">
        <f t="shared" si="49"/>
        <v>7499.9999999990105</v>
      </c>
    </row>
    <row r="297" spans="1:10" x14ac:dyDescent="0.25">
      <c r="A297">
        <f t="shared" si="40"/>
        <v>292</v>
      </c>
      <c r="B297" s="2">
        <f t="shared" ca="1" si="41"/>
        <v>50813</v>
      </c>
      <c r="C297" t="str">
        <f t="shared" ca="1" si="42"/>
        <v>luty</v>
      </c>
      <c r="D297" s="6">
        <f t="shared" si="43"/>
        <v>861.70833333332962</v>
      </c>
      <c r="E297" s="6">
        <f t="shared" si="44"/>
        <v>28.374999999996259</v>
      </c>
      <c r="F297" s="6">
        <f t="shared" si="45"/>
        <v>833.33333333333337</v>
      </c>
      <c r="G297" s="6">
        <f t="shared" si="46"/>
        <v>142234.41666666657</v>
      </c>
      <c r="H297" s="6">
        <f t="shared" si="47"/>
        <v>243333.33333333433</v>
      </c>
      <c r="I297" s="6">
        <f t="shared" si="48"/>
        <v>385567.74999999988</v>
      </c>
      <c r="J297" s="6">
        <f t="shared" si="49"/>
        <v>6666.6666666656674</v>
      </c>
    </row>
    <row r="298" spans="1:10" x14ac:dyDescent="0.25">
      <c r="A298">
        <f t="shared" si="40"/>
        <v>293</v>
      </c>
      <c r="B298" s="2">
        <f t="shared" ca="1" si="41"/>
        <v>50841</v>
      </c>
      <c r="C298" t="str">
        <f t="shared" ca="1" si="42"/>
        <v>marzec</v>
      </c>
      <c r="D298" s="6">
        <f t="shared" si="43"/>
        <v>858.55555555555179</v>
      </c>
      <c r="E298" s="6">
        <f t="shared" si="44"/>
        <v>25.222222222218445</v>
      </c>
      <c r="F298" s="6">
        <f t="shared" si="45"/>
        <v>833.33333333333337</v>
      </c>
      <c r="G298" s="6">
        <f t="shared" si="46"/>
        <v>142259.63888888879</v>
      </c>
      <c r="H298" s="6">
        <f t="shared" si="47"/>
        <v>244166.66666666768</v>
      </c>
      <c r="I298" s="6">
        <f t="shared" si="48"/>
        <v>386426.30555555545</v>
      </c>
      <c r="J298" s="6">
        <f t="shared" si="49"/>
        <v>5833.3333333323244</v>
      </c>
    </row>
    <row r="299" spans="1:10" x14ac:dyDescent="0.25">
      <c r="A299">
        <f t="shared" si="40"/>
        <v>294</v>
      </c>
      <c r="B299" s="2">
        <f t="shared" ca="1" si="41"/>
        <v>50872</v>
      </c>
      <c r="C299" t="str">
        <f t="shared" ca="1" si="42"/>
        <v>kwiecień</v>
      </c>
      <c r="D299" s="6">
        <f t="shared" si="43"/>
        <v>855.40277777777396</v>
      </c>
      <c r="E299" s="6">
        <f t="shared" si="44"/>
        <v>22.069444444440631</v>
      </c>
      <c r="F299" s="6">
        <f t="shared" si="45"/>
        <v>833.33333333333337</v>
      </c>
      <c r="G299" s="6">
        <f t="shared" si="46"/>
        <v>142281.70833333323</v>
      </c>
      <c r="H299" s="6">
        <f t="shared" si="47"/>
        <v>245000.00000000102</v>
      </c>
      <c r="I299" s="6">
        <f t="shared" si="48"/>
        <v>387281.7083333332</v>
      </c>
      <c r="J299" s="6">
        <f t="shared" si="49"/>
        <v>4999.9999999989814</v>
      </c>
    </row>
    <row r="300" spans="1:10" x14ac:dyDescent="0.25">
      <c r="A300">
        <f t="shared" si="40"/>
        <v>295</v>
      </c>
      <c r="B300" s="2">
        <f t="shared" ca="1" si="41"/>
        <v>50902</v>
      </c>
      <c r="C300" t="str">
        <f t="shared" ca="1" si="42"/>
        <v>maj</v>
      </c>
      <c r="D300" s="6">
        <f t="shared" si="43"/>
        <v>852.24999999999613</v>
      </c>
      <c r="E300" s="6">
        <f t="shared" si="44"/>
        <v>18.916666666662813</v>
      </c>
      <c r="F300" s="6">
        <f t="shared" si="45"/>
        <v>833.33333333333337</v>
      </c>
      <c r="G300" s="6">
        <f t="shared" si="46"/>
        <v>142300.62499999988</v>
      </c>
      <c r="H300" s="6">
        <f t="shared" si="47"/>
        <v>245833.33333333436</v>
      </c>
      <c r="I300" s="6">
        <f t="shared" si="48"/>
        <v>388133.9583333332</v>
      </c>
      <c r="J300" s="6">
        <f t="shared" si="49"/>
        <v>4166.6666666656383</v>
      </c>
    </row>
    <row r="301" spans="1:10" x14ac:dyDescent="0.25">
      <c r="A301">
        <f t="shared" si="40"/>
        <v>296</v>
      </c>
      <c r="B301" s="2">
        <f t="shared" ca="1" si="41"/>
        <v>50933</v>
      </c>
      <c r="C301" t="str">
        <f t="shared" ca="1" si="42"/>
        <v>czerwiec</v>
      </c>
      <c r="D301" s="6">
        <f t="shared" si="43"/>
        <v>849.09722222221842</v>
      </c>
      <c r="E301" s="6">
        <f t="shared" si="44"/>
        <v>15.763888888884999</v>
      </c>
      <c r="F301" s="6">
        <f t="shared" si="45"/>
        <v>833.33333333333337</v>
      </c>
      <c r="G301" s="6">
        <f t="shared" si="46"/>
        <v>142316.38888888876</v>
      </c>
      <c r="H301" s="6">
        <f t="shared" si="47"/>
        <v>246666.6666666677</v>
      </c>
      <c r="I301" s="6">
        <f t="shared" si="48"/>
        <v>388983.05555555539</v>
      </c>
      <c r="J301" s="6">
        <f t="shared" si="49"/>
        <v>3333.3333333322953</v>
      </c>
    </row>
    <row r="302" spans="1:10" x14ac:dyDescent="0.25">
      <c r="A302">
        <f t="shared" si="40"/>
        <v>297</v>
      </c>
      <c r="B302" s="2">
        <f t="shared" ca="1" si="41"/>
        <v>50963</v>
      </c>
      <c r="C302" t="str">
        <f t="shared" ca="1" si="42"/>
        <v>lipiec</v>
      </c>
      <c r="D302" s="6">
        <f t="shared" si="43"/>
        <v>845.94444444444059</v>
      </c>
      <c r="E302" s="6">
        <f t="shared" si="44"/>
        <v>12.611111111107185</v>
      </c>
      <c r="F302" s="6">
        <f t="shared" si="45"/>
        <v>833.33333333333337</v>
      </c>
      <c r="G302" s="6">
        <f t="shared" si="46"/>
        <v>142328.99999999985</v>
      </c>
      <c r="H302" s="6">
        <f t="shared" si="47"/>
        <v>247500.00000000105</v>
      </c>
      <c r="I302" s="6">
        <f t="shared" si="48"/>
        <v>389828.99999999983</v>
      </c>
      <c r="J302" s="6">
        <f t="shared" si="49"/>
        <v>2499.9999999989523</v>
      </c>
    </row>
    <row r="303" spans="1:10" x14ac:dyDescent="0.25">
      <c r="A303">
        <f t="shared" si="40"/>
        <v>298</v>
      </c>
      <c r="B303" s="2">
        <f t="shared" ca="1" si="41"/>
        <v>50994</v>
      </c>
      <c r="C303" t="str">
        <f t="shared" ca="1" si="42"/>
        <v>sierpień</v>
      </c>
      <c r="D303" s="6">
        <f t="shared" si="43"/>
        <v>842.79166666666276</v>
      </c>
      <c r="E303" s="6">
        <f t="shared" si="44"/>
        <v>9.4583333333293691</v>
      </c>
      <c r="F303" s="6">
        <f t="shared" si="45"/>
        <v>833.33333333333337</v>
      </c>
      <c r="G303" s="6">
        <f t="shared" si="46"/>
        <v>142338.4583333332</v>
      </c>
      <c r="H303" s="6">
        <f t="shared" si="47"/>
        <v>248333.33333333439</v>
      </c>
      <c r="I303" s="6">
        <f t="shared" si="48"/>
        <v>390671.79166666651</v>
      </c>
      <c r="J303" s="6">
        <f t="shared" si="49"/>
        <v>1666.6666666656092</v>
      </c>
    </row>
    <row r="304" spans="1:10" x14ac:dyDescent="0.25">
      <c r="A304">
        <f t="shared" si="40"/>
        <v>299</v>
      </c>
      <c r="B304" s="2">
        <f t="shared" ca="1" si="41"/>
        <v>51025</v>
      </c>
      <c r="C304" t="str">
        <f t="shared" ca="1" si="42"/>
        <v>wrzesień</v>
      </c>
      <c r="D304" s="6">
        <f t="shared" si="43"/>
        <v>839.63888888888494</v>
      </c>
      <c r="E304" s="6">
        <f t="shared" si="44"/>
        <v>6.3055555555515559</v>
      </c>
      <c r="F304" s="6">
        <f t="shared" si="45"/>
        <v>833.33333333333337</v>
      </c>
      <c r="G304" s="6">
        <f t="shared" si="46"/>
        <v>142344.76388888876</v>
      </c>
      <c r="H304" s="6">
        <f t="shared" si="47"/>
        <v>249166.66666666773</v>
      </c>
      <c r="I304" s="6">
        <f t="shared" si="48"/>
        <v>391511.43055555539</v>
      </c>
      <c r="J304" s="6">
        <f t="shared" si="49"/>
        <v>833.33333333226619</v>
      </c>
    </row>
    <row r="305" spans="1:10" x14ac:dyDescent="0.25">
      <c r="A305">
        <f t="shared" si="40"/>
        <v>300</v>
      </c>
      <c r="B305" s="2">
        <f t="shared" ca="1" si="41"/>
        <v>51055</v>
      </c>
      <c r="C305" t="str">
        <f t="shared" ca="1" si="42"/>
        <v>październik</v>
      </c>
      <c r="D305" s="6">
        <f t="shared" si="43"/>
        <v>836.48611111110711</v>
      </c>
      <c r="E305" s="6">
        <f t="shared" si="44"/>
        <v>3.1527777777737409</v>
      </c>
      <c r="F305" s="6">
        <f t="shared" si="45"/>
        <v>833.33333333333337</v>
      </c>
      <c r="G305" s="6">
        <f t="shared" si="46"/>
        <v>142347.91666666654</v>
      </c>
      <c r="H305" s="6">
        <f t="shared" si="47"/>
        <v>250000.00000000108</v>
      </c>
      <c r="I305" s="6">
        <f t="shared" si="48"/>
        <v>392347.91666666651</v>
      </c>
      <c r="J305" s="6">
        <f t="shared" si="49"/>
        <v>-1.076841726899147E-9</v>
      </c>
    </row>
    <row r="306" spans="1:10" x14ac:dyDescent="0.25">
      <c r="A306" t="str">
        <f t="shared" si="40"/>
        <v/>
      </c>
      <c r="B306" s="2" t="str">
        <f t="shared" si="41"/>
        <v/>
      </c>
      <c r="C306" t="str">
        <f t="shared" si="42"/>
        <v/>
      </c>
      <c r="D306" s="6" t="str">
        <f t="shared" si="43"/>
        <v/>
      </c>
      <c r="E306" s="6" t="str">
        <f t="shared" si="44"/>
        <v/>
      </c>
      <c r="F306" s="6" t="str">
        <f t="shared" si="45"/>
        <v/>
      </c>
      <c r="G306" s="6" t="str">
        <f t="shared" si="46"/>
        <v/>
      </c>
      <c r="H306" s="6" t="str">
        <f t="shared" si="47"/>
        <v/>
      </c>
      <c r="I306" s="6" t="str">
        <f t="shared" si="48"/>
        <v/>
      </c>
      <c r="J306" s="6" t="str">
        <f t="shared" si="49"/>
        <v/>
      </c>
    </row>
    <row r="307" spans="1:10" x14ac:dyDescent="0.25">
      <c r="A307" t="str">
        <f t="shared" si="40"/>
        <v/>
      </c>
      <c r="B307" s="2" t="str">
        <f t="shared" si="41"/>
        <v/>
      </c>
      <c r="C307" t="str">
        <f t="shared" si="42"/>
        <v/>
      </c>
      <c r="D307" s="6" t="str">
        <f t="shared" si="43"/>
        <v/>
      </c>
      <c r="E307" s="6" t="str">
        <f t="shared" si="44"/>
        <v/>
      </c>
      <c r="F307" s="6" t="str">
        <f t="shared" si="45"/>
        <v/>
      </c>
      <c r="G307" s="6" t="str">
        <f t="shared" si="46"/>
        <v/>
      </c>
      <c r="H307" s="6" t="str">
        <f t="shared" si="47"/>
        <v/>
      </c>
      <c r="I307" s="6" t="str">
        <f t="shared" si="48"/>
        <v/>
      </c>
      <c r="J307" s="6" t="str">
        <f t="shared" si="49"/>
        <v/>
      </c>
    </row>
    <row r="308" spans="1:10" x14ac:dyDescent="0.25">
      <c r="A308" t="str">
        <f t="shared" si="40"/>
        <v/>
      </c>
      <c r="B308" s="2" t="str">
        <f t="shared" si="41"/>
        <v/>
      </c>
      <c r="C308" t="str">
        <f t="shared" si="42"/>
        <v/>
      </c>
      <c r="D308" s="6" t="str">
        <f t="shared" si="43"/>
        <v/>
      </c>
      <c r="E308" s="6" t="str">
        <f t="shared" si="44"/>
        <v/>
      </c>
      <c r="F308" s="6" t="str">
        <f t="shared" si="45"/>
        <v/>
      </c>
      <c r="G308" s="6" t="str">
        <f t="shared" si="46"/>
        <v/>
      </c>
      <c r="H308" s="6" t="str">
        <f t="shared" si="47"/>
        <v/>
      </c>
      <c r="I308" s="6" t="str">
        <f t="shared" si="48"/>
        <v/>
      </c>
      <c r="J308" s="6" t="str">
        <f t="shared" si="49"/>
        <v/>
      </c>
    </row>
    <row r="309" spans="1:10" x14ac:dyDescent="0.25">
      <c r="A309" t="str">
        <f t="shared" si="40"/>
        <v/>
      </c>
      <c r="B309" s="2" t="str">
        <f t="shared" si="41"/>
        <v/>
      </c>
      <c r="C309" t="str">
        <f t="shared" si="42"/>
        <v/>
      </c>
      <c r="D309" s="6" t="str">
        <f t="shared" si="43"/>
        <v/>
      </c>
      <c r="E309" s="6" t="str">
        <f t="shared" si="44"/>
        <v/>
      </c>
      <c r="F309" s="6" t="str">
        <f t="shared" si="45"/>
        <v/>
      </c>
      <c r="G309" s="6" t="str">
        <f t="shared" si="46"/>
        <v/>
      </c>
      <c r="H309" s="6" t="str">
        <f t="shared" si="47"/>
        <v/>
      </c>
      <c r="I309" s="6" t="str">
        <f t="shared" si="48"/>
        <v/>
      </c>
      <c r="J309" s="6" t="str">
        <f t="shared" si="49"/>
        <v/>
      </c>
    </row>
    <row r="310" spans="1:10" x14ac:dyDescent="0.25">
      <c r="A310" t="str">
        <f t="shared" si="40"/>
        <v/>
      </c>
      <c r="B310" s="2" t="str">
        <f t="shared" si="41"/>
        <v/>
      </c>
      <c r="C310" t="str">
        <f t="shared" si="42"/>
        <v/>
      </c>
      <c r="D310" s="6" t="str">
        <f t="shared" si="43"/>
        <v/>
      </c>
      <c r="E310" s="6" t="str">
        <f t="shared" si="44"/>
        <v/>
      </c>
      <c r="F310" s="6" t="str">
        <f t="shared" si="45"/>
        <v/>
      </c>
      <c r="G310" s="6" t="str">
        <f t="shared" si="46"/>
        <v/>
      </c>
      <c r="H310" s="6" t="str">
        <f t="shared" si="47"/>
        <v/>
      </c>
      <c r="I310" s="6" t="str">
        <f t="shared" si="48"/>
        <v/>
      </c>
      <c r="J310" s="6" t="str">
        <f t="shared" si="49"/>
        <v/>
      </c>
    </row>
    <row r="311" spans="1:10" x14ac:dyDescent="0.25">
      <c r="A311" t="str">
        <f t="shared" si="40"/>
        <v/>
      </c>
      <c r="B311" s="2" t="str">
        <f t="shared" si="41"/>
        <v/>
      </c>
      <c r="C311" t="str">
        <f t="shared" si="42"/>
        <v/>
      </c>
      <c r="D311" s="6" t="str">
        <f t="shared" si="43"/>
        <v/>
      </c>
      <c r="E311" s="6" t="str">
        <f t="shared" si="44"/>
        <v/>
      </c>
      <c r="F311" s="6" t="str">
        <f t="shared" si="45"/>
        <v/>
      </c>
      <c r="G311" s="6" t="str">
        <f t="shared" si="46"/>
        <v/>
      </c>
      <c r="H311" s="6" t="str">
        <f t="shared" si="47"/>
        <v/>
      </c>
      <c r="I311" s="6" t="str">
        <f t="shared" si="48"/>
        <v/>
      </c>
      <c r="J311" s="6" t="str">
        <f t="shared" si="49"/>
        <v/>
      </c>
    </row>
    <row r="312" spans="1:10" x14ac:dyDescent="0.25">
      <c r="A312" t="str">
        <f t="shared" si="40"/>
        <v/>
      </c>
      <c r="B312" s="2" t="str">
        <f t="shared" si="41"/>
        <v/>
      </c>
      <c r="C312" t="str">
        <f t="shared" si="42"/>
        <v/>
      </c>
      <c r="D312" s="6" t="str">
        <f t="shared" si="43"/>
        <v/>
      </c>
      <c r="E312" s="6" t="str">
        <f t="shared" si="44"/>
        <v/>
      </c>
      <c r="F312" s="6" t="str">
        <f t="shared" si="45"/>
        <v/>
      </c>
      <c r="G312" s="6" t="str">
        <f t="shared" si="46"/>
        <v/>
      </c>
      <c r="H312" s="6" t="str">
        <f t="shared" si="47"/>
        <v/>
      </c>
      <c r="I312" s="6" t="str">
        <f t="shared" si="48"/>
        <v/>
      </c>
      <c r="J312" s="6" t="str">
        <f t="shared" si="49"/>
        <v/>
      </c>
    </row>
    <row r="313" spans="1:10" x14ac:dyDescent="0.25">
      <c r="A313" t="str">
        <f t="shared" si="40"/>
        <v/>
      </c>
      <c r="B313" s="2" t="str">
        <f t="shared" si="41"/>
        <v/>
      </c>
      <c r="C313" t="str">
        <f t="shared" si="42"/>
        <v/>
      </c>
      <c r="D313" s="6" t="str">
        <f t="shared" si="43"/>
        <v/>
      </c>
      <c r="E313" s="6" t="str">
        <f t="shared" si="44"/>
        <v/>
      </c>
      <c r="F313" s="6" t="str">
        <f t="shared" si="45"/>
        <v/>
      </c>
      <c r="G313" s="6" t="str">
        <f t="shared" si="46"/>
        <v/>
      </c>
      <c r="H313" s="6" t="str">
        <f t="shared" si="47"/>
        <v/>
      </c>
      <c r="I313" s="6" t="str">
        <f t="shared" si="48"/>
        <v/>
      </c>
      <c r="J313" s="6" t="str">
        <f t="shared" si="49"/>
        <v/>
      </c>
    </row>
    <row r="314" spans="1:10" x14ac:dyDescent="0.25">
      <c r="A314" t="str">
        <f t="shared" si="40"/>
        <v/>
      </c>
      <c r="B314" s="2" t="str">
        <f t="shared" si="41"/>
        <v/>
      </c>
      <c r="C314" t="str">
        <f t="shared" si="42"/>
        <v/>
      </c>
      <c r="D314" s="6" t="str">
        <f t="shared" si="43"/>
        <v/>
      </c>
      <c r="E314" s="6" t="str">
        <f t="shared" si="44"/>
        <v/>
      </c>
      <c r="F314" s="6" t="str">
        <f t="shared" si="45"/>
        <v/>
      </c>
      <c r="G314" s="6" t="str">
        <f t="shared" si="46"/>
        <v/>
      </c>
      <c r="H314" s="6" t="str">
        <f t="shared" si="47"/>
        <v/>
      </c>
      <c r="I314" s="6" t="str">
        <f t="shared" si="48"/>
        <v/>
      </c>
      <c r="J314" s="6" t="str">
        <f t="shared" si="49"/>
        <v/>
      </c>
    </row>
    <row r="315" spans="1:10" x14ac:dyDescent="0.25">
      <c r="A315" t="str">
        <f t="shared" si="40"/>
        <v/>
      </c>
      <c r="B315" s="2" t="str">
        <f t="shared" si="41"/>
        <v/>
      </c>
      <c r="C315" t="str">
        <f t="shared" si="42"/>
        <v/>
      </c>
      <c r="D315" s="6" t="str">
        <f t="shared" si="43"/>
        <v/>
      </c>
      <c r="E315" s="6" t="str">
        <f t="shared" si="44"/>
        <v/>
      </c>
      <c r="F315" s="6" t="str">
        <f t="shared" si="45"/>
        <v/>
      </c>
      <c r="G315" s="6" t="str">
        <f t="shared" si="46"/>
        <v/>
      </c>
      <c r="H315" s="6" t="str">
        <f t="shared" si="47"/>
        <v/>
      </c>
      <c r="I315" s="6" t="str">
        <f t="shared" si="48"/>
        <v/>
      </c>
      <c r="J315" s="6" t="str">
        <f t="shared" si="49"/>
        <v/>
      </c>
    </row>
    <row r="316" spans="1:10" x14ac:dyDescent="0.25">
      <c r="A316" t="str">
        <f t="shared" si="40"/>
        <v/>
      </c>
      <c r="B316" s="2" t="str">
        <f t="shared" si="41"/>
        <v/>
      </c>
      <c r="C316" t="str">
        <f t="shared" si="42"/>
        <v/>
      </c>
      <c r="D316" s="6" t="str">
        <f t="shared" si="43"/>
        <v/>
      </c>
      <c r="E316" s="6" t="str">
        <f t="shared" si="44"/>
        <v/>
      </c>
      <c r="F316" s="6" t="str">
        <f t="shared" si="45"/>
        <v/>
      </c>
      <c r="G316" s="6" t="str">
        <f t="shared" si="46"/>
        <v/>
      </c>
      <c r="H316" s="6" t="str">
        <f t="shared" si="47"/>
        <v/>
      </c>
      <c r="I316" s="6" t="str">
        <f t="shared" si="48"/>
        <v/>
      </c>
      <c r="J316" s="6" t="str">
        <f t="shared" si="49"/>
        <v/>
      </c>
    </row>
    <row r="317" spans="1:10" x14ac:dyDescent="0.25">
      <c r="A317" t="str">
        <f t="shared" si="40"/>
        <v/>
      </c>
      <c r="B317" s="2" t="str">
        <f t="shared" si="41"/>
        <v/>
      </c>
      <c r="C317" t="str">
        <f t="shared" si="42"/>
        <v/>
      </c>
      <c r="D317" s="6" t="str">
        <f t="shared" si="43"/>
        <v/>
      </c>
      <c r="E317" s="6" t="str">
        <f t="shared" si="44"/>
        <v/>
      </c>
      <c r="F317" s="6" t="str">
        <f t="shared" si="45"/>
        <v/>
      </c>
      <c r="G317" s="6" t="str">
        <f t="shared" si="46"/>
        <v/>
      </c>
      <c r="H317" s="6" t="str">
        <f t="shared" si="47"/>
        <v/>
      </c>
      <c r="I317" s="6" t="str">
        <f t="shared" si="48"/>
        <v/>
      </c>
      <c r="J317" s="6" t="str">
        <f t="shared" si="49"/>
        <v/>
      </c>
    </row>
    <row r="318" spans="1:10" x14ac:dyDescent="0.25">
      <c r="A318" t="str">
        <f t="shared" si="40"/>
        <v/>
      </c>
      <c r="B318" s="2" t="str">
        <f t="shared" si="41"/>
        <v/>
      </c>
      <c r="C318" t="str">
        <f t="shared" si="42"/>
        <v/>
      </c>
      <c r="D318" s="6" t="str">
        <f t="shared" si="43"/>
        <v/>
      </c>
      <c r="E318" s="6" t="str">
        <f t="shared" si="44"/>
        <v/>
      </c>
      <c r="F318" s="6" t="str">
        <f t="shared" si="45"/>
        <v/>
      </c>
      <c r="G318" s="6" t="str">
        <f t="shared" si="46"/>
        <v/>
      </c>
      <c r="H318" s="6" t="str">
        <f t="shared" si="47"/>
        <v/>
      </c>
      <c r="I318" s="6" t="str">
        <f t="shared" si="48"/>
        <v/>
      </c>
      <c r="J318" s="6" t="str">
        <f t="shared" si="49"/>
        <v/>
      </c>
    </row>
    <row r="319" spans="1:10" x14ac:dyDescent="0.25">
      <c r="A319" t="str">
        <f t="shared" si="40"/>
        <v/>
      </c>
      <c r="B319" s="2" t="str">
        <f t="shared" si="41"/>
        <v/>
      </c>
      <c r="C319" t="str">
        <f t="shared" si="42"/>
        <v/>
      </c>
      <c r="D319" s="6" t="str">
        <f t="shared" si="43"/>
        <v/>
      </c>
      <c r="E319" s="6" t="str">
        <f t="shared" si="44"/>
        <v/>
      </c>
      <c r="F319" s="6" t="str">
        <f t="shared" si="45"/>
        <v/>
      </c>
      <c r="G319" s="6" t="str">
        <f t="shared" si="46"/>
        <v/>
      </c>
      <c r="H319" s="6" t="str">
        <f t="shared" si="47"/>
        <v/>
      </c>
      <c r="I319" s="6" t="str">
        <f t="shared" si="48"/>
        <v/>
      </c>
      <c r="J319" s="6" t="str">
        <f t="shared" si="49"/>
        <v/>
      </c>
    </row>
    <row r="320" spans="1:10" x14ac:dyDescent="0.25">
      <c r="A320" t="str">
        <f t="shared" si="40"/>
        <v/>
      </c>
      <c r="B320" s="2" t="str">
        <f t="shared" si="41"/>
        <v/>
      </c>
      <c r="C320" t="str">
        <f t="shared" si="42"/>
        <v/>
      </c>
      <c r="D320" s="6" t="str">
        <f t="shared" si="43"/>
        <v/>
      </c>
      <c r="E320" s="6" t="str">
        <f t="shared" si="44"/>
        <v/>
      </c>
      <c r="F320" s="6" t="str">
        <f t="shared" si="45"/>
        <v/>
      </c>
      <c r="G320" s="6" t="str">
        <f t="shared" si="46"/>
        <v/>
      </c>
      <c r="H320" s="6" t="str">
        <f t="shared" si="47"/>
        <v/>
      </c>
      <c r="I320" s="6" t="str">
        <f t="shared" si="48"/>
        <v/>
      </c>
      <c r="J320" s="6" t="str">
        <f t="shared" si="49"/>
        <v/>
      </c>
    </row>
    <row r="321" spans="1:10" x14ac:dyDescent="0.25">
      <c r="A321" t="str">
        <f t="shared" si="40"/>
        <v/>
      </c>
      <c r="B321" s="2" t="str">
        <f t="shared" si="41"/>
        <v/>
      </c>
      <c r="C321" t="str">
        <f t="shared" si="42"/>
        <v/>
      </c>
      <c r="D321" s="6" t="str">
        <f t="shared" si="43"/>
        <v/>
      </c>
      <c r="E321" s="6" t="str">
        <f t="shared" si="44"/>
        <v/>
      </c>
      <c r="F321" s="6" t="str">
        <f t="shared" si="45"/>
        <v/>
      </c>
      <c r="G321" s="6" t="str">
        <f t="shared" si="46"/>
        <v/>
      </c>
      <c r="H321" s="6" t="str">
        <f t="shared" si="47"/>
        <v/>
      </c>
      <c r="I321" s="6" t="str">
        <f t="shared" si="48"/>
        <v/>
      </c>
      <c r="J321" s="6" t="str">
        <f t="shared" si="49"/>
        <v/>
      </c>
    </row>
    <row r="322" spans="1:10" x14ac:dyDescent="0.25">
      <c r="A322" t="str">
        <f t="shared" si="40"/>
        <v/>
      </c>
      <c r="B322" s="2" t="str">
        <f t="shared" si="41"/>
        <v/>
      </c>
      <c r="C322" t="str">
        <f t="shared" si="42"/>
        <v/>
      </c>
      <c r="D322" s="6" t="str">
        <f t="shared" si="43"/>
        <v/>
      </c>
      <c r="E322" s="6" t="str">
        <f t="shared" si="44"/>
        <v/>
      </c>
      <c r="F322" s="6" t="str">
        <f t="shared" si="45"/>
        <v/>
      </c>
      <c r="G322" s="6" t="str">
        <f t="shared" si="46"/>
        <v/>
      </c>
      <c r="H322" s="6" t="str">
        <f t="shared" si="47"/>
        <v/>
      </c>
      <c r="I322" s="6" t="str">
        <f t="shared" si="48"/>
        <v/>
      </c>
      <c r="J322" s="6" t="str">
        <f t="shared" si="49"/>
        <v/>
      </c>
    </row>
    <row r="323" spans="1:10" x14ac:dyDescent="0.25">
      <c r="A323" t="str">
        <f t="shared" si="40"/>
        <v/>
      </c>
      <c r="B323" s="2" t="str">
        <f t="shared" si="41"/>
        <v/>
      </c>
      <c r="C323" t="str">
        <f t="shared" si="42"/>
        <v/>
      </c>
      <c r="D323" s="6" t="str">
        <f t="shared" si="43"/>
        <v/>
      </c>
      <c r="E323" s="6" t="str">
        <f t="shared" si="44"/>
        <v/>
      </c>
      <c r="F323" s="6" t="str">
        <f t="shared" si="45"/>
        <v/>
      </c>
      <c r="G323" s="6" t="str">
        <f t="shared" si="46"/>
        <v/>
      </c>
      <c r="H323" s="6" t="str">
        <f t="shared" si="47"/>
        <v/>
      </c>
      <c r="I323" s="6" t="str">
        <f t="shared" si="48"/>
        <v/>
      </c>
      <c r="J323" s="6" t="str">
        <f t="shared" si="49"/>
        <v/>
      </c>
    </row>
    <row r="324" spans="1:10" x14ac:dyDescent="0.25">
      <c r="A324" t="str">
        <f t="shared" si="40"/>
        <v/>
      </c>
      <c r="B324" s="2" t="str">
        <f t="shared" si="41"/>
        <v/>
      </c>
      <c r="C324" t="str">
        <f t="shared" si="42"/>
        <v/>
      </c>
      <c r="D324" s="6" t="str">
        <f t="shared" si="43"/>
        <v/>
      </c>
      <c r="E324" s="6" t="str">
        <f t="shared" si="44"/>
        <v/>
      </c>
      <c r="F324" s="6" t="str">
        <f t="shared" si="45"/>
        <v/>
      </c>
      <c r="G324" s="6" t="str">
        <f t="shared" si="46"/>
        <v/>
      </c>
      <c r="H324" s="6" t="str">
        <f t="shared" si="47"/>
        <v/>
      </c>
      <c r="I324" s="6" t="str">
        <f t="shared" si="48"/>
        <v/>
      </c>
      <c r="J324" s="6" t="str">
        <f t="shared" si="49"/>
        <v/>
      </c>
    </row>
    <row r="325" spans="1:10" x14ac:dyDescent="0.25">
      <c r="A325" t="str">
        <f t="shared" si="40"/>
        <v/>
      </c>
      <c r="B325" s="2" t="str">
        <f t="shared" si="41"/>
        <v/>
      </c>
      <c r="C325" t="str">
        <f t="shared" si="42"/>
        <v/>
      </c>
      <c r="D325" s="6" t="str">
        <f t="shared" si="43"/>
        <v/>
      </c>
      <c r="E325" s="6" t="str">
        <f t="shared" si="44"/>
        <v/>
      </c>
      <c r="F325" s="6" t="str">
        <f t="shared" si="45"/>
        <v/>
      </c>
      <c r="G325" s="6" t="str">
        <f t="shared" si="46"/>
        <v/>
      </c>
      <c r="H325" s="6" t="str">
        <f t="shared" si="47"/>
        <v/>
      </c>
      <c r="I325" s="6" t="str">
        <f t="shared" si="48"/>
        <v/>
      </c>
      <c r="J325" s="6" t="str">
        <f t="shared" si="49"/>
        <v/>
      </c>
    </row>
    <row r="326" spans="1:10" x14ac:dyDescent="0.25">
      <c r="A326" t="str">
        <f t="shared" si="40"/>
        <v/>
      </c>
      <c r="B326" s="2" t="str">
        <f t="shared" si="41"/>
        <v/>
      </c>
      <c r="C326" t="str">
        <f t="shared" si="42"/>
        <v/>
      </c>
      <c r="D326" s="6" t="str">
        <f t="shared" si="43"/>
        <v/>
      </c>
      <c r="E326" s="6" t="str">
        <f t="shared" si="44"/>
        <v/>
      </c>
      <c r="F326" s="6" t="str">
        <f t="shared" si="45"/>
        <v/>
      </c>
      <c r="G326" s="6" t="str">
        <f t="shared" si="46"/>
        <v/>
      </c>
      <c r="H326" s="6" t="str">
        <f t="shared" si="47"/>
        <v/>
      </c>
      <c r="I326" s="6" t="str">
        <f t="shared" si="48"/>
        <v/>
      </c>
      <c r="J326" s="6" t="str">
        <f t="shared" si="49"/>
        <v/>
      </c>
    </row>
    <row r="327" spans="1:10" x14ac:dyDescent="0.25">
      <c r="A327" t="str">
        <f t="shared" ref="A327:A364" si="50">IF($B$2&gt;A326,A326+1,"")</f>
        <v/>
      </c>
      <c r="B327" s="2" t="str">
        <f t="shared" ref="B327:B364" si="51">IF(A327&lt;&gt;"",DATE(YEAR(B326),MONTH(B326)+1,DAY(B326)),"")</f>
        <v/>
      </c>
      <c r="C327" t="str">
        <f t="shared" ref="C327:C364" si="52">TEXT(B327,"mmmm")</f>
        <v/>
      </c>
      <c r="D327" s="6" t="str">
        <f t="shared" ref="D327:D364" si="53">IF(A327&lt;&gt;"",E327+F327,"")</f>
        <v/>
      </c>
      <c r="E327" s="6" t="str">
        <f t="shared" ref="E327:E364" si="54">IF(A327&lt;&gt;"",J326*$B$3/12,"")</f>
        <v/>
      </c>
      <c r="F327" s="6" t="str">
        <f t="shared" ref="F327:F364" si="55">IF(A327&lt;&gt;"",$B$1/ ($B$2),"")</f>
        <v/>
      </c>
      <c r="G327" s="6" t="str">
        <f t="shared" ref="G327:G364" si="56">IF(A327&lt;&gt;"",E327+G326,"")</f>
        <v/>
      </c>
      <c r="H327" s="6" t="str">
        <f t="shared" ref="H327:H364" si="57">IF(A327&lt;&gt;"",F327+H326,"")</f>
        <v/>
      </c>
      <c r="I327" s="6" t="str">
        <f t="shared" ref="I327:I364" si="58">IF(A327&lt;&gt;"",I326+D327,"")</f>
        <v/>
      </c>
      <c r="J327" s="6" t="str">
        <f t="shared" ref="J327:J364" si="59">IF(A327&lt;&gt;"",$B$1-H327,"")</f>
        <v/>
      </c>
    </row>
    <row r="328" spans="1:10" x14ac:dyDescent="0.25">
      <c r="A328" t="str">
        <f t="shared" si="50"/>
        <v/>
      </c>
      <c r="B328" s="2" t="str">
        <f t="shared" si="51"/>
        <v/>
      </c>
      <c r="C328" t="str">
        <f t="shared" si="52"/>
        <v/>
      </c>
      <c r="D328" s="6" t="str">
        <f t="shared" si="53"/>
        <v/>
      </c>
      <c r="E328" s="6" t="str">
        <f t="shared" si="54"/>
        <v/>
      </c>
      <c r="F328" s="6" t="str">
        <f t="shared" si="55"/>
        <v/>
      </c>
      <c r="G328" s="6" t="str">
        <f t="shared" si="56"/>
        <v/>
      </c>
      <c r="H328" s="6" t="str">
        <f t="shared" si="57"/>
        <v/>
      </c>
      <c r="I328" s="6" t="str">
        <f t="shared" si="58"/>
        <v/>
      </c>
      <c r="J328" s="6" t="str">
        <f t="shared" si="59"/>
        <v/>
      </c>
    </row>
    <row r="329" spans="1:10" x14ac:dyDescent="0.25">
      <c r="A329" t="str">
        <f t="shared" si="50"/>
        <v/>
      </c>
      <c r="B329" s="2" t="str">
        <f t="shared" si="51"/>
        <v/>
      </c>
      <c r="C329" t="str">
        <f t="shared" si="52"/>
        <v/>
      </c>
      <c r="D329" s="6" t="str">
        <f t="shared" si="53"/>
        <v/>
      </c>
      <c r="E329" s="6" t="str">
        <f t="shared" si="54"/>
        <v/>
      </c>
      <c r="F329" s="6" t="str">
        <f t="shared" si="55"/>
        <v/>
      </c>
      <c r="G329" s="6" t="str">
        <f t="shared" si="56"/>
        <v/>
      </c>
      <c r="H329" s="6" t="str">
        <f t="shared" si="57"/>
        <v/>
      </c>
      <c r="I329" s="6" t="str">
        <f t="shared" si="58"/>
        <v/>
      </c>
      <c r="J329" s="6" t="str">
        <f t="shared" si="59"/>
        <v/>
      </c>
    </row>
    <row r="330" spans="1:10" x14ac:dyDescent="0.25">
      <c r="A330" t="str">
        <f t="shared" si="50"/>
        <v/>
      </c>
      <c r="B330" s="2" t="str">
        <f t="shared" si="51"/>
        <v/>
      </c>
      <c r="C330" t="str">
        <f t="shared" si="52"/>
        <v/>
      </c>
      <c r="D330" s="6" t="str">
        <f t="shared" si="53"/>
        <v/>
      </c>
      <c r="E330" s="6" t="str">
        <f t="shared" si="54"/>
        <v/>
      </c>
      <c r="F330" s="6" t="str">
        <f t="shared" si="55"/>
        <v/>
      </c>
      <c r="G330" s="6" t="str">
        <f t="shared" si="56"/>
        <v/>
      </c>
      <c r="H330" s="6" t="str">
        <f t="shared" si="57"/>
        <v/>
      </c>
      <c r="I330" s="6" t="str">
        <f t="shared" si="58"/>
        <v/>
      </c>
      <c r="J330" s="6" t="str">
        <f t="shared" si="59"/>
        <v/>
      </c>
    </row>
    <row r="331" spans="1:10" x14ac:dyDescent="0.25">
      <c r="A331" t="str">
        <f t="shared" si="50"/>
        <v/>
      </c>
      <c r="B331" s="2" t="str">
        <f t="shared" si="51"/>
        <v/>
      </c>
      <c r="C331" t="str">
        <f t="shared" si="52"/>
        <v/>
      </c>
      <c r="D331" s="6" t="str">
        <f t="shared" si="53"/>
        <v/>
      </c>
      <c r="E331" s="6" t="str">
        <f t="shared" si="54"/>
        <v/>
      </c>
      <c r="F331" s="6" t="str">
        <f t="shared" si="55"/>
        <v/>
      </c>
      <c r="G331" s="6" t="str">
        <f t="shared" si="56"/>
        <v/>
      </c>
      <c r="H331" s="6" t="str">
        <f t="shared" si="57"/>
        <v/>
      </c>
      <c r="I331" s="6" t="str">
        <f t="shared" si="58"/>
        <v/>
      </c>
      <c r="J331" s="6" t="str">
        <f t="shared" si="59"/>
        <v/>
      </c>
    </row>
    <row r="332" spans="1:10" x14ac:dyDescent="0.25">
      <c r="A332" t="str">
        <f t="shared" si="50"/>
        <v/>
      </c>
      <c r="B332" s="2" t="str">
        <f t="shared" si="51"/>
        <v/>
      </c>
      <c r="C332" t="str">
        <f t="shared" si="52"/>
        <v/>
      </c>
      <c r="D332" s="6" t="str">
        <f t="shared" si="53"/>
        <v/>
      </c>
      <c r="E332" s="6" t="str">
        <f t="shared" si="54"/>
        <v/>
      </c>
      <c r="F332" s="6" t="str">
        <f t="shared" si="55"/>
        <v/>
      </c>
      <c r="G332" s="6" t="str">
        <f t="shared" si="56"/>
        <v/>
      </c>
      <c r="H332" s="6" t="str">
        <f t="shared" si="57"/>
        <v/>
      </c>
      <c r="I332" s="6" t="str">
        <f t="shared" si="58"/>
        <v/>
      </c>
      <c r="J332" s="6" t="str">
        <f t="shared" si="59"/>
        <v/>
      </c>
    </row>
    <row r="333" spans="1:10" x14ac:dyDescent="0.25">
      <c r="A333" t="str">
        <f t="shared" si="50"/>
        <v/>
      </c>
      <c r="B333" s="2" t="str">
        <f t="shared" si="51"/>
        <v/>
      </c>
      <c r="C333" t="str">
        <f t="shared" si="52"/>
        <v/>
      </c>
      <c r="D333" s="6" t="str">
        <f t="shared" si="53"/>
        <v/>
      </c>
      <c r="E333" s="6" t="str">
        <f t="shared" si="54"/>
        <v/>
      </c>
      <c r="F333" s="6" t="str">
        <f t="shared" si="55"/>
        <v/>
      </c>
      <c r="G333" s="6" t="str">
        <f t="shared" si="56"/>
        <v/>
      </c>
      <c r="H333" s="6" t="str">
        <f t="shared" si="57"/>
        <v/>
      </c>
      <c r="I333" s="6" t="str">
        <f t="shared" si="58"/>
        <v/>
      </c>
      <c r="J333" s="6" t="str">
        <f t="shared" si="59"/>
        <v/>
      </c>
    </row>
    <row r="334" spans="1:10" x14ac:dyDescent="0.25">
      <c r="A334" t="str">
        <f t="shared" si="50"/>
        <v/>
      </c>
      <c r="B334" s="2" t="str">
        <f t="shared" si="51"/>
        <v/>
      </c>
      <c r="C334" t="str">
        <f t="shared" si="52"/>
        <v/>
      </c>
      <c r="D334" s="6" t="str">
        <f t="shared" si="53"/>
        <v/>
      </c>
      <c r="E334" s="6" t="str">
        <f t="shared" si="54"/>
        <v/>
      </c>
      <c r="F334" s="6" t="str">
        <f t="shared" si="55"/>
        <v/>
      </c>
      <c r="G334" s="6" t="str">
        <f t="shared" si="56"/>
        <v/>
      </c>
      <c r="H334" s="6" t="str">
        <f t="shared" si="57"/>
        <v/>
      </c>
      <c r="I334" s="6" t="str">
        <f t="shared" si="58"/>
        <v/>
      </c>
      <c r="J334" s="6" t="str">
        <f t="shared" si="59"/>
        <v/>
      </c>
    </row>
    <row r="335" spans="1:10" x14ac:dyDescent="0.25">
      <c r="A335" t="str">
        <f t="shared" si="50"/>
        <v/>
      </c>
      <c r="B335" s="2" t="str">
        <f t="shared" si="51"/>
        <v/>
      </c>
      <c r="C335" t="str">
        <f t="shared" si="52"/>
        <v/>
      </c>
      <c r="D335" s="6" t="str">
        <f t="shared" si="53"/>
        <v/>
      </c>
      <c r="E335" s="6" t="str">
        <f t="shared" si="54"/>
        <v/>
      </c>
      <c r="F335" s="6" t="str">
        <f t="shared" si="55"/>
        <v/>
      </c>
      <c r="G335" s="6" t="str">
        <f t="shared" si="56"/>
        <v/>
      </c>
      <c r="H335" s="6" t="str">
        <f t="shared" si="57"/>
        <v/>
      </c>
      <c r="I335" s="6" t="str">
        <f t="shared" si="58"/>
        <v/>
      </c>
      <c r="J335" s="6" t="str">
        <f t="shared" si="59"/>
        <v/>
      </c>
    </row>
    <row r="336" spans="1:10" x14ac:dyDescent="0.25">
      <c r="A336" t="str">
        <f t="shared" si="50"/>
        <v/>
      </c>
      <c r="B336" s="2" t="str">
        <f t="shared" si="51"/>
        <v/>
      </c>
      <c r="C336" t="str">
        <f t="shared" si="52"/>
        <v/>
      </c>
      <c r="D336" s="6" t="str">
        <f t="shared" si="53"/>
        <v/>
      </c>
      <c r="E336" s="6" t="str">
        <f t="shared" si="54"/>
        <v/>
      </c>
      <c r="F336" s="6" t="str">
        <f t="shared" si="55"/>
        <v/>
      </c>
      <c r="G336" s="6" t="str">
        <f t="shared" si="56"/>
        <v/>
      </c>
      <c r="H336" s="6" t="str">
        <f t="shared" si="57"/>
        <v/>
      </c>
      <c r="I336" s="6" t="str">
        <f t="shared" si="58"/>
        <v/>
      </c>
      <c r="J336" s="6" t="str">
        <f t="shared" si="59"/>
        <v/>
      </c>
    </row>
    <row r="337" spans="1:10" x14ac:dyDescent="0.25">
      <c r="A337" t="str">
        <f t="shared" si="50"/>
        <v/>
      </c>
      <c r="B337" s="2" t="str">
        <f t="shared" si="51"/>
        <v/>
      </c>
      <c r="C337" t="str">
        <f t="shared" si="52"/>
        <v/>
      </c>
      <c r="D337" s="6" t="str">
        <f t="shared" si="53"/>
        <v/>
      </c>
      <c r="E337" s="6" t="str">
        <f t="shared" si="54"/>
        <v/>
      </c>
      <c r="F337" s="6" t="str">
        <f t="shared" si="55"/>
        <v/>
      </c>
      <c r="G337" s="6" t="str">
        <f t="shared" si="56"/>
        <v/>
      </c>
      <c r="H337" s="6" t="str">
        <f t="shared" si="57"/>
        <v/>
      </c>
      <c r="I337" s="6" t="str">
        <f t="shared" si="58"/>
        <v/>
      </c>
      <c r="J337" s="6" t="str">
        <f t="shared" si="59"/>
        <v/>
      </c>
    </row>
    <row r="338" spans="1:10" x14ac:dyDescent="0.25">
      <c r="A338" t="str">
        <f t="shared" si="50"/>
        <v/>
      </c>
      <c r="B338" s="2" t="str">
        <f t="shared" si="51"/>
        <v/>
      </c>
      <c r="C338" t="str">
        <f t="shared" si="52"/>
        <v/>
      </c>
      <c r="D338" s="6" t="str">
        <f t="shared" si="53"/>
        <v/>
      </c>
      <c r="E338" s="6" t="str">
        <f t="shared" si="54"/>
        <v/>
      </c>
      <c r="F338" s="6" t="str">
        <f t="shared" si="55"/>
        <v/>
      </c>
      <c r="G338" s="6" t="str">
        <f t="shared" si="56"/>
        <v/>
      </c>
      <c r="H338" s="6" t="str">
        <f t="shared" si="57"/>
        <v/>
      </c>
      <c r="I338" s="6" t="str">
        <f t="shared" si="58"/>
        <v/>
      </c>
      <c r="J338" s="6" t="str">
        <f t="shared" si="59"/>
        <v/>
      </c>
    </row>
    <row r="339" spans="1:10" x14ac:dyDescent="0.25">
      <c r="A339" t="str">
        <f t="shared" si="50"/>
        <v/>
      </c>
      <c r="B339" s="2" t="str">
        <f t="shared" si="51"/>
        <v/>
      </c>
      <c r="C339" t="str">
        <f t="shared" si="52"/>
        <v/>
      </c>
      <c r="D339" s="6" t="str">
        <f t="shared" si="53"/>
        <v/>
      </c>
      <c r="E339" s="6" t="str">
        <f t="shared" si="54"/>
        <v/>
      </c>
      <c r="F339" s="6" t="str">
        <f t="shared" si="55"/>
        <v/>
      </c>
      <c r="G339" s="6" t="str">
        <f t="shared" si="56"/>
        <v/>
      </c>
      <c r="H339" s="6" t="str">
        <f t="shared" si="57"/>
        <v/>
      </c>
      <c r="I339" s="6" t="str">
        <f t="shared" si="58"/>
        <v/>
      </c>
      <c r="J339" s="6" t="str">
        <f t="shared" si="59"/>
        <v/>
      </c>
    </row>
    <row r="340" spans="1:10" x14ac:dyDescent="0.25">
      <c r="A340" t="str">
        <f t="shared" si="50"/>
        <v/>
      </c>
      <c r="B340" s="2" t="str">
        <f t="shared" si="51"/>
        <v/>
      </c>
      <c r="C340" t="str">
        <f t="shared" si="52"/>
        <v/>
      </c>
      <c r="D340" s="6" t="str">
        <f t="shared" si="53"/>
        <v/>
      </c>
      <c r="E340" s="6" t="str">
        <f t="shared" si="54"/>
        <v/>
      </c>
      <c r="F340" s="6" t="str">
        <f t="shared" si="55"/>
        <v/>
      </c>
      <c r="G340" s="6" t="str">
        <f t="shared" si="56"/>
        <v/>
      </c>
      <c r="H340" s="6" t="str">
        <f t="shared" si="57"/>
        <v/>
      </c>
      <c r="I340" s="6" t="str">
        <f t="shared" si="58"/>
        <v/>
      </c>
      <c r="J340" s="6" t="str">
        <f t="shared" si="59"/>
        <v/>
      </c>
    </row>
    <row r="341" spans="1:10" x14ac:dyDescent="0.25">
      <c r="A341" t="str">
        <f t="shared" si="50"/>
        <v/>
      </c>
      <c r="B341" s="2" t="str">
        <f t="shared" si="51"/>
        <v/>
      </c>
      <c r="C341" t="str">
        <f t="shared" si="52"/>
        <v/>
      </c>
      <c r="D341" s="6" t="str">
        <f t="shared" si="53"/>
        <v/>
      </c>
      <c r="E341" s="6" t="str">
        <f t="shared" si="54"/>
        <v/>
      </c>
      <c r="F341" s="6" t="str">
        <f t="shared" si="55"/>
        <v/>
      </c>
      <c r="G341" s="6" t="str">
        <f t="shared" si="56"/>
        <v/>
      </c>
      <c r="H341" s="6" t="str">
        <f t="shared" si="57"/>
        <v/>
      </c>
      <c r="I341" s="6" t="str">
        <f t="shared" si="58"/>
        <v/>
      </c>
      <c r="J341" s="6" t="str">
        <f t="shared" si="59"/>
        <v/>
      </c>
    </row>
    <row r="342" spans="1:10" x14ac:dyDescent="0.25">
      <c r="A342" t="str">
        <f t="shared" si="50"/>
        <v/>
      </c>
      <c r="B342" s="2" t="str">
        <f t="shared" si="51"/>
        <v/>
      </c>
      <c r="C342" t="str">
        <f t="shared" si="52"/>
        <v/>
      </c>
      <c r="D342" s="6" t="str">
        <f t="shared" si="53"/>
        <v/>
      </c>
      <c r="E342" s="6" t="str">
        <f t="shared" si="54"/>
        <v/>
      </c>
      <c r="F342" s="6" t="str">
        <f t="shared" si="55"/>
        <v/>
      </c>
      <c r="G342" s="6" t="str">
        <f t="shared" si="56"/>
        <v/>
      </c>
      <c r="H342" s="6" t="str">
        <f t="shared" si="57"/>
        <v/>
      </c>
      <c r="I342" s="6" t="str">
        <f t="shared" si="58"/>
        <v/>
      </c>
      <c r="J342" s="6" t="str">
        <f t="shared" si="59"/>
        <v/>
      </c>
    </row>
    <row r="343" spans="1:10" x14ac:dyDescent="0.25">
      <c r="A343" t="str">
        <f t="shared" si="50"/>
        <v/>
      </c>
      <c r="B343" s="2" t="str">
        <f t="shared" si="51"/>
        <v/>
      </c>
      <c r="C343" t="str">
        <f t="shared" si="52"/>
        <v/>
      </c>
      <c r="D343" s="6" t="str">
        <f t="shared" si="53"/>
        <v/>
      </c>
      <c r="E343" s="6" t="str">
        <f t="shared" si="54"/>
        <v/>
      </c>
      <c r="F343" s="6" t="str">
        <f t="shared" si="55"/>
        <v/>
      </c>
      <c r="G343" s="6" t="str">
        <f t="shared" si="56"/>
        <v/>
      </c>
      <c r="H343" s="6" t="str">
        <f t="shared" si="57"/>
        <v/>
      </c>
      <c r="I343" s="6" t="str">
        <f t="shared" si="58"/>
        <v/>
      </c>
      <c r="J343" s="6" t="str">
        <f t="shared" si="59"/>
        <v/>
      </c>
    </row>
    <row r="344" spans="1:10" x14ac:dyDescent="0.25">
      <c r="A344" t="str">
        <f t="shared" si="50"/>
        <v/>
      </c>
      <c r="B344" s="2" t="str">
        <f t="shared" si="51"/>
        <v/>
      </c>
      <c r="C344" t="str">
        <f t="shared" si="52"/>
        <v/>
      </c>
      <c r="D344" s="6" t="str">
        <f t="shared" si="53"/>
        <v/>
      </c>
      <c r="E344" s="6" t="str">
        <f t="shared" si="54"/>
        <v/>
      </c>
      <c r="F344" s="6" t="str">
        <f t="shared" si="55"/>
        <v/>
      </c>
      <c r="G344" s="6" t="str">
        <f t="shared" si="56"/>
        <v/>
      </c>
      <c r="H344" s="6" t="str">
        <f t="shared" si="57"/>
        <v/>
      </c>
      <c r="I344" s="6" t="str">
        <f t="shared" si="58"/>
        <v/>
      </c>
      <c r="J344" s="6" t="str">
        <f t="shared" si="59"/>
        <v/>
      </c>
    </row>
    <row r="345" spans="1:10" x14ac:dyDescent="0.25">
      <c r="A345" t="str">
        <f t="shared" si="50"/>
        <v/>
      </c>
      <c r="B345" s="2" t="str">
        <f t="shared" si="51"/>
        <v/>
      </c>
      <c r="C345" t="str">
        <f t="shared" si="52"/>
        <v/>
      </c>
      <c r="D345" s="6" t="str">
        <f t="shared" si="53"/>
        <v/>
      </c>
      <c r="E345" s="6" t="str">
        <f t="shared" si="54"/>
        <v/>
      </c>
      <c r="F345" s="6" t="str">
        <f t="shared" si="55"/>
        <v/>
      </c>
      <c r="G345" s="6" t="str">
        <f t="shared" si="56"/>
        <v/>
      </c>
      <c r="H345" s="6" t="str">
        <f t="shared" si="57"/>
        <v/>
      </c>
      <c r="I345" s="6" t="str">
        <f t="shared" si="58"/>
        <v/>
      </c>
      <c r="J345" s="6" t="str">
        <f t="shared" si="59"/>
        <v/>
      </c>
    </row>
    <row r="346" spans="1:10" x14ac:dyDescent="0.25">
      <c r="A346" t="str">
        <f t="shared" si="50"/>
        <v/>
      </c>
      <c r="B346" s="2" t="str">
        <f t="shared" si="51"/>
        <v/>
      </c>
      <c r="C346" t="str">
        <f t="shared" si="52"/>
        <v/>
      </c>
      <c r="D346" s="6" t="str">
        <f t="shared" si="53"/>
        <v/>
      </c>
      <c r="E346" s="6" t="str">
        <f t="shared" si="54"/>
        <v/>
      </c>
      <c r="F346" s="6" t="str">
        <f t="shared" si="55"/>
        <v/>
      </c>
      <c r="G346" s="6" t="str">
        <f t="shared" si="56"/>
        <v/>
      </c>
      <c r="H346" s="6" t="str">
        <f t="shared" si="57"/>
        <v/>
      </c>
      <c r="I346" s="6" t="str">
        <f t="shared" si="58"/>
        <v/>
      </c>
      <c r="J346" s="6" t="str">
        <f t="shared" si="59"/>
        <v/>
      </c>
    </row>
    <row r="347" spans="1:10" x14ac:dyDescent="0.25">
      <c r="A347" t="str">
        <f t="shared" si="50"/>
        <v/>
      </c>
      <c r="B347" s="2" t="str">
        <f t="shared" si="51"/>
        <v/>
      </c>
      <c r="C347" t="str">
        <f t="shared" si="52"/>
        <v/>
      </c>
      <c r="D347" s="6" t="str">
        <f t="shared" si="53"/>
        <v/>
      </c>
      <c r="E347" s="6" t="str">
        <f t="shared" si="54"/>
        <v/>
      </c>
      <c r="F347" s="6" t="str">
        <f t="shared" si="55"/>
        <v/>
      </c>
      <c r="G347" s="6" t="str">
        <f t="shared" si="56"/>
        <v/>
      </c>
      <c r="H347" s="6" t="str">
        <f t="shared" si="57"/>
        <v/>
      </c>
      <c r="I347" s="6" t="str">
        <f t="shared" si="58"/>
        <v/>
      </c>
      <c r="J347" s="6" t="str">
        <f t="shared" si="59"/>
        <v/>
      </c>
    </row>
    <row r="348" spans="1:10" x14ac:dyDescent="0.25">
      <c r="A348" t="str">
        <f t="shared" si="50"/>
        <v/>
      </c>
      <c r="B348" s="2" t="str">
        <f t="shared" si="51"/>
        <v/>
      </c>
      <c r="C348" t="str">
        <f t="shared" si="52"/>
        <v/>
      </c>
      <c r="D348" s="6" t="str">
        <f t="shared" si="53"/>
        <v/>
      </c>
      <c r="E348" s="6" t="str">
        <f t="shared" si="54"/>
        <v/>
      </c>
      <c r="F348" s="6" t="str">
        <f t="shared" si="55"/>
        <v/>
      </c>
      <c r="G348" s="6" t="str">
        <f t="shared" si="56"/>
        <v/>
      </c>
      <c r="H348" s="6" t="str">
        <f t="shared" si="57"/>
        <v/>
      </c>
      <c r="I348" s="6" t="str">
        <f t="shared" si="58"/>
        <v/>
      </c>
      <c r="J348" s="6" t="str">
        <f t="shared" si="59"/>
        <v/>
      </c>
    </row>
    <row r="349" spans="1:10" x14ac:dyDescent="0.25">
      <c r="A349" t="str">
        <f t="shared" si="50"/>
        <v/>
      </c>
      <c r="B349" s="2" t="str">
        <f t="shared" si="51"/>
        <v/>
      </c>
      <c r="C349" t="str">
        <f t="shared" si="52"/>
        <v/>
      </c>
      <c r="D349" s="6" t="str">
        <f t="shared" si="53"/>
        <v/>
      </c>
      <c r="E349" s="6" t="str">
        <f t="shared" si="54"/>
        <v/>
      </c>
      <c r="F349" s="6" t="str">
        <f t="shared" si="55"/>
        <v/>
      </c>
      <c r="G349" s="6" t="str">
        <f t="shared" si="56"/>
        <v/>
      </c>
      <c r="H349" s="6" t="str">
        <f t="shared" si="57"/>
        <v/>
      </c>
      <c r="I349" s="6" t="str">
        <f t="shared" si="58"/>
        <v/>
      </c>
      <c r="J349" s="6" t="str">
        <f t="shared" si="59"/>
        <v/>
      </c>
    </row>
    <row r="350" spans="1:10" x14ac:dyDescent="0.25">
      <c r="A350" t="str">
        <f t="shared" si="50"/>
        <v/>
      </c>
      <c r="B350" s="2" t="str">
        <f t="shared" si="51"/>
        <v/>
      </c>
      <c r="C350" t="str">
        <f t="shared" si="52"/>
        <v/>
      </c>
      <c r="D350" s="6" t="str">
        <f t="shared" si="53"/>
        <v/>
      </c>
      <c r="E350" s="6" t="str">
        <f t="shared" si="54"/>
        <v/>
      </c>
      <c r="F350" s="6" t="str">
        <f t="shared" si="55"/>
        <v/>
      </c>
      <c r="G350" s="6" t="str">
        <f t="shared" si="56"/>
        <v/>
      </c>
      <c r="H350" s="6" t="str">
        <f t="shared" si="57"/>
        <v/>
      </c>
      <c r="I350" s="6" t="str">
        <f t="shared" si="58"/>
        <v/>
      </c>
      <c r="J350" s="6" t="str">
        <f t="shared" si="59"/>
        <v/>
      </c>
    </row>
    <row r="351" spans="1:10" x14ac:dyDescent="0.25">
      <c r="A351" t="str">
        <f t="shared" si="50"/>
        <v/>
      </c>
      <c r="B351" s="2" t="str">
        <f t="shared" si="51"/>
        <v/>
      </c>
      <c r="C351" t="str">
        <f t="shared" si="52"/>
        <v/>
      </c>
      <c r="D351" s="6" t="str">
        <f t="shared" si="53"/>
        <v/>
      </c>
      <c r="E351" s="6" t="str">
        <f t="shared" si="54"/>
        <v/>
      </c>
      <c r="F351" s="6" t="str">
        <f t="shared" si="55"/>
        <v/>
      </c>
      <c r="G351" s="6" t="str">
        <f t="shared" si="56"/>
        <v/>
      </c>
      <c r="H351" s="6" t="str">
        <f t="shared" si="57"/>
        <v/>
      </c>
      <c r="I351" s="6" t="str">
        <f t="shared" si="58"/>
        <v/>
      </c>
      <c r="J351" s="6" t="str">
        <f t="shared" si="59"/>
        <v/>
      </c>
    </row>
    <row r="352" spans="1:10" x14ac:dyDescent="0.25">
      <c r="A352" t="str">
        <f t="shared" si="50"/>
        <v/>
      </c>
      <c r="B352" s="2" t="str">
        <f t="shared" si="51"/>
        <v/>
      </c>
      <c r="C352" t="str">
        <f t="shared" si="52"/>
        <v/>
      </c>
      <c r="D352" s="6" t="str">
        <f t="shared" si="53"/>
        <v/>
      </c>
      <c r="E352" s="6" t="str">
        <f t="shared" si="54"/>
        <v/>
      </c>
      <c r="F352" s="6" t="str">
        <f t="shared" si="55"/>
        <v/>
      </c>
      <c r="G352" s="6" t="str">
        <f t="shared" si="56"/>
        <v/>
      </c>
      <c r="H352" s="6" t="str">
        <f t="shared" si="57"/>
        <v/>
      </c>
      <c r="I352" s="6" t="str">
        <f t="shared" si="58"/>
        <v/>
      </c>
      <c r="J352" s="6" t="str">
        <f t="shared" si="59"/>
        <v/>
      </c>
    </row>
    <row r="353" spans="1:10" x14ac:dyDescent="0.25">
      <c r="A353" t="str">
        <f t="shared" si="50"/>
        <v/>
      </c>
      <c r="B353" s="2" t="str">
        <f t="shared" si="51"/>
        <v/>
      </c>
      <c r="C353" t="str">
        <f t="shared" si="52"/>
        <v/>
      </c>
      <c r="D353" s="6" t="str">
        <f t="shared" si="53"/>
        <v/>
      </c>
      <c r="E353" s="6" t="str">
        <f t="shared" si="54"/>
        <v/>
      </c>
      <c r="F353" s="6" t="str">
        <f t="shared" si="55"/>
        <v/>
      </c>
      <c r="G353" s="6" t="str">
        <f t="shared" si="56"/>
        <v/>
      </c>
      <c r="H353" s="6" t="str">
        <f t="shared" si="57"/>
        <v/>
      </c>
      <c r="I353" s="6" t="str">
        <f t="shared" si="58"/>
        <v/>
      </c>
      <c r="J353" s="6" t="str">
        <f t="shared" si="59"/>
        <v/>
      </c>
    </row>
    <row r="354" spans="1:10" x14ac:dyDescent="0.25">
      <c r="A354" t="str">
        <f t="shared" si="50"/>
        <v/>
      </c>
      <c r="B354" s="2" t="str">
        <f t="shared" si="51"/>
        <v/>
      </c>
      <c r="C354" t="str">
        <f t="shared" si="52"/>
        <v/>
      </c>
      <c r="D354" s="6" t="str">
        <f t="shared" si="53"/>
        <v/>
      </c>
      <c r="E354" s="6" t="str">
        <f t="shared" si="54"/>
        <v/>
      </c>
      <c r="F354" s="6" t="str">
        <f t="shared" si="55"/>
        <v/>
      </c>
      <c r="G354" s="6" t="str">
        <f t="shared" si="56"/>
        <v/>
      </c>
      <c r="H354" s="6" t="str">
        <f t="shared" si="57"/>
        <v/>
      </c>
      <c r="I354" s="6" t="str">
        <f t="shared" si="58"/>
        <v/>
      </c>
      <c r="J354" s="6" t="str">
        <f t="shared" si="59"/>
        <v/>
      </c>
    </row>
    <row r="355" spans="1:10" x14ac:dyDescent="0.25">
      <c r="A355" t="str">
        <f t="shared" si="50"/>
        <v/>
      </c>
      <c r="B355" s="2" t="str">
        <f t="shared" si="51"/>
        <v/>
      </c>
      <c r="C355" t="str">
        <f t="shared" si="52"/>
        <v/>
      </c>
      <c r="D355" s="6" t="str">
        <f t="shared" si="53"/>
        <v/>
      </c>
      <c r="E355" s="6" t="str">
        <f t="shared" si="54"/>
        <v/>
      </c>
      <c r="F355" s="6" t="str">
        <f t="shared" si="55"/>
        <v/>
      </c>
      <c r="G355" s="6" t="str">
        <f t="shared" si="56"/>
        <v/>
      </c>
      <c r="H355" s="6" t="str">
        <f t="shared" si="57"/>
        <v/>
      </c>
      <c r="I355" s="6" t="str">
        <f t="shared" si="58"/>
        <v/>
      </c>
      <c r="J355" s="6" t="str">
        <f t="shared" si="59"/>
        <v/>
      </c>
    </row>
    <row r="356" spans="1:10" x14ac:dyDescent="0.25">
      <c r="A356" t="str">
        <f t="shared" si="50"/>
        <v/>
      </c>
      <c r="B356" s="2" t="str">
        <f t="shared" si="51"/>
        <v/>
      </c>
      <c r="C356" t="str">
        <f t="shared" si="52"/>
        <v/>
      </c>
      <c r="D356" s="6" t="str">
        <f t="shared" si="53"/>
        <v/>
      </c>
      <c r="E356" s="6" t="str">
        <f t="shared" si="54"/>
        <v/>
      </c>
      <c r="F356" s="6" t="str">
        <f t="shared" si="55"/>
        <v/>
      </c>
      <c r="G356" s="6" t="str">
        <f t="shared" si="56"/>
        <v/>
      </c>
      <c r="H356" s="6" t="str">
        <f t="shared" si="57"/>
        <v/>
      </c>
      <c r="I356" s="6" t="str">
        <f t="shared" si="58"/>
        <v/>
      </c>
      <c r="J356" s="6" t="str">
        <f t="shared" si="59"/>
        <v/>
      </c>
    </row>
    <row r="357" spans="1:10" x14ac:dyDescent="0.25">
      <c r="A357" t="str">
        <f t="shared" si="50"/>
        <v/>
      </c>
      <c r="B357" s="2" t="str">
        <f t="shared" si="51"/>
        <v/>
      </c>
      <c r="C357" t="str">
        <f t="shared" si="52"/>
        <v/>
      </c>
      <c r="D357" s="6" t="str">
        <f t="shared" si="53"/>
        <v/>
      </c>
      <c r="E357" s="6" t="str">
        <f t="shared" si="54"/>
        <v/>
      </c>
      <c r="F357" s="6" t="str">
        <f t="shared" si="55"/>
        <v/>
      </c>
      <c r="G357" s="6" t="str">
        <f t="shared" si="56"/>
        <v/>
      </c>
      <c r="H357" s="6" t="str">
        <f t="shared" si="57"/>
        <v/>
      </c>
      <c r="I357" s="6" t="str">
        <f t="shared" si="58"/>
        <v/>
      </c>
      <c r="J357" s="6" t="str">
        <f t="shared" si="59"/>
        <v/>
      </c>
    </row>
    <row r="358" spans="1:10" x14ac:dyDescent="0.25">
      <c r="A358" t="str">
        <f t="shared" si="50"/>
        <v/>
      </c>
      <c r="B358" s="2" t="str">
        <f t="shared" si="51"/>
        <v/>
      </c>
      <c r="C358" t="str">
        <f t="shared" si="52"/>
        <v/>
      </c>
      <c r="D358" s="6" t="str">
        <f t="shared" si="53"/>
        <v/>
      </c>
      <c r="E358" s="6" t="str">
        <f t="shared" si="54"/>
        <v/>
      </c>
      <c r="F358" s="6" t="str">
        <f t="shared" si="55"/>
        <v/>
      </c>
      <c r="G358" s="6" t="str">
        <f t="shared" si="56"/>
        <v/>
      </c>
      <c r="H358" s="6" t="str">
        <f t="shared" si="57"/>
        <v/>
      </c>
      <c r="I358" s="6" t="str">
        <f t="shared" si="58"/>
        <v/>
      </c>
      <c r="J358" s="6" t="str">
        <f t="shared" si="59"/>
        <v/>
      </c>
    </row>
    <row r="359" spans="1:10" x14ac:dyDescent="0.25">
      <c r="A359" t="str">
        <f t="shared" si="50"/>
        <v/>
      </c>
      <c r="B359" s="2" t="str">
        <f t="shared" si="51"/>
        <v/>
      </c>
      <c r="C359" t="str">
        <f t="shared" si="52"/>
        <v/>
      </c>
      <c r="D359" s="6" t="str">
        <f t="shared" si="53"/>
        <v/>
      </c>
      <c r="E359" s="6" t="str">
        <f t="shared" si="54"/>
        <v/>
      </c>
      <c r="F359" s="6" t="str">
        <f t="shared" si="55"/>
        <v/>
      </c>
      <c r="G359" s="6" t="str">
        <f t="shared" si="56"/>
        <v/>
      </c>
      <c r="H359" s="6" t="str">
        <f t="shared" si="57"/>
        <v/>
      </c>
      <c r="I359" s="6" t="str">
        <f t="shared" si="58"/>
        <v/>
      </c>
      <c r="J359" s="6" t="str">
        <f t="shared" si="59"/>
        <v/>
      </c>
    </row>
    <row r="360" spans="1:10" x14ac:dyDescent="0.25">
      <c r="A360" t="str">
        <f t="shared" si="50"/>
        <v/>
      </c>
      <c r="B360" s="2" t="str">
        <f t="shared" si="51"/>
        <v/>
      </c>
      <c r="C360" t="str">
        <f t="shared" si="52"/>
        <v/>
      </c>
      <c r="D360" s="6" t="str">
        <f t="shared" si="53"/>
        <v/>
      </c>
      <c r="E360" s="6" t="str">
        <f t="shared" si="54"/>
        <v/>
      </c>
      <c r="F360" s="6" t="str">
        <f t="shared" si="55"/>
        <v/>
      </c>
      <c r="G360" s="6" t="str">
        <f t="shared" si="56"/>
        <v/>
      </c>
      <c r="H360" s="6" t="str">
        <f t="shared" si="57"/>
        <v/>
      </c>
      <c r="I360" s="6" t="str">
        <f t="shared" si="58"/>
        <v/>
      </c>
      <c r="J360" s="6" t="str">
        <f t="shared" si="59"/>
        <v/>
      </c>
    </row>
    <row r="361" spans="1:10" x14ac:dyDescent="0.25">
      <c r="A361" t="str">
        <f t="shared" si="50"/>
        <v/>
      </c>
      <c r="B361" s="2" t="str">
        <f t="shared" si="51"/>
        <v/>
      </c>
      <c r="C361" t="str">
        <f t="shared" si="52"/>
        <v/>
      </c>
      <c r="D361" s="6" t="str">
        <f t="shared" si="53"/>
        <v/>
      </c>
      <c r="E361" s="6" t="str">
        <f t="shared" si="54"/>
        <v/>
      </c>
      <c r="F361" s="6" t="str">
        <f t="shared" si="55"/>
        <v/>
      </c>
      <c r="G361" s="6" t="str">
        <f t="shared" si="56"/>
        <v/>
      </c>
      <c r="H361" s="6" t="str">
        <f t="shared" si="57"/>
        <v/>
      </c>
      <c r="I361" s="6" t="str">
        <f t="shared" si="58"/>
        <v/>
      </c>
      <c r="J361" s="6" t="str">
        <f t="shared" si="59"/>
        <v/>
      </c>
    </row>
    <row r="362" spans="1:10" x14ac:dyDescent="0.25">
      <c r="A362" t="str">
        <f t="shared" si="50"/>
        <v/>
      </c>
      <c r="B362" s="2" t="str">
        <f t="shared" si="51"/>
        <v/>
      </c>
      <c r="C362" t="str">
        <f t="shared" si="52"/>
        <v/>
      </c>
      <c r="D362" s="6" t="str">
        <f t="shared" si="53"/>
        <v/>
      </c>
      <c r="E362" s="6" t="str">
        <f t="shared" si="54"/>
        <v/>
      </c>
      <c r="F362" s="6" t="str">
        <f t="shared" si="55"/>
        <v/>
      </c>
      <c r="G362" s="6" t="str">
        <f t="shared" si="56"/>
        <v/>
      </c>
      <c r="H362" s="6" t="str">
        <f t="shared" si="57"/>
        <v/>
      </c>
      <c r="I362" s="6" t="str">
        <f t="shared" si="58"/>
        <v/>
      </c>
      <c r="J362" s="6" t="str">
        <f t="shared" si="59"/>
        <v/>
      </c>
    </row>
    <row r="363" spans="1:10" x14ac:dyDescent="0.25">
      <c r="A363" t="str">
        <f t="shared" si="50"/>
        <v/>
      </c>
      <c r="B363" s="2" t="str">
        <f t="shared" si="51"/>
        <v/>
      </c>
      <c r="C363" t="str">
        <f t="shared" si="52"/>
        <v/>
      </c>
      <c r="D363" s="6" t="str">
        <f t="shared" si="53"/>
        <v/>
      </c>
      <c r="E363" s="6" t="str">
        <f t="shared" si="54"/>
        <v/>
      </c>
      <c r="F363" s="6" t="str">
        <f t="shared" si="55"/>
        <v/>
      </c>
      <c r="G363" s="6" t="str">
        <f t="shared" si="56"/>
        <v/>
      </c>
      <c r="H363" s="6" t="str">
        <f t="shared" si="57"/>
        <v/>
      </c>
      <c r="I363" s="6" t="str">
        <f t="shared" si="58"/>
        <v/>
      </c>
      <c r="J363" s="6" t="str">
        <f t="shared" si="59"/>
        <v/>
      </c>
    </row>
    <row r="364" spans="1:10" x14ac:dyDescent="0.25">
      <c r="A364" t="str">
        <f t="shared" si="50"/>
        <v/>
      </c>
      <c r="B364" s="2" t="str">
        <f t="shared" si="51"/>
        <v/>
      </c>
      <c r="C364" t="str">
        <f t="shared" si="52"/>
        <v/>
      </c>
      <c r="D364" s="6" t="str">
        <f t="shared" si="53"/>
        <v/>
      </c>
      <c r="E364" s="6" t="str">
        <f t="shared" si="54"/>
        <v/>
      </c>
      <c r="F364" s="6" t="str">
        <f t="shared" si="55"/>
        <v/>
      </c>
      <c r="G364" s="6" t="str">
        <f t="shared" si="56"/>
        <v/>
      </c>
      <c r="H364" s="6" t="str">
        <f t="shared" si="57"/>
        <v/>
      </c>
      <c r="I364" s="6" t="str">
        <f t="shared" si="58"/>
        <v/>
      </c>
      <c r="J364" s="6" t="str">
        <f t="shared" si="59"/>
        <v/>
      </c>
    </row>
    <row r="365" spans="1:10" x14ac:dyDescent="0.25">
      <c r="A365" t="str">
        <f t="shared" ref="A365" si="60">IF($B$2&gt;A364,A364+1,"")</f>
        <v/>
      </c>
      <c r="B365" s="2" t="str">
        <f>IF(A365&lt;&gt;"",DATE(YEAR(B364),MONTH(B364)+1,DAY(B364)),"")</f>
        <v/>
      </c>
      <c r="C365" t="str">
        <f t="shared" ref="C365" si="61">TEXT(B365,"mmmm")</f>
        <v/>
      </c>
      <c r="D365" s="6" t="str">
        <f>IF(A365&lt;&gt;"",E365+F365,"")</f>
        <v/>
      </c>
      <c r="E365" s="6" t="str">
        <f>IF(A365&lt;&gt;"",J364*$B$3/12,"")</f>
        <v/>
      </c>
      <c r="F365" s="6" t="str">
        <f>IF(A365&lt;&gt;"",$B$1/ ($B$2),"")</f>
        <v/>
      </c>
      <c r="G365" s="6" t="str">
        <f>IF(A365&lt;&gt;"",E365+G364,"")</f>
        <v/>
      </c>
      <c r="H365" s="6" t="str">
        <f>IF(A365&lt;&gt;"",F365+H364,"")</f>
        <v/>
      </c>
      <c r="I365" s="6" t="str">
        <f>IF(A365&lt;&gt;"",I364+D365,"")</f>
        <v/>
      </c>
      <c r="J365" s="6" t="str">
        <f>IF(A365&lt;&gt;"",$B$1-H365,"")</f>
        <v/>
      </c>
    </row>
  </sheetData>
  <mergeCells count="1">
    <mergeCell ref="D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J365"/>
  <sheetViews>
    <sheetView workbookViewId="0">
      <selection activeCell="F19" sqref="F19"/>
    </sheetView>
  </sheetViews>
  <sheetFormatPr defaultRowHeight="15" x14ac:dyDescent="0.25"/>
  <cols>
    <col min="1" max="1" width="16.140625" bestFit="1" customWidth="1"/>
    <col min="2" max="3" width="15.42578125" customWidth="1"/>
    <col min="4" max="4" width="12" bestFit="1" customWidth="1"/>
    <col min="5" max="5" width="19.140625" bestFit="1" customWidth="1"/>
    <col min="6" max="6" width="18.7109375" bestFit="1" customWidth="1"/>
    <col min="7" max="7" width="20" bestFit="1" customWidth="1"/>
    <col min="8" max="8" width="19.140625" bestFit="1" customWidth="1"/>
    <col min="9" max="9" width="18.42578125" bestFit="1" customWidth="1"/>
    <col min="10" max="10" width="14.28515625" bestFit="1" customWidth="1"/>
  </cols>
  <sheetData>
    <row r="1" spans="1:10" x14ac:dyDescent="0.25">
      <c r="A1" t="s">
        <v>8</v>
      </c>
      <c r="B1" s="7">
        <f>Inputs!B1</f>
        <v>250000</v>
      </c>
      <c r="E1" t="s">
        <v>9</v>
      </c>
      <c r="F1">
        <f>1+B3/12</f>
        <v>1.0037833333333332</v>
      </c>
      <c r="G1" s="3" t="s">
        <v>24</v>
      </c>
      <c r="H1" s="8">
        <f>MAX(G6:G365)</f>
        <v>168578.99489395463</v>
      </c>
    </row>
    <row r="2" spans="1:10" x14ac:dyDescent="0.25">
      <c r="A2" t="s">
        <v>4</v>
      </c>
      <c r="B2">
        <f>Inputs!B3</f>
        <v>300</v>
      </c>
      <c r="C2" t="str">
        <f>Inputs!C3</f>
        <v>months</v>
      </c>
      <c r="G2" s="3" t="s">
        <v>25</v>
      </c>
      <c r="H2" s="8">
        <f>MAX(I6:I365)</f>
        <v>418578.9948939514</v>
      </c>
    </row>
    <row r="3" spans="1:10" x14ac:dyDescent="0.25">
      <c r="A3" t="s">
        <v>3</v>
      </c>
      <c r="B3">
        <f>Inputs!B6</f>
        <v>4.5400000000000003E-2</v>
      </c>
    </row>
    <row r="4" spans="1:10" x14ac:dyDescent="0.25">
      <c r="E4" s="3" t="s">
        <v>20</v>
      </c>
      <c r="F4" s="8">
        <f>B1*F1^B2 * ((F1-1 ) / (F1^B2-1))</f>
        <v>1395.2633163131788</v>
      </c>
    </row>
    <row r="5" spans="1:10" x14ac:dyDescent="0.25">
      <c r="A5" t="s">
        <v>5</v>
      </c>
      <c r="B5" t="s">
        <v>6</v>
      </c>
      <c r="C5" t="s">
        <v>12</v>
      </c>
      <c r="D5" t="s">
        <v>13</v>
      </c>
      <c r="E5" t="s">
        <v>14</v>
      </c>
      <c r="F5" t="s">
        <v>15</v>
      </c>
      <c r="G5" t="s">
        <v>18</v>
      </c>
      <c r="H5" t="s">
        <v>19</v>
      </c>
      <c r="I5" t="s">
        <v>17</v>
      </c>
      <c r="J5" t="s">
        <v>16</v>
      </c>
    </row>
    <row r="6" spans="1:10" x14ac:dyDescent="0.25">
      <c r="A6">
        <v>1</v>
      </c>
      <c r="B6" s="2">
        <f ca="1">Inputs!B7</f>
        <v>41955</v>
      </c>
      <c r="C6" s="2" t="str">
        <f ca="1">TEXT(B6,"mmmm")</f>
        <v>listopad</v>
      </c>
      <c r="D6" s="6">
        <f>$F$4</f>
        <v>1395.2633163131788</v>
      </c>
      <c r="E6" s="6">
        <f>B1*B3/12</f>
        <v>945.83333333333337</v>
      </c>
      <c r="F6" s="6">
        <f>D6-E6</f>
        <v>449.42998297984548</v>
      </c>
      <c r="G6" s="6">
        <f>E6</f>
        <v>945.83333333333337</v>
      </c>
      <c r="H6" s="6">
        <f>F6</f>
        <v>449.42998297984548</v>
      </c>
      <c r="I6" s="6">
        <f>D6</f>
        <v>1395.2633163131788</v>
      </c>
      <c r="J6" s="6">
        <f>$B$1*(($F$1^$B$2-$F$1^A6)/($F$1^$B$2-1))</f>
        <v>249550.57001702013</v>
      </c>
    </row>
    <row r="7" spans="1:10" x14ac:dyDescent="0.25">
      <c r="A7">
        <f t="shared" ref="A7:A29" si="0">IF($B$2&gt;A6,A6+1,"")</f>
        <v>2</v>
      </c>
      <c r="B7" s="2">
        <f t="shared" ref="B7:B29" ca="1" si="1">IF(A7&lt;&gt;"",DATE(YEAR(B6),MONTH(B6) + 1,DAY(B6)),"")</f>
        <v>41985</v>
      </c>
      <c r="C7" s="2" t="str">
        <f t="shared" ref="C7:C70" ca="1" si="2">TEXT(B7,"mmmm")</f>
        <v>grudzień</v>
      </c>
      <c r="D7" s="6">
        <f t="shared" ref="D7:D29" si="3">IF(A7&lt;&gt;"",$F$4,"")</f>
        <v>1395.2633163131788</v>
      </c>
      <c r="E7" s="6">
        <f t="shared" ref="E7:E29" si="4">IF(A7&lt;&gt;"",J6*$B$3/12,"")</f>
        <v>944.13298989772613</v>
      </c>
      <c r="F7" s="6">
        <f t="shared" ref="F7:F29" si="5">IF(A7&lt;&gt;"",D7-E7,"")</f>
        <v>451.13032641545271</v>
      </c>
      <c r="G7" s="6">
        <f t="shared" ref="G7:G29" si="6">IF(A7&lt;&gt;"",G6+E7,"")</f>
        <v>1889.9663232310595</v>
      </c>
      <c r="H7" s="6">
        <f t="shared" ref="H7:H29" si="7">IF(A7&lt;&gt;"",H6+F7,"")</f>
        <v>900.56030939529819</v>
      </c>
      <c r="I7" s="6">
        <f t="shared" ref="I7:I29" si="8">IF(A7&lt;&gt;"",D7+I6,"")</f>
        <v>2790.5266326263577</v>
      </c>
      <c r="J7" s="6">
        <f t="shared" ref="J7:J29" si="9">IF(A7&lt;&gt;"",$B$1*(($F$1^$B$2-$F$1^A7)/($F$1^$B$2-1)),"")</f>
        <v>249099.43969060466</v>
      </c>
    </row>
    <row r="8" spans="1:10" x14ac:dyDescent="0.25">
      <c r="A8">
        <f t="shared" si="0"/>
        <v>3</v>
      </c>
      <c r="B8" s="2">
        <f t="shared" ca="1" si="1"/>
        <v>42016</v>
      </c>
      <c r="C8" s="2" t="str">
        <f t="shared" ca="1" si="2"/>
        <v>styczeń</v>
      </c>
      <c r="D8" s="6">
        <f t="shared" si="3"/>
        <v>1395.2633163131788</v>
      </c>
      <c r="E8" s="6">
        <f t="shared" si="4"/>
        <v>942.42621349612102</v>
      </c>
      <c r="F8" s="6">
        <f t="shared" si="5"/>
        <v>452.83710281705783</v>
      </c>
      <c r="G8" s="6">
        <f t="shared" si="6"/>
        <v>2832.3925367271804</v>
      </c>
      <c r="H8" s="6">
        <f t="shared" si="7"/>
        <v>1353.3974122123559</v>
      </c>
      <c r="I8" s="6">
        <f t="shared" si="8"/>
        <v>4185.7899489395368</v>
      </c>
      <c r="J8" s="6">
        <f t="shared" si="9"/>
        <v>248646.60258778755</v>
      </c>
    </row>
    <row r="9" spans="1:10" x14ac:dyDescent="0.25">
      <c r="A9">
        <f t="shared" si="0"/>
        <v>4</v>
      </c>
      <c r="B9" s="2">
        <f t="shared" ca="1" si="1"/>
        <v>42047</v>
      </c>
      <c r="C9" s="2" t="str">
        <f t="shared" ca="1" si="2"/>
        <v>luty</v>
      </c>
      <c r="D9" s="6">
        <f t="shared" si="3"/>
        <v>1395.2633163131788</v>
      </c>
      <c r="E9" s="6">
        <f t="shared" si="4"/>
        <v>940.71297979046301</v>
      </c>
      <c r="F9" s="6">
        <f t="shared" si="5"/>
        <v>454.55033652271584</v>
      </c>
      <c r="G9" s="6">
        <f t="shared" si="6"/>
        <v>3773.1055165176435</v>
      </c>
      <c r="H9" s="6">
        <f t="shared" si="7"/>
        <v>1807.9477487350719</v>
      </c>
      <c r="I9" s="6">
        <f t="shared" si="8"/>
        <v>5581.0532652527154</v>
      </c>
      <c r="J9" s="6">
        <f t="shared" si="9"/>
        <v>248192.05225126486</v>
      </c>
    </row>
    <row r="10" spans="1:10" x14ac:dyDescent="0.25">
      <c r="A10">
        <f t="shared" si="0"/>
        <v>5</v>
      </c>
      <c r="B10" s="2">
        <f t="shared" ca="1" si="1"/>
        <v>42075</v>
      </c>
      <c r="C10" s="2" t="str">
        <f t="shared" ca="1" si="2"/>
        <v>marzec</v>
      </c>
      <c r="D10" s="6">
        <f t="shared" si="3"/>
        <v>1395.2633163131788</v>
      </c>
      <c r="E10" s="6">
        <f t="shared" si="4"/>
        <v>938.99326435061869</v>
      </c>
      <c r="F10" s="6">
        <f t="shared" si="5"/>
        <v>456.27005196256016</v>
      </c>
      <c r="G10" s="6">
        <f t="shared" si="6"/>
        <v>4712.0987808682621</v>
      </c>
      <c r="H10" s="6">
        <f t="shared" si="7"/>
        <v>2264.2178006976319</v>
      </c>
      <c r="I10" s="6">
        <f t="shared" si="8"/>
        <v>6976.316581565894</v>
      </c>
      <c r="J10" s="6">
        <f t="shared" si="9"/>
        <v>247735.78219930228</v>
      </c>
    </row>
    <row r="11" spans="1:10" x14ac:dyDescent="0.25">
      <c r="A11">
        <f t="shared" si="0"/>
        <v>6</v>
      </c>
      <c r="B11" s="2">
        <f t="shared" ca="1" si="1"/>
        <v>42106</v>
      </c>
      <c r="C11" s="2" t="str">
        <f t="shared" ca="1" si="2"/>
        <v>kwiecień</v>
      </c>
      <c r="D11" s="6">
        <f t="shared" si="3"/>
        <v>1395.2633163131788</v>
      </c>
      <c r="E11" s="6">
        <f t="shared" si="4"/>
        <v>937.26704265402702</v>
      </c>
      <c r="F11" s="6">
        <f t="shared" si="5"/>
        <v>457.99627365915183</v>
      </c>
      <c r="G11" s="6">
        <f t="shared" si="6"/>
        <v>5649.3658235222892</v>
      </c>
      <c r="H11" s="6">
        <f t="shared" si="7"/>
        <v>2722.2140743567838</v>
      </c>
      <c r="I11" s="6">
        <f t="shared" si="8"/>
        <v>8371.5798978790735</v>
      </c>
      <c r="J11" s="6">
        <f t="shared" si="9"/>
        <v>247277.78592564311</v>
      </c>
    </row>
    <row r="12" spans="1:10" x14ac:dyDescent="0.25">
      <c r="A12">
        <f t="shared" si="0"/>
        <v>7</v>
      </c>
      <c r="B12" s="2">
        <f t="shared" ca="1" si="1"/>
        <v>42136</v>
      </c>
      <c r="C12" s="2" t="str">
        <f t="shared" ca="1" si="2"/>
        <v>maj</v>
      </c>
      <c r="D12" s="6">
        <f t="shared" si="3"/>
        <v>1395.2633163131788</v>
      </c>
      <c r="E12" s="6">
        <f t="shared" si="4"/>
        <v>935.53429008534977</v>
      </c>
      <c r="F12" s="6">
        <f t="shared" si="5"/>
        <v>459.72902622782908</v>
      </c>
      <c r="G12" s="6">
        <f t="shared" si="6"/>
        <v>6584.9001136076386</v>
      </c>
      <c r="H12" s="6">
        <f t="shared" si="7"/>
        <v>3181.9431005846127</v>
      </c>
      <c r="I12" s="6">
        <f t="shared" si="8"/>
        <v>9766.8432141922531</v>
      </c>
      <c r="J12" s="6">
        <f t="shared" si="9"/>
        <v>246818.0568994153</v>
      </c>
    </row>
    <row r="13" spans="1:10" x14ac:dyDescent="0.25">
      <c r="A13">
        <f t="shared" si="0"/>
        <v>8</v>
      </c>
      <c r="B13" s="2">
        <f t="shared" ca="1" si="1"/>
        <v>42167</v>
      </c>
      <c r="C13" s="2" t="str">
        <f t="shared" ca="1" si="2"/>
        <v>czerwiec</v>
      </c>
      <c r="D13" s="6">
        <f t="shared" si="3"/>
        <v>1395.2633163131788</v>
      </c>
      <c r="E13" s="6">
        <f t="shared" si="4"/>
        <v>933.79498193612119</v>
      </c>
      <c r="F13" s="6">
        <f t="shared" si="5"/>
        <v>461.46833437705766</v>
      </c>
      <c r="G13" s="6">
        <f t="shared" si="6"/>
        <v>7518.6950955437596</v>
      </c>
      <c r="H13" s="6">
        <f t="shared" si="7"/>
        <v>3643.4114349616702</v>
      </c>
      <c r="I13" s="6">
        <f t="shared" si="8"/>
        <v>11162.106530505433</v>
      </c>
      <c r="J13" s="6">
        <f t="shared" si="9"/>
        <v>246356.5885650382</v>
      </c>
    </row>
    <row r="14" spans="1:10" x14ac:dyDescent="0.25">
      <c r="A14">
        <f t="shared" si="0"/>
        <v>9</v>
      </c>
      <c r="B14" s="2">
        <f t="shared" ca="1" si="1"/>
        <v>42197</v>
      </c>
      <c r="C14" s="2" t="str">
        <f t="shared" ca="1" si="2"/>
        <v>lipiec</v>
      </c>
      <c r="D14" s="6">
        <f t="shared" si="3"/>
        <v>1395.2633163131788</v>
      </c>
      <c r="E14" s="6">
        <f t="shared" si="4"/>
        <v>932.04909340439463</v>
      </c>
      <c r="F14" s="6">
        <f t="shared" si="5"/>
        <v>463.21422290878422</v>
      </c>
      <c r="G14" s="6">
        <f t="shared" si="6"/>
        <v>8450.7441889481543</v>
      </c>
      <c r="H14" s="6">
        <f t="shared" si="7"/>
        <v>4106.6256578704542</v>
      </c>
      <c r="I14" s="6">
        <f t="shared" si="8"/>
        <v>12557.369846818612</v>
      </c>
      <c r="J14" s="6">
        <f t="shared" si="9"/>
        <v>245893.37434212942</v>
      </c>
    </row>
    <row r="15" spans="1:10" x14ac:dyDescent="0.25">
      <c r="A15">
        <f t="shared" si="0"/>
        <v>10</v>
      </c>
      <c r="B15" s="2">
        <f t="shared" ca="1" si="1"/>
        <v>42228</v>
      </c>
      <c r="C15" s="2" t="str">
        <f t="shared" ca="1" si="2"/>
        <v>sierpień</v>
      </c>
      <c r="D15" s="6">
        <f t="shared" si="3"/>
        <v>1395.2633163131788</v>
      </c>
      <c r="E15" s="6">
        <f t="shared" si="4"/>
        <v>930.2965995943897</v>
      </c>
      <c r="F15" s="6">
        <f t="shared" si="5"/>
        <v>464.96671671878914</v>
      </c>
      <c r="G15" s="6">
        <f t="shared" si="6"/>
        <v>9381.0407885425448</v>
      </c>
      <c r="H15" s="6">
        <f t="shared" si="7"/>
        <v>4571.5923745892433</v>
      </c>
      <c r="I15" s="6">
        <f t="shared" si="8"/>
        <v>13952.633163131792</v>
      </c>
      <c r="J15" s="6">
        <f t="shared" si="9"/>
        <v>245428.40762541059</v>
      </c>
    </row>
    <row r="16" spans="1:10" x14ac:dyDescent="0.25">
      <c r="A16">
        <f t="shared" si="0"/>
        <v>11</v>
      </c>
      <c r="B16" s="2">
        <f t="shared" ca="1" si="1"/>
        <v>42259</v>
      </c>
      <c r="C16" s="2" t="str">
        <f t="shared" ca="1" si="2"/>
        <v>wrzesień</v>
      </c>
      <c r="D16" s="6">
        <f t="shared" si="3"/>
        <v>1395.2633163131788</v>
      </c>
      <c r="E16" s="6">
        <f t="shared" si="4"/>
        <v>928.53747551613685</v>
      </c>
      <c r="F16" s="6">
        <f t="shared" si="5"/>
        <v>466.725840797042</v>
      </c>
      <c r="G16" s="6">
        <f t="shared" si="6"/>
        <v>10309.578264058682</v>
      </c>
      <c r="H16" s="6">
        <f t="shared" si="7"/>
        <v>5038.3182153862854</v>
      </c>
      <c r="I16" s="6">
        <f t="shared" si="8"/>
        <v>15347.896479444971</v>
      </c>
      <c r="J16" s="6">
        <f t="shared" si="9"/>
        <v>244961.68178461355</v>
      </c>
    </row>
    <row r="17" spans="1:10" x14ac:dyDescent="0.25">
      <c r="A17">
        <f t="shared" si="0"/>
        <v>12</v>
      </c>
      <c r="B17" s="2">
        <f t="shared" ca="1" si="1"/>
        <v>42289</v>
      </c>
      <c r="C17" s="2" t="str">
        <f t="shared" ca="1" si="2"/>
        <v>październik</v>
      </c>
      <c r="D17" s="6">
        <f t="shared" si="3"/>
        <v>1395.2633163131788</v>
      </c>
      <c r="E17" s="6">
        <f t="shared" si="4"/>
        <v>926.77169608512133</v>
      </c>
      <c r="F17" s="6">
        <f t="shared" si="5"/>
        <v>468.49162022805751</v>
      </c>
      <c r="G17" s="6">
        <f t="shared" si="6"/>
        <v>11236.349960143803</v>
      </c>
      <c r="H17" s="6">
        <f t="shared" si="7"/>
        <v>5506.8098356143428</v>
      </c>
      <c r="I17" s="6">
        <f t="shared" si="8"/>
        <v>16743.159795758151</v>
      </c>
      <c r="J17" s="6">
        <f t="shared" si="9"/>
        <v>244493.19016438542</v>
      </c>
    </row>
    <row r="18" spans="1:10" x14ac:dyDescent="0.25">
      <c r="A18">
        <f t="shared" si="0"/>
        <v>13</v>
      </c>
      <c r="B18" s="2">
        <f t="shared" ca="1" si="1"/>
        <v>42320</v>
      </c>
      <c r="C18" s="2" t="str">
        <f t="shared" ca="1" si="2"/>
        <v>listopad</v>
      </c>
      <c r="D18" s="6">
        <f t="shared" si="3"/>
        <v>1395.2633163131788</v>
      </c>
      <c r="E18" s="6">
        <f t="shared" si="4"/>
        <v>924.99923612192481</v>
      </c>
      <c r="F18" s="6">
        <f t="shared" si="5"/>
        <v>470.26408019125404</v>
      </c>
      <c r="G18" s="6">
        <f t="shared" si="6"/>
        <v>12161.349196265728</v>
      </c>
      <c r="H18" s="6">
        <f t="shared" si="7"/>
        <v>5977.0739158055967</v>
      </c>
      <c r="I18" s="6">
        <f t="shared" si="8"/>
        <v>18138.42311207133</v>
      </c>
      <c r="J18" s="6">
        <f t="shared" si="9"/>
        <v>244022.92608419422</v>
      </c>
    </row>
    <row r="19" spans="1:10" x14ac:dyDescent="0.25">
      <c r="A19">
        <f t="shared" si="0"/>
        <v>14</v>
      </c>
      <c r="B19" s="2">
        <f t="shared" ca="1" si="1"/>
        <v>42350</v>
      </c>
      <c r="C19" s="2" t="str">
        <f t="shared" ca="1" si="2"/>
        <v>grudzień</v>
      </c>
      <c r="D19" s="6">
        <f t="shared" si="3"/>
        <v>1395.2633163131788</v>
      </c>
      <c r="E19" s="6">
        <f t="shared" si="4"/>
        <v>923.22007035186823</v>
      </c>
      <c r="F19" s="6">
        <f t="shared" si="5"/>
        <v>472.04324596131062</v>
      </c>
      <c r="G19" s="6">
        <f t="shared" si="6"/>
        <v>13084.569266617596</v>
      </c>
      <c r="H19" s="6">
        <f t="shared" si="7"/>
        <v>6449.117161766907</v>
      </c>
      <c r="I19" s="6">
        <f t="shared" si="8"/>
        <v>19533.68642838451</v>
      </c>
      <c r="J19" s="6">
        <f t="shared" si="9"/>
        <v>243550.88283823285</v>
      </c>
    </row>
    <row r="20" spans="1:10" x14ac:dyDescent="0.25">
      <c r="A20">
        <f t="shared" si="0"/>
        <v>15</v>
      </c>
      <c r="B20" s="2">
        <f t="shared" ca="1" si="1"/>
        <v>42381</v>
      </c>
      <c r="C20" s="2" t="str">
        <f t="shared" ca="1" si="2"/>
        <v>styczeń</v>
      </c>
      <c r="D20" s="6">
        <f t="shared" si="3"/>
        <v>1395.2633163131788</v>
      </c>
      <c r="E20" s="6">
        <f t="shared" si="4"/>
        <v>921.43417340464759</v>
      </c>
      <c r="F20" s="6">
        <f t="shared" si="5"/>
        <v>473.82914290853125</v>
      </c>
      <c r="G20" s="6">
        <f t="shared" si="6"/>
        <v>14006.003440022245</v>
      </c>
      <c r="H20" s="6">
        <f t="shared" si="7"/>
        <v>6922.9463046754381</v>
      </c>
      <c r="I20" s="6">
        <f t="shared" si="8"/>
        <v>20928.949744697689</v>
      </c>
      <c r="J20" s="6">
        <f t="shared" si="9"/>
        <v>243077.05369532428</v>
      </c>
    </row>
    <row r="21" spans="1:10" x14ac:dyDescent="0.25">
      <c r="A21">
        <f t="shared" si="0"/>
        <v>16</v>
      </c>
      <c r="B21" s="2">
        <f t="shared" ca="1" si="1"/>
        <v>42412</v>
      </c>
      <c r="C21" s="2" t="str">
        <f t="shared" ca="1" si="2"/>
        <v>luty</v>
      </c>
      <c r="D21" s="6">
        <f t="shared" si="3"/>
        <v>1395.2633163131788</v>
      </c>
      <c r="E21" s="6">
        <f t="shared" si="4"/>
        <v>919.64151981397697</v>
      </c>
      <c r="F21" s="6">
        <f t="shared" si="5"/>
        <v>475.62179649920188</v>
      </c>
      <c r="G21" s="6">
        <f t="shared" si="6"/>
        <v>14925.644959836221</v>
      </c>
      <c r="H21" s="6">
        <f t="shared" si="7"/>
        <v>7398.5681011746401</v>
      </c>
      <c r="I21" s="6">
        <f t="shared" si="8"/>
        <v>22324.213061010869</v>
      </c>
      <c r="J21" s="6">
        <f t="shared" si="9"/>
        <v>242601.43189882513</v>
      </c>
    </row>
    <row r="22" spans="1:10" x14ac:dyDescent="0.25">
      <c r="A22">
        <f t="shared" si="0"/>
        <v>17</v>
      </c>
      <c r="B22" s="2">
        <f t="shared" ca="1" si="1"/>
        <v>42441</v>
      </c>
      <c r="C22" s="2" t="str">
        <f t="shared" ca="1" si="2"/>
        <v>marzec</v>
      </c>
      <c r="D22" s="6">
        <f t="shared" si="3"/>
        <v>1395.2633163131788</v>
      </c>
      <c r="E22" s="6">
        <f t="shared" si="4"/>
        <v>917.84208401722174</v>
      </c>
      <c r="F22" s="6">
        <f t="shared" si="5"/>
        <v>477.42123229595711</v>
      </c>
      <c r="G22" s="6">
        <f t="shared" si="6"/>
        <v>15843.487043853444</v>
      </c>
      <c r="H22" s="6">
        <f t="shared" si="7"/>
        <v>7875.9893334705976</v>
      </c>
      <c r="I22" s="6">
        <f t="shared" si="8"/>
        <v>23719.476377324048</v>
      </c>
      <c r="J22" s="6">
        <f t="shared" si="9"/>
        <v>242124.01066652912</v>
      </c>
    </row>
    <row r="23" spans="1:10" x14ac:dyDescent="0.25">
      <c r="A23">
        <f t="shared" si="0"/>
        <v>18</v>
      </c>
      <c r="B23" s="2">
        <f t="shared" ca="1" si="1"/>
        <v>42472</v>
      </c>
      <c r="C23" s="2" t="str">
        <f t="shared" ca="1" si="2"/>
        <v>kwiecień</v>
      </c>
      <c r="D23" s="6">
        <f t="shared" si="3"/>
        <v>1395.2633163131788</v>
      </c>
      <c r="E23" s="6">
        <f t="shared" si="4"/>
        <v>916.03584035503525</v>
      </c>
      <c r="F23" s="6">
        <f t="shared" si="5"/>
        <v>479.2274759581436</v>
      </c>
      <c r="G23" s="6">
        <f t="shared" si="6"/>
        <v>16759.52288420848</v>
      </c>
      <c r="H23" s="6">
        <f t="shared" si="7"/>
        <v>8355.2168094287408</v>
      </c>
      <c r="I23" s="6">
        <f t="shared" si="8"/>
        <v>25114.739693637228</v>
      </c>
      <c r="J23" s="6">
        <f t="shared" si="9"/>
        <v>241644.78319057095</v>
      </c>
    </row>
    <row r="24" spans="1:10" x14ac:dyDescent="0.25">
      <c r="A24">
        <f t="shared" si="0"/>
        <v>19</v>
      </c>
      <c r="B24" s="2">
        <f t="shared" ca="1" si="1"/>
        <v>42502</v>
      </c>
      <c r="C24" s="2" t="str">
        <f t="shared" ca="1" si="2"/>
        <v>maj</v>
      </c>
      <c r="D24" s="6">
        <f t="shared" si="3"/>
        <v>1395.2633163131788</v>
      </c>
      <c r="E24" s="6">
        <f t="shared" si="4"/>
        <v>914.22276307099344</v>
      </c>
      <c r="F24" s="6">
        <f t="shared" si="5"/>
        <v>481.04055324218541</v>
      </c>
      <c r="G24" s="6">
        <f t="shared" si="6"/>
        <v>17673.745647279473</v>
      </c>
      <c r="H24" s="6">
        <f t="shared" si="7"/>
        <v>8836.2573626709254</v>
      </c>
      <c r="I24" s="6">
        <f t="shared" si="8"/>
        <v>26510.003009950407</v>
      </c>
      <c r="J24" s="6">
        <f t="shared" si="9"/>
        <v>241163.74263732877</v>
      </c>
    </row>
    <row r="25" spans="1:10" x14ac:dyDescent="0.25">
      <c r="A25">
        <f t="shared" si="0"/>
        <v>20</v>
      </c>
      <c r="B25" s="2">
        <f t="shared" ca="1" si="1"/>
        <v>42533</v>
      </c>
      <c r="C25" s="2" t="str">
        <f t="shared" ca="1" si="2"/>
        <v>czerwiec</v>
      </c>
      <c r="D25" s="6">
        <f t="shared" si="3"/>
        <v>1395.2633163131788</v>
      </c>
      <c r="E25" s="6">
        <f t="shared" si="4"/>
        <v>912.40282631122727</v>
      </c>
      <c r="F25" s="6">
        <f t="shared" si="5"/>
        <v>482.86049000195158</v>
      </c>
      <c r="G25" s="6">
        <f t="shared" si="6"/>
        <v>18586.1484735907</v>
      </c>
      <c r="H25" s="6">
        <f t="shared" si="7"/>
        <v>9319.1178526728763</v>
      </c>
      <c r="I25" s="6">
        <f t="shared" si="8"/>
        <v>27905.266326263587</v>
      </c>
      <c r="J25" s="6">
        <f t="shared" si="9"/>
        <v>240680.8821473268</v>
      </c>
    </row>
    <row r="26" spans="1:10" x14ac:dyDescent="0.25">
      <c r="A26">
        <f t="shared" si="0"/>
        <v>21</v>
      </c>
      <c r="B26" s="2">
        <f t="shared" ca="1" si="1"/>
        <v>42563</v>
      </c>
      <c r="C26" s="2" t="str">
        <f t="shared" ca="1" si="2"/>
        <v>lipiec</v>
      </c>
      <c r="D26" s="6">
        <f t="shared" si="3"/>
        <v>1395.2633163131788</v>
      </c>
      <c r="E26" s="6">
        <f t="shared" si="4"/>
        <v>910.57600412405316</v>
      </c>
      <c r="F26" s="6">
        <f t="shared" si="5"/>
        <v>484.68731218912569</v>
      </c>
      <c r="G26" s="6">
        <f t="shared" si="6"/>
        <v>19496.724477714753</v>
      </c>
      <c r="H26" s="6">
        <f t="shared" si="7"/>
        <v>9803.8051648620021</v>
      </c>
      <c r="I26" s="6">
        <f t="shared" si="8"/>
        <v>29300.529642576766</v>
      </c>
      <c r="J26" s="6">
        <f t="shared" si="9"/>
        <v>240196.19483513763</v>
      </c>
    </row>
    <row r="27" spans="1:10" x14ac:dyDescent="0.25">
      <c r="A27">
        <f t="shared" si="0"/>
        <v>22</v>
      </c>
      <c r="B27" s="2">
        <f t="shared" ca="1" si="1"/>
        <v>42594</v>
      </c>
      <c r="C27" s="2" t="str">
        <f t="shared" ca="1" si="2"/>
        <v>sierpień</v>
      </c>
      <c r="D27" s="6">
        <f t="shared" si="3"/>
        <v>1395.2633163131788</v>
      </c>
      <c r="E27" s="6">
        <f t="shared" si="4"/>
        <v>908.74227045960413</v>
      </c>
      <c r="F27" s="6">
        <f t="shared" si="5"/>
        <v>486.52104585357472</v>
      </c>
      <c r="G27" s="6">
        <f t="shared" si="6"/>
        <v>20405.466748174356</v>
      </c>
      <c r="H27" s="6">
        <f t="shared" si="7"/>
        <v>10290.326210715577</v>
      </c>
      <c r="I27" s="6">
        <f t="shared" si="8"/>
        <v>30695.792958889946</v>
      </c>
      <c r="J27" s="6">
        <f t="shared" si="9"/>
        <v>239709.6737892841</v>
      </c>
    </row>
    <row r="28" spans="1:10" x14ac:dyDescent="0.25">
      <c r="A28">
        <f t="shared" si="0"/>
        <v>23</v>
      </c>
      <c r="B28" s="2">
        <f t="shared" ca="1" si="1"/>
        <v>42625</v>
      </c>
      <c r="C28" s="2" t="str">
        <f t="shared" ca="1" si="2"/>
        <v>wrzesień</v>
      </c>
      <c r="D28" s="6">
        <f t="shared" si="3"/>
        <v>1395.2633163131788</v>
      </c>
      <c r="E28" s="6">
        <f t="shared" si="4"/>
        <v>906.90159916945822</v>
      </c>
      <c r="F28" s="6">
        <f t="shared" si="5"/>
        <v>488.36171714372063</v>
      </c>
      <c r="G28" s="6">
        <f t="shared" si="6"/>
        <v>21312.368347343814</v>
      </c>
      <c r="H28" s="6">
        <f t="shared" si="7"/>
        <v>10778.687927859297</v>
      </c>
      <c r="I28" s="6">
        <f t="shared" si="8"/>
        <v>32091.056275203126</v>
      </c>
      <c r="J28" s="6">
        <f t="shared" si="9"/>
        <v>239221.31207214037</v>
      </c>
    </row>
    <row r="29" spans="1:10" x14ac:dyDescent="0.25">
      <c r="A29">
        <f t="shared" si="0"/>
        <v>24</v>
      </c>
      <c r="B29" s="2">
        <f t="shared" ca="1" si="1"/>
        <v>42655</v>
      </c>
      <c r="C29" s="2" t="str">
        <f t="shared" ca="1" si="2"/>
        <v>październik</v>
      </c>
      <c r="D29" s="6">
        <f t="shared" si="3"/>
        <v>1395.2633163131788</v>
      </c>
      <c r="E29" s="6">
        <f t="shared" si="4"/>
        <v>905.05396400626444</v>
      </c>
      <c r="F29" s="6">
        <f t="shared" si="5"/>
        <v>490.20935230691441</v>
      </c>
      <c r="G29" s="6">
        <f t="shared" si="6"/>
        <v>22217.422311350078</v>
      </c>
      <c r="H29" s="6">
        <f t="shared" si="7"/>
        <v>11268.897280166211</v>
      </c>
      <c r="I29" s="6">
        <f t="shared" si="8"/>
        <v>33486.319591516301</v>
      </c>
      <c r="J29" s="6">
        <f t="shared" si="9"/>
        <v>238731.10271983346</v>
      </c>
    </row>
    <row r="30" spans="1:10" x14ac:dyDescent="0.25">
      <c r="A30">
        <f t="shared" ref="A30:A93" si="10">IF($B$2&gt;A29,A29+1,"")</f>
        <v>25</v>
      </c>
      <c r="B30" s="2">
        <f t="shared" ref="B30:B93" ca="1" si="11">IF(A30&lt;&gt;"",DATE(YEAR(B29),MONTH(B29) + 1,DAY(B29)),"")</f>
        <v>42686</v>
      </c>
      <c r="C30" s="2" t="str">
        <f t="shared" ca="1" si="2"/>
        <v>listopad</v>
      </c>
      <c r="D30" s="6">
        <f t="shared" ref="D30:D93" si="12">IF(A30&lt;&gt;"",$F$4,"")</f>
        <v>1395.2633163131788</v>
      </c>
      <c r="E30" s="6">
        <f t="shared" ref="E30:E93" si="13">IF(A30&lt;&gt;"",J29*$B$3/12,"")</f>
        <v>903.19933862336995</v>
      </c>
      <c r="F30" s="6">
        <f t="shared" ref="F30:F93" si="14">IF(A30&lt;&gt;"",D30-E30,"")</f>
        <v>492.06397768980889</v>
      </c>
      <c r="G30" s="6">
        <f t="shared" ref="G30:G93" si="15">IF(A30&lt;&gt;"",G29+E30,"")</f>
        <v>23120.621649973447</v>
      </c>
      <c r="H30" s="6">
        <f t="shared" ref="H30:H93" si="16">IF(A30&lt;&gt;"",H29+F30,"")</f>
        <v>11760.961257856021</v>
      </c>
      <c r="I30" s="6">
        <f t="shared" ref="I30:I93" si="17">IF(A30&lt;&gt;"",D30+I29,"")</f>
        <v>34881.582907829477</v>
      </c>
      <c r="J30" s="6">
        <f t="shared" ref="J30:J93" si="18">IF(A30&lt;&gt;"",$B$1*(($F$1^$B$2-$F$1^A30)/($F$1^$B$2-1)),"")</f>
        <v>238239.0387421436</v>
      </c>
    </row>
    <row r="31" spans="1:10" x14ac:dyDescent="0.25">
      <c r="A31">
        <f t="shared" si="10"/>
        <v>26</v>
      </c>
      <c r="B31" s="2">
        <f t="shared" ca="1" si="11"/>
        <v>42716</v>
      </c>
      <c r="C31" s="2" t="str">
        <f t="shared" ca="1" si="2"/>
        <v>grudzień</v>
      </c>
      <c r="D31" s="6">
        <f t="shared" si="12"/>
        <v>1395.2633163131788</v>
      </c>
      <c r="E31" s="6">
        <f t="shared" si="13"/>
        <v>901.33769657444338</v>
      </c>
      <c r="F31" s="6">
        <f t="shared" si="14"/>
        <v>493.92561973873546</v>
      </c>
      <c r="G31" s="6">
        <f t="shared" si="15"/>
        <v>24021.95934654789</v>
      </c>
      <c r="H31" s="6">
        <f t="shared" si="16"/>
        <v>12254.886877594756</v>
      </c>
      <c r="I31" s="6">
        <f t="shared" si="17"/>
        <v>36276.846224142653</v>
      </c>
      <c r="J31" s="6">
        <f t="shared" si="18"/>
        <v>237745.11312240484</v>
      </c>
    </row>
    <row r="32" spans="1:10" x14ac:dyDescent="0.25">
      <c r="A32">
        <f t="shared" si="10"/>
        <v>27</v>
      </c>
      <c r="B32" s="2">
        <f t="shared" ca="1" si="11"/>
        <v>42747</v>
      </c>
      <c r="C32" s="2" t="str">
        <f t="shared" ca="1" si="2"/>
        <v>styczeń</v>
      </c>
      <c r="D32" s="6">
        <f t="shared" si="12"/>
        <v>1395.2633163131788</v>
      </c>
      <c r="E32" s="6">
        <f t="shared" si="13"/>
        <v>899.46901131309835</v>
      </c>
      <c r="F32" s="6">
        <f t="shared" si="14"/>
        <v>495.7943050000805</v>
      </c>
      <c r="G32" s="6">
        <f t="shared" si="15"/>
        <v>24921.42835786099</v>
      </c>
      <c r="H32" s="6">
        <f t="shared" si="16"/>
        <v>12750.681182594837</v>
      </c>
      <c r="I32" s="6">
        <f t="shared" si="17"/>
        <v>37672.109540455829</v>
      </c>
      <c r="J32" s="6">
        <f t="shared" si="18"/>
        <v>237249.31881740474</v>
      </c>
    </row>
    <row r="33" spans="1:10" x14ac:dyDescent="0.25">
      <c r="A33">
        <f t="shared" si="10"/>
        <v>28</v>
      </c>
      <c r="B33" s="2">
        <f t="shared" ca="1" si="11"/>
        <v>42778</v>
      </c>
      <c r="C33" s="2" t="str">
        <f t="shared" ca="1" si="2"/>
        <v>luty</v>
      </c>
      <c r="D33" s="6">
        <f t="shared" si="12"/>
        <v>1395.2633163131788</v>
      </c>
      <c r="E33" s="6">
        <f t="shared" si="13"/>
        <v>897.59325619251467</v>
      </c>
      <c r="F33" s="6">
        <f t="shared" si="14"/>
        <v>497.67006012066417</v>
      </c>
      <c r="G33" s="6">
        <f t="shared" si="15"/>
        <v>25819.021614053505</v>
      </c>
      <c r="H33" s="6">
        <f t="shared" si="16"/>
        <v>13248.351242715502</v>
      </c>
      <c r="I33" s="6">
        <f t="shared" si="17"/>
        <v>39067.372856769005</v>
      </c>
      <c r="J33" s="6">
        <f t="shared" si="18"/>
        <v>236751.64875728404</v>
      </c>
    </row>
    <row r="34" spans="1:10" x14ac:dyDescent="0.25">
      <c r="A34">
        <f t="shared" si="10"/>
        <v>29</v>
      </c>
      <c r="B34" s="2">
        <f t="shared" ca="1" si="11"/>
        <v>42806</v>
      </c>
      <c r="C34" s="2" t="str">
        <f t="shared" ca="1" si="2"/>
        <v>marzec</v>
      </c>
      <c r="D34" s="6">
        <f t="shared" si="12"/>
        <v>1395.2633163131788</v>
      </c>
      <c r="E34" s="6">
        <f t="shared" si="13"/>
        <v>895.7104044650581</v>
      </c>
      <c r="F34" s="6">
        <f t="shared" si="14"/>
        <v>499.55291184812074</v>
      </c>
      <c r="G34" s="6">
        <f t="shared" si="15"/>
        <v>26714.732018518564</v>
      </c>
      <c r="H34" s="6">
        <f t="shared" si="16"/>
        <v>13747.904154563623</v>
      </c>
      <c r="I34" s="6">
        <f t="shared" si="17"/>
        <v>40462.636173082181</v>
      </c>
      <c r="J34" s="6">
        <f t="shared" si="18"/>
        <v>236252.09584543595</v>
      </c>
    </row>
    <row r="35" spans="1:10" x14ac:dyDescent="0.25">
      <c r="A35">
        <f t="shared" si="10"/>
        <v>30</v>
      </c>
      <c r="B35" s="2">
        <f t="shared" ca="1" si="11"/>
        <v>42837</v>
      </c>
      <c r="C35" s="2" t="str">
        <f t="shared" ca="1" si="2"/>
        <v>kwiecień</v>
      </c>
      <c r="D35" s="6">
        <f t="shared" si="12"/>
        <v>1395.2633163131788</v>
      </c>
      <c r="E35" s="6">
        <f t="shared" si="13"/>
        <v>893.82042928189946</v>
      </c>
      <c r="F35" s="6">
        <f t="shared" si="14"/>
        <v>501.44288703127938</v>
      </c>
      <c r="G35" s="6">
        <f t="shared" si="15"/>
        <v>27608.552447800463</v>
      </c>
      <c r="H35" s="6">
        <f t="shared" si="16"/>
        <v>14249.347041594901</v>
      </c>
      <c r="I35" s="6">
        <f t="shared" si="17"/>
        <v>41857.899489395357</v>
      </c>
      <c r="J35" s="6">
        <f t="shared" si="18"/>
        <v>235750.65295840465</v>
      </c>
    </row>
    <row r="36" spans="1:10" x14ac:dyDescent="0.25">
      <c r="A36">
        <f t="shared" si="10"/>
        <v>31</v>
      </c>
      <c r="B36" s="2">
        <f t="shared" ca="1" si="11"/>
        <v>42867</v>
      </c>
      <c r="C36" s="2" t="str">
        <f t="shared" ca="1" si="2"/>
        <v>maj</v>
      </c>
      <c r="D36" s="6">
        <f t="shared" si="12"/>
        <v>1395.2633163131788</v>
      </c>
      <c r="E36" s="6">
        <f t="shared" si="13"/>
        <v>891.92330369263107</v>
      </c>
      <c r="F36" s="6">
        <f t="shared" si="14"/>
        <v>503.34001262054778</v>
      </c>
      <c r="G36" s="6">
        <f t="shared" si="15"/>
        <v>28500.475751493093</v>
      </c>
      <c r="H36" s="6">
        <f t="shared" si="16"/>
        <v>14752.687054215448</v>
      </c>
      <c r="I36" s="6">
        <f t="shared" si="17"/>
        <v>43253.162805708533</v>
      </c>
      <c r="J36" s="6">
        <f t="shared" si="18"/>
        <v>235247.31294578407</v>
      </c>
    </row>
    <row r="37" spans="1:10" x14ac:dyDescent="0.25">
      <c r="A37">
        <f t="shared" si="10"/>
        <v>32</v>
      </c>
      <c r="B37" s="2">
        <f t="shared" ca="1" si="11"/>
        <v>42898</v>
      </c>
      <c r="C37" s="2" t="str">
        <f t="shared" ca="1" si="2"/>
        <v>czerwiec</v>
      </c>
      <c r="D37" s="6">
        <f t="shared" si="12"/>
        <v>1395.2633163131788</v>
      </c>
      <c r="E37" s="6">
        <f t="shared" si="13"/>
        <v>890.01900064488302</v>
      </c>
      <c r="F37" s="6">
        <f t="shared" si="14"/>
        <v>505.24431566829583</v>
      </c>
      <c r="G37" s="6">
        <f t="shared" si="15"/>
        <v>29390.494752137976</v>
      </c>
      <c r="H37" s="6">
        <f t="shared" si="16"/>
        <v>15257.931369883745</v>
      </c>
      <c r="I37" s="6">
        <f t="shared" si="17"/>
        <v>44648.426122021709</v>
      </c>
      <c r="J37" s="6">
        <f t="shared" si="18"/>
        <v>234742.06863011577</v>
      </c>
    </row>
    <row r="38" spans="1:10" x14ac:dyDescent="0.25">
      <c r="A38">
        <f t="shared" si="10"/>
        <v>33</v>
      </c>
      <c r="B38" s="2">
        <f t="shared" ca="1" si="11"/>
        <v>42928</v>
      </c>
      <c r="C38" s="2" t="str">
        <f t="shared" ca="1" si="2"/>
        <v>lipiec</v>
      </c>
      <c r="D38" s="6">
        <f t="shared" si="12"/>
        <v>1395.2633163131788</v>
      </c>
      <c r="E38" s="6">
        <f t="shared" si="13"/>
        <v>888.10749298393796</v>
      </c>
      <c r="F38" s="6">
        <f t="shared" si="14"/>
        <v>507.15582332924089</v>
      </c>
      <c r="G38" s="6">
        <f t="shared" si="15"/>
        <v>30278.602245121914</v>
      </c>
      <c r="H38" s="6">
        <f t="shared" si="16"/>
        <v>15765.087193212987</v>
      </c>
      <c r="I38" s="6">
        <f t="shared" si="17"/>
        <v>46043.689438334884</v>
      </c>
      <c r="J38" s="6">
        <f t="shared" si="18"/>
        <v>234234.91280678651</v>
      </c>
    </row>
    <row r="39" spans="1:10" x14ac:dyDescent="0.25">
      <c r="A39">
        <f t="shared" si="10"/>
        <v>34</v>
      </c>
      <c r="B39" s="2">
        <f t="shared" ca="1" si="11"/>
        <v>42959</v>
      </c>
      <c r="C39" s="2" t="str">
        <f t="shared" ca="1" si="2"/>
        <v>sierpień</v>
      </c>
      <c r="D39" s="6">
        <f t="shared" si="12"/>
        <v>1395.2633163131788</v>
      </c>
      <c r="E39" s="6">
        <f t="shared" si="13"/>
        <v>886.18875345234244</v>
      </c>
      <c r="F39" s="6">
        <f t="shared" si="14"/>
        <v>509.07456286083641</v>
      </c>
      <c r="G39" s="6">
        <f t="shared" si="15"/>
        <v>31164.790998574255</v>
      </c>
      <c r="H39" s="6">
        <f t="shared" si="16"/>
        <v>16274.161756073823</v>
      </c>
      <c r="I39" s="6">
        <f t="shared" si="17"/>
        <v>47438.95275464806</v>
      </c>
      <c r="J39" s="6">
        <f t="shared" si="18"/>
        <v>233725.83824392565</v>
      </c>
    </row>
    <row r="40" spans="1:10" x14ac:dyDescent="0.25">
      <c r="A40">
        <f t="shared" si="10"/>
        <v>35</v>
      </c>
      <c r="B40" s="2">
        <f t="shared" ca="1" si="11"/>
        <v>42990</v>
      </c>
      <c r="C40" s="2" t="str">
        <f t="shared" ca="1" si="2"/>
        <v>wrzesień</v>
      </c>
      <c r="D40" s="6">
        <f t="shared" si="12"/>
        <v>1395.2633163131788</v>
      </c>
      <c r="E40" s="6">
        <f t="shared" si="13"/>
        <v>884.26275468951872</v>
      </c>
      <c r="F40" s="6">
        <f t="shared" si="14"/>
        <v>511.00056162366013</v>
      </c>
      <c r="G40" s="6">
        <f t="shared" si="15"/>
        <v>32049.053753263775</v>
      </c>
      <c r="H40" s="6">
        <f t="shared" si="16"/>
        <v>16785.162317697483</v>
      </c>
      <c r="I40" s="6">
        <f t="shared" si="17"/>
        <v>48834.216070961236</v>
      </c>
      <c r="J40" s="6">
        <f t="shared" si="18"/>
        <v>233214.83768230196</v>
      </c>
    </row>
    <row r="41" spans="1:10" x14ac:dyDescent="0.25">
      <c r="A41">
        <f t="shared" si="10"/>
        <v>36</v>
      </c>
      <c r="B41" s="2">
        <f t="shared" ca="1" si="11"/>
        <v>43020</v>
      </c>
      <c r="C41" s="2" t="str">
        <f t="shared" ca="1" si="2"/>
        <v>październik</v>
      </c>
      <c r="D41" s="6">
        <f t="shared" si="12"/>
        <v>1395.2633163131788</v>
      </c>
      <c r="E41" s="6">
        <f t="shared" si="13"/>
        <v>882.32946923137581</v>
      </c>
      <c r="F41" s="6">
        <f t="shared" si="14"/>
        <v>512.93384708180304</v>
      </c>
      <c r="G41" s="6">
        <f t="shared" si="15"/>
        <v>32931.383222495155</v>
      </c>
      <c r="H41" s="6">
        <f t="shared" si="16"/>
        <v>17298.096164779286</v>
      </c>
      <c r="I41" s="6">
        <f t="shared" si="17"/>
        <v>50229.479387274412</v>
      </c>
      <c r="J41" s="6">
        <f t="shared" si="18"/>
        <v>232701.90383522015</v>
      </c>
    </row>
    <row r="42" spans="1:10" x14ac:dyDescent="0.25">
      <c r="A42">
        <f t="shared" si="10"/>
        <v>37</v>
      </c>
      <c r="B42" s="2">
        <f t="shared" ca="1" si="11"/>
        <v>43051</v>
      </c>
      <c r="C42" s="2" t="str">
        <f t="shared" ca="1" si="2"/>
        <v>listopad</v>
      </c>
      <c r="D42" s="6">
        <f t="shared" si="12"/>
        <v>1395.2633163131788</v>
      </c>
      <c r="E42" s="6">
        <f t="shared" si="13"/>
        <v>880.38886950991628</v>
      </c>
      <c r="F42" s="6">
        <f t="shared" si="14"/>
        <v>514.87444680326257</v>
      </c>
      <c r="G42" s="6">
        <f t="shared" si="15"/>
        <v>33811.772092005071</v>
      </c>
      <c r="H42" s="6">
        <f t="shared" si="16"/>
        <v>17812.97061158255</v>
      </c>
      <c r="I42" s="6">
        <f t="shared" si="17"/>
        <v>51624.742703587588</v>
      </c>
      <c r="J42" s="6">
        <f t="shared" si="18"/>
        <v>232187.02938841688</v>
      </c>
    </row>
    <row r="43" spans="1:10" x14ac:dyDescent="0.25">
      <c r="A43">
        <f t="shared" si="10"/>
        <v>38</v>
      </c>
      <c r="B43" s="2">
        <f t="shared" ca="1" si="11"/>
        <v>43081</v>
      </c>
      <c r="C43" s="2" t="str">
        <f t="shared" ca="1" si="2"/>
        <v>grudzień</v>
      </c>
      <c r="D43" s="6">
        <f t="shared" si="12"/>
        <v>1395.2633163131788</v>
      </c>
      <c r="E43" s="6">
        <f t="shared" si="13"/>
        <v>878.44092785284386</v>
      </c>
      <c r="F43" s="6">
        <f t="shared" si="14"/>
        <v>516.82238846033499</v>
      </c>
      <c r="G43" s="6">
        <f t="shared" si="15"/>
        <v>34690.213019857918</v>
      </c>
      <c r="H43" s="6">
        <f t="shared" si="16"/>
        <v>18329.793000042886</v>
      </c>
      <c r="I43" s="6">
        <f t="shared" si="17"/>
        <v>53020.006019900764</v>
      </c>
      <c r="J43" s="6">
        <f t="shared" si="18"/>
        <v>231670.20699995651</v>
      </c>
    </row>
    <row r="44" spans="1:10" x14ac:dyDescent="0.25">
      <c r="A44">
        <f t="shared" si="10"/>
        <v>39</v>
      </c>
      <c r="B44" s="2">
        <f t="shared" ca="1" si="11"/>
        <v>43112</v>
      </c>
      <c r="C44" s="2" t="str">
        <f t="shared" ca="1" si="2"/>
        <v>styczeń</v>
      </c>
      <c r="D44" s="6">
        <f t="shared" si="12"/>
        <v>1395.2633163131788</v>
      </c>
      <c r="E44" s="6">
        <f t="shared" si="13"/>
        <v>876.48561648316888</v>
      </c>
      <c r="F44" s="6">
        <f t="shared" si="14"/>
        <v>518.77769983000996</v>
      </c>
      <c r="G44" s="6">
        <f t="shared" si="15"/>
        <v>35566.698636341083</v>
      </c>
      <c r="H44" s="6">
        <f t="shared" si="16"/>
        <v>18848.570699872897</v>
      </c>
      <c r="I44" s="6">
        <f t="shared" si="17"/>
        <v>54415.26933621394</v>
      </c>
      <c r="J44" s="6">
        <f t="shared" si="18"/>
        <v>231151.42930012653</v>
      </c>
    </row>
    <row r="45" spans="1:10" x14ac:dyDescent="0.25">
      <c r="A45">
        <f t="shared" si="10"/>
        <v>40</v>
      </c>
      <c r="B45" s="2">
        <f t="shared" ca="1" si="11"/>
        <v>43143</v>
      </c>
      <c r="C45" s="2" t="str">
        <f t="shared" ca="1" si="2"/>
        <v>luty</v>
      </c>
      <c r="D45" s="6">
        <f t="shared" si="12"/>
        <v>1395.2633163131788</v>
      </c>
      <c r="E45" s="6">
        <f t="shared" si="13"/>
        <v>874.52290751881208</v>
      </c>
      <c r="F45" s="6">
        <f t="shared" si="14"/>
        <v>520.74040879436677</v>
      </c>
      <c r="G45" s="6">
        <f t="shared" si="15"/>
        <v>36441.221543859894</v>
      </c>
      <c r="H45" s="6">
        <f t="shared" si="16"/>
        <v>19369.311108667262</v>
      </c>
      <c r="I45" s="6">
        <f t="shared" si="17"/>
        <v>55810.532652527116</v>
      </c>
      <c r="J45" s="6">
        <f t="shared" si="18"/>
        <v>230630.68889133213</v>
      </c>
    </row>
    <row r="46" spans="1:10" x14ac:dyDescent="0.25">
      <c r="A46">
        <f t="shared" si="10"/>
        <v>41</v>
      </c>
      <c r="B46" s="2">
        <f t="shared" ca="1" si="11"/>
        <v>43171</v>
      </c>
      <c r="C46" s="2" t="str">
        <f t="shared" ca="1" si="2"/>
        <v>marzec</v>
      </c>
      <c r="D46" s="6">
        <f t="shared" si="12"/>
        <v>1395.2633163131788</v>
      </c>
      <c r="E46" s="6">
        <f t="shared" si="13"/>
        <v>872.55277297220664</v>
      </c>
      <c r="F46" s="6">
        <f t="shared" si="14"/>
        <v>522.71054334097221</v>
      </c>
      <c r="G46" s="6">
        <f t="shared" si="15"/>
        <v>37313.774316832103</v>
      </c>
      <c r="H46" s="6">
        <f t="shared" si="16"/>
        <v>19892.021652008232</v>
      </c>
      <c r="I46" s="6">
        <f t="shared" si="17"/>
        <v>57205.795968840292</v>
      </c>
      <c r="J46" s="6">
        <f t="shared" si="18"/>
        <v>230107.97834799116</v>
      </c>
    </row>
    <row r="47" spans="1:10" x14ac:dyDescent="0.25">
      <c r="A47">
        <f t="shared" si="10"/>
        <v>42</v>
      </c>
      <c r="B47" s="2">
        <f t="shared" ca="1" si="11"/>
        <v>43202</v>
      </c>
      <c r="C47" s="2" t="str">
        <f t="shared" ca="1" si="2"/>
        <v>kwiecień</v>
      </c>
      <c r="D47" s="6">
        <f t="shared" si="12"/>
        <v>1395.2633163131788</v>
      </c>
      <c r="E47" s="6">
        <f t="shared" si="13"/>
        <v>870.5751847498999</v>
      </c>
      <c r="F47" s="6">
        <f t="shared" si="14"/>
        <v>524.68813156327894</v>
      </c>
      <c r="G47" s="6">
        <f t="shared" si="15"/>
        <v>38184.349501582001</v>
      </c>
      <c r="H47" s="6">
        <f t="shared" si="16"/>
        <v>20416.70978357151</v>
      </c>
      <c r="I47" s="6">
        <f t="shared" si="17"/>
        <v>58601.059285153467</v>
      </c>
      <c r="J47" s="6">
        <f t="shared" si="18"/>
        <v>229583.29021642785</v>
      </c>
    </row>
    <row r="48" spans="1:10" x14ac:dyDescent="0.25">
      <c r="A48">
        <f t="shared" si="10"/>
        <v>43</v>
      </c>
      <c r="B48" s="2">
        <f t="shared" ca="1" si="11"/>
        <v>43232</v>
      </c>
      <c r="C48" s="2" t="str">
        <f t="shared" ca="1" si="2"/>
        <v>maj</v>
      </c>
      <c r="D48" s="6">
        <f t="shared" si="12"/>
        <v>1395.2633163131788</v>
      </c>
      <c r="E48" s="6">
        <f t="shared" si="13"/>
        <v>868.59011465215201</v>
      </c>
      <c r="F48" s="6">
        <f t="shared" si="14"/>
        <v>526.67320166102684</v>
      </c>
      <c r="G48" s="6">
        <f t="shared" si="15"/>
        <v>39052.939616234151</v>
      </c>
      <c r="H48" s="6">
        <f t="shared" si="16"/>
        <v>20943.382985232536</v>
      </c>
      <c r="I48" s="6">
        <f t="shared" si="17"/>
        <v>59996.322601466643</v>
      </c>
      <c r="J48" s="6">
        <f t="shared" si="18"/>
        <v>229056.61701476682</v>
      </c>
    </row>
    <row r="49" spans="1:10" x14ac:dyDescent="0.25">
      <c r="A49">
        <f t="shared" si="10"/>
        <v>44</v>
      </c>
      <c r="B49" s="2">
        <f t="shared" ca="1" si="11"/>
        <v>43263</v>
      </c>
      <c r="C49" s="2" t="str">
        <f t="shared" ca="1" si="2"/>
        <v>czerwiec</v>
      </c>
      <c r="D49" s="6">
        <f t="shared" si="12"/>
        <v>1395.2633163131788</v>
      </c>
      <c r="E49" s="6">
        <f t="shared" si="13"/>
        <v>866.59753437253448</v>
      </c>
      <c r="F49" s="6">
        <f t="shared" si="14"/>
        <v>528.66578194064437</v>
      </c>
      <c r="G49" s="6">
        <f t="shared" si="15"/>
        <v>39919.537150606688</v>
      </c>
      <c r="H49" s="6">
        <f t="shared" si="16"/>
        <v>21472.048767173179</v>
      </c>
      <c r="I49" s="6">
        <f t="shared" si="17"/>
        <v>61391.585917779819</v>
      </c>
      <c r="J49" s="6">
        <f t="shared" si="18"/>
        <v>228527.95123282616</v>
      </c>
    </row>
    <row r="50" spans="1:10" x14ac:dyDescent="0.25">
      <c r="A50">
        <f t="shared" si="10"/>
        <v>45</v>
      </c>
      <c r="B50" s="2">
        <f t="shared" ca="1" si="11"/>
        <v>43293</v>
      </c>
      <c r="C50" s="2" t="str">
        <f t="shared" ca="1" si="2"/>
        <v>lipiec</v>
      </c>
      <c r="D50" s="6">
        <f t="shared" si="12"/>
        <v>1395.2633163131788</v>
      </c>
      <c r="E50" s="6">
        <f t="shared" si="13"/>
        <v>864.59741549752573</v>
      </c>
      <c r="F50" s="6">
        <f t="shared" si="14"/>
        <v>530.66590081565312</v>
      </c>
      <c r="G50" s="6">
        <f t="shared" si="15"/>
        <v>40784.134566104214</v>
      </c>
      <c r="H50" s="6">
        <f t="shared" si="16"/>
        <v>22002.714667988832</v>
      </c>
      <c r="I50" s="6">
        <f t="shared" si="17"/>
        <v>62786.849234092995</v>
      </c>
      <c r="J50" s="6">
        <f t="shared" si="18"/>
        <v>227997.28533201051</v>
      </c>
    </row>
    <row r="51" spans="1:10" x14ac:dyDescent="0.25">
      <c r="A51">
        <f t="shared" si="10"/>
        <v>46</v>
      </c>
      <c r="B51" s="2">
        <f t="shared" ca="1" si="11"/>
        <v>43324</v>
      </c>
      <c r="C51" s="2" t="str">
        <f t="shared" ca="1" si="2"/>
        <v>sierpień</v>
      </c>
      <c r="D51" s="6">
        <f t="shared" si="12"/>
        <v>1395.2633163131788</v>
      </c>
      <c r="E51" s="6">
        <f t="shared" si="13"/>
        <v>862.58972950610644</v>
      </c>
      <c r="F51" s="6">
        <f t="shared" si="14"/>
        <v>532.67358680707241</v>
      </c>
      <c r="G51" s="6">
        <f t="shared" si="15"/>
        <v>41646.724295610322</v>
      </c>
      <c r="H51" s="6">
        <f t="shared" si="16"/>
        <v>22535.388254795904</v>
      </c>
      <c r="I51" s="6">
        <f t="shared" si="17"/>
        <v>64182.112550406171</v>
      </c>
      <c r="J51" s="6">
        <f t="shared" si="18"/>
        <v>227464.61174520341</v>
      </c>
    </row>
    <row r="52" spans="1:10" x14ac:dyDescent="0.25">
      <c r="A52">
        <f t="shared" si="10"/>
        <v>47</v>
      </c>
      <c r="B52" s="2">
        <f t="shared" ca="1" si="11"/>
        <v>43355</v>
      </c>
      <c r="C52" s="2" t="str">
        <f t="shared" ca="1" si="2"/>
        <v>wrzesień</v>
      </c>
      <c r="D52" s="6">
        <f t="shared" si="12"/>
        <v>1395.2633163131788</v>
      </c>
      <c r="E52" s="6">
        <f t="shared" si="13"/>
        <v>860.5744477693529</v>
      </c>
      <c r="F52" s="6">
        <f t="shared" si="14"/>
        <v>534.68886854382595</v>
      </c>
      <c r="G52" s="6">
        <f t="shared" si="15"/>
        <v>42507.298743379673</v>
      </c>
      <c r="H52" s="6">
        <f t="shared" si="16"/>
        <v>23070.077123339728</v>
      </c>
      <c r="I52" s="6">
        <f t="shared" si="17"/>
        <v>65577.375866719347</v>
      </c>
      <c r="J52" s="6">
        <f t="shared" si="18"/>
        <v>226929.92287665955</v>
      </c>
    </row>
    <row r="53" spans="1:10" x14ac:dyDescent="0.25">
      <c r="A53">
        <f t="shared" si="10"/>
        <v>48</v>
      </c>
      <c r="B53" s="2">
        <f t="shared" ca="1" si="11"/>
        <v>43385</v>
      </c>
      <c r="C53" s="2" t="str">
        <f t="shared" ca="1" si="2"/>
        <v>październik</v>
      </c>
      <c r="D53" s="6">
        <f t="shared" si="12"/>
        <v>1395.2633163131788</v>
      </c>
      <c r="E53" s="6">
        <f t="shared" si="13"/>
        <v>858.55154155002867</v>
      </c>
      <c r="F53" s="6">
        <f t="shared" si="14"/>
        <v>536.71177476315017</v>
      </c>
      <c r="G53" s="6">
        <f t="shared" si="15"/>
        <v>43365.8502849297</v>
      </c>
      <c r="H53" s="6">
        <f t="shared" si="16"/>
        <v>23606.788898102877</v>
      </c>
      <c r="I53" s="6">
        <f t="shared" si="17"/>
        <v>66972.63918303253</v>
      </c>
      <c r="J53" s="6">
        <f t="shared" si="18"/>
        <v>226393.21110189642</v>
      </c>
    </row>
    <row r="54" spans="1:10" x14ac:dyDescent="0.25">
      <c r="A54">
        <f t="shared" si="10"/>
        <v>49</v>
      </c>
      <c r="B54" s="2">
        <f t="shared" ca="1" si="11"/>
        <v>43416</v>
      </c>
      <c r="C54" s="2" t="str">
        <f t="shared" ca="1" si="2"/>
        <v>listopad</v>
      </c>
      <c r="D54" s="6">
        <f t="shared" si="12"/>
        <v>1395.2633163131788</v>
      </c>
      <c r="E54" s="6">
        <f t="shared" si="13"/>
        <v>856.52098200217495</v>
      </c>
      <c r="F54" s="6">
        <f t="shared" si="14"/>
        <v>538.7423343110039</v>
      </c>
      <c r="G54" s="6">
        <f t="shared" si="15"/>
        <v>44222.371266931877</v>
      </c>
      <c r="H54" s="6">
        <f t="shared" si="16"/>
        <v>24145.531232413879</v>
      </c>
      <c r="I54" s="6">
        <f t="shared" si="17"/>
        <v>68367.902499345713</v>
      </c>
      <c r="J54" s="6">
        <f t="shared" si="18"/>
        <v>225854.46876758541</v>
      </c>
    </row>
    <row r="55" spans="1:10" x14ac:dyDescent="0.25">
      <c r="A55">
        <f t="shared" si="10"/>
        <v>50</v>
      </c>
      <c r="B55" s="2">
        <f t="shared" ca="1" si="11"/>
        <v>43446</v>
      </c>
      <c r="C55" s="2" t="str">
        <f t="shared" ca="1" si="2"/>
        <v>grudzień</v>
      </c>
      <c r="D55" s="6">
        <f t="shared" si="12"/>
        <v>1395.2633163131788</v>
      </c>
      <c r="E55" s="6">
        <f t="shared" si="13"/>
        <v>854.48274017069809</v>
      </c>
      <c r="F55" s="6">
        <f t="shared" si="14"/>
        <v>540.78057614248075</v>
      </c>
      <c r="G55" s="6">
        <f t="shared" si="15"/>
        <v>45076.854007102578</v>
      </c>
      <c r="H55" s="6">
        <f t="shared" si="16"/>
        <v>24686.311808556362</v>
      </c>
      <c r="I55" s="6">
        <f t="shared" si="17"/>
        <v>69763.165815658896</v>
      </c>
      <c r="J55" s="6">
        <f t="shared" si="18"/>
        <v>225313.68819144287</v>
      </c>
    </row>
    <row r="56" spans="1:10" x14ac:dyDescent="0.25">
      <c r="A56">
        <f t="shared" si="10"/>
        <v>51</v>
      </c>
      <c r="B56" s="2">
        <f t="shared" ca="1" si="11"/>
        <v>43477</v>
      </c>
      <c r="C56" s="2" t="str">
        <f t="shared" ca="1" si="2"/>
        <v>styczeń</v>
      </c>
      <c r="D56" s="6">
        <f t="shared" si="12"/>
        <v>1395.2633163131788</v>
      </c>
      <c r="E56" s="6">
        <f t="shared" si="13"/>
        <v>852.43678699095892</v>
      </c>
      <c r="F56" s="6">
        <f t="shared" si="14"/>
        <v>542.82652932221993</v>
      </c>
      <c r="G56" s="6">
        <f t="shared" si="15"/>
        <v>45929.29079409354</v>
      </c>
      <c r="H56" s="6">
        <f t="shared" si="16"/>
        <v>25229.138337878583</v>
      </c>
      <c r="I56" s="6">
        <f t="shared" si="17"/>
        <v>71158.42913197208</v>
      </c>
      <c r="J56" s="6">
        <f t="shared" si="18"/>
        <v>224770.86166212067</v>
      </c>
    </row>
    <row r="57" spans="1:10" x14ac:dyDescent="0.25">
      <c r="A57">
        <f t="shared" si="10"/>
        <v>52</v>
      </c>
      <c r="B57" s="2">
        <f t="shared" ca="1" si="11"/>
        <v>43508</v>
      </c>
      <c r="C57" s="2" t="str">
        <f t="shared" ca="1" si="2"/>
        <v>luty</v>
      </c>
      <c r="D57" s="6">
        <f t="shared" si="12"/>
        <v>1395.2633163131788</v>
      </c>
      <c r="E57" s="6">
        <f t="shared" si="13"/>
        <v>850.38309328835658</v>
      </c>
      <c r="F57" s="6">
        <f t="shared" si="14"/>
        <v>544.88022302482227</v>
      </c>
      <c r="G57" s="6">
        <f t="shared" si="15"/>
        <v>46779.673887381898</v>
      </c>
      <c r="H57" s="6">
        <f t="shared" si="16"/>
        <v>25774.018560903405</v>
      </c>
      <c r="I57" s="6">
        <f t="shared" si="17"/>
        <v>72553.692448285263</v>
      </c>
      <c r="J57" s="6">
        <f t="shared" si="18"/>
        <v>224225.98143909581</v>
      </c>
    </row>
    <row r="58" spans="1:10" x14ac:dyDescent="0.25">
      <c r="A58">
        <f t="shared" si="10"/>
        <v>53</v>
      </c>
      <c r="B58" s="2">
        <f t="shared" ca="1" si="11"/>
        <v>43536</v>
      </c>
      <c r="C58" s="2" t="str">
        <f t="shared" ca="1" si="2"/>
        <v>marzec</v>
      </c>
      <c r="D58" s="6">
        <f t="shared" si="12"/>
        <v>1395.2633163131788</v>
      </c>
      <c r="E58" s="6">
        <f t="shared" si="13"/>
        <v>848.32162977791256</v>
      </c>
      <c r="F58" s="6">
        <f t="shared" si="14"/>
        <v>546.94168653526629</v>
      </c>
      <c r="G58" s="6">
        <f t="shared" si="15"/>
        <v>47627.995517159812</v>
      </c>
      <c r="H58" s="6">
        <f t="shared" si="16"/>
        <v>26320.96024743867</v>
      </c>
      <c r="I58" s="6">
        <f t="shared" si="17"/>
        <v>73948.955764598446</v>
      </c>
      <c r="J58" s="6">
        <f t="shared" si="18"/>
        <v>223679.03975256055</v>
      </c>
    </row>
    <row r="59" spans="1:10" x14ac:dyDescent="0.25">
      <c r="A59">
        <f t="shared" si="10"/>
        <v>54</v>
      </c>
      <c r="B59" s="2">
        <f t="shared" ca="1" si="11"/>
        <v>43567</v>
      </c>
      <c r="C59" s="2" t="str">
        <f t="shared" ca="1" si="2"/>
        <v>kwiecień</v>
      </c>
      <c r="D59" s="6">
        <f t="shared" si="12"/>
        <v>1395.2633163131788</v>
      </c>
      <c r="E59" s="6">
        <f t="shared" si="13"/>
        <v>846.25236706385419</v>
      </c>
      <c r="F59" s="6">
        <f t="shared" si="14"/>
        <v>549.01094924932465</v>
      </c>
      <c r="G59" s="6">
        <f t="shared" si="15"/>
        <v>48474.247884223667</v>
      </c>
      <c r="H59" s="6">
        <f t="shared" si="16"/>
        <v>26869.971196687995</v>
      </c>
      <c r="I59" s="6">
        <f t="shared" si="17"/>
        <v>75344.219080911629</v>
      </c>
      <c r="J59" s="6">
        <f t="shared" si="18"/>
        <v>223130.0288033112</v>
      </c>
    </row>
    <row r="60" spans="1:10" x14ac:dyDescent="0.25">
      <c r="A60">
        <f t="shared" si="10"/>
        <v>55</v>
      </c>
      <c r="B60" s="2">
        <f t="shared" ca="1" si="11"/>
        <v>43597</v>
      </c>
      <c r="C60" s="2" t="str">
        <f t="shared" ca="1" si="2"/>
        <v>maj</v>
      </c>
      <c r="D60" s="6">
        <f t="shared" si="12"/>
        <v>1395.2633163131788</v>
      </c>
      <c r="E60" s="6">
        <f t="shared" si="13"/>
        <v>844.17527563919418</v>
      </c>
      <c r="F60" s="6">
        <f t="shared" si="14"/>
        <v>551.08804067398466</v>
      </c>
      <c r="G60" s="6">
        <f t="shared" si="15"/>
        <v>49318.423159862861</v>
      </c>
      <c r="H60" s="6">
        <f t="shared" si="16"/>
        <v>27421.05923736198</v>
      </c>
      <c r="I60" s="6">
        <f t="shared" si="17"/>
        <v>76739.482397224812</v>
      </c>
      <c r="J60" s="6">
        <f t="shared" si="18"/>
        <v>222578.94076263721</v>
      </c>
    </row>
    <row r="61" spans="1:10" x14ac:dyDescent="0.25">
      <c r="A61">
        <f t="shared" si="10"/>
        <v>56</v>
      </c>
      <c r="B61" s="2">
        <f t="shared" ca="1" si="11"/>
        <v>43628</v>
      </c>
      <c r="C61" s="2" t="str">
        <f t="shared" ca="1" si="2"/>
        <v>czerwiec</v>
      </c>
      <c r="D61" s="6">
        <f t="shared" si="12"/>
        <v>1395.2633163131788</v>
      </c>
      <c r="E61" s="6">
        <f t="shared" si="13"/>
        <v>842.0903258853109</v>
      </c>
      <c r="F61" s="6">
        <f t="shared" si="14"/>
        <v>553.17299042786794</v>
      </c>
      <c r="G61" s="6">
        <f t="shared" si="15"/>
        <v>50160.513485748175</v>
      </c>
      <c r="H61" s="6">
        <f t="shared" si="16"/>
        <v>27974.232227789849</v>
      </c>
      <c r="I61" s="6">
        <f t="shared" si="17"/>
        <v>78134.745713537995</v>
      </c>
      <c r="J61" s="6">
        <f t="shared" si="18"/>
        <v>222025.76777220936</v>
      </c>
    </row>
    <row r="62" spans="1:10" x14ac:dyDescent="0.25">
      <c r="A62">
        <f t="shared" si="10"/>
        <v>57</v>
      </c>
      <c r="B62" s="2">
        <f t="shared" ca="1" si="11"/>
        <v>43658</v>
      </c>
      <c r="C62" s="2" t="str">
        <f t="shared" ca="1" si="2"/>
        <v>lipiec</v>
      </c>
      <c r="D62" s="6">
        <f t="shared" si="12"/>
        <v>1395.2633163131788</v>
      </c>
      <c r="E62" s="6">
        <f t="shared" si="13"/>
        <v>839.99748807152548</v>
      </c>
      <c r="F62" s="6">
        <f t="shared" si="14"/>
        <v>555.26582824165337</v>
      </c>
      <c r="G62" s="6">
        <f t="shared" si="15"/>
        <v>51000.510973819699</v>
      </c>
      <c r="H62" s="6">
        <f t="shared" si="16"/>
        <v>28529.498056031502</v>
      </c>
      <c r="I62" s="6">
        <f t="shared" si="17"/>
        <v>79530.009029851179</v>
      </c>
      <c r="J62" s="6">
        <f t="shared" si="18"/>
        <v>221470.50194396768</v>
      </c>
    </row>
    <row r="63" spans="1:10" x14ac:dyDescent="0.25">
      <c r="A63">
        <f t="shared" si="10"/>
        <v>58</v>
      </c>
      <c r="B63" s="2">
        <f t="shared" ca="1" si="11"/>
        <v>43689</v>
      </c>
      <c r="C63" s="2" t="str">
        <f t="shared" ca="1" si="2"/>
        <v>sierpień</v>
      </c>
      <c r="D63" s="6">
        <f t="shared" si="12"/>
        <v>1395.2633163131788</v>
      </c>
      <c r="E63" s="6">
        <f t="shared" si="13"/>
        <v>837.89673235467774</v>
      </c>
      <c r="F63" s="6">
        <f t="shared" si="14"/>
        <v>557.36658395850111</v>
      </c>
      <c r="G63" s="6">
        <f t="shared" si="15"/>
        <v>51838.407706174374</v>
      </c>
      <c r="H63" s="6">
        <f t="shared" si="16"/>
        <v>29086.864639990003</v>
      </c>
      <c r="I63" s="6">
        <f t="shared" si="17"/>
        <v>80925.272346164362</v>
      </c>
      <c r="J63" s="6">
        <f t="shared" si="18"/>
        <v>220913.13536000915</v>
      </c>
    </row>
    <row r="64" spans="1:10" x14ac:dyDescent="0.25">
      <c r="A64">
        <f t="shared" si="10"/>
        <v>59</v>
      </c>
      <c r="B64" s="2">
        <f t="shared" ca="1" si="11"/>
        <v>43720</v>
      </c>
      <c r="C64" s="2" t="str">
        <f t="shared" ca="1" si="2"/>
        <v>wrzesień</v>
      </c>
      <c r="D64" s="6">
        <f t="shared" si="12"/>
        <v>1395.2633163131788</v>
      </c>
      <c r="E64" s="6">
        <f t="shared" si="13"/>
        <v>835.78802877870146</v>
      </c>
      <c r="F64" s="6">
        <f t="shared" si="14"/>
        <v>559.47528753447739</v>
      </c>
      <c r="G64" s="6">
        <f t="shared" si="15"/>
        <v>52674.195734953078</v>
      </c>
      <c r="H64" s="6">
        <f t="shared" si="16"/>
        <v>29646.339927524481</v>
      </c>
      <c r="I64" s="6">
        <f t="shared" si="17"/>
        <v>82320.535662477545</v>
      </c>
      <c r="J64" s="6">
        <f t="shared" si="18"/>
        <v>220353.66007247465</v>
      </c>
    </row>
    <row r="65" spans="1:10" x14ac:dyDescent="0.25">
      <c r="A65">
        <f t="shared" si="10"/>
        <v>60</v>
      </c>
      <c r="B65" s="2">
        <f t="shared" ca="1" si="11"/>
        <v>43750</v>
      </c>
      <c r="C65" s="2" t="str">
        <f t="shared" ca="1" si="2"/>
        <v>październik</v>
      </c>
      <c r="D65" s="6">
        <f t="shared" si="12"/>
        <v>1395.2633163131788</v>
      </c>
      <c r="E65" s="6">
        <f t="shared" si="13"/>
        <v>833.6713472741958</v>
      </c>
      <c r="F65" s="6">
        <f t="shared" si="14"/>
        <v>561.59196903898305</v>
      </c>
      <c r="G65" s="6">
        <f t="shared" si="15"/>
        <v>53507.867082227276</v>
      </c>
      <c r="H65" s="6">
        <f t="shared" si="16"/>
        <v>30207.931896563463</v>
      </c>
      <c r="I65" s="6">
        <f t="shared" si="17"/>
        <v>83715.798978790728</v>
      </c>
      <c r="J65" s="6">
        <f t="shared" si="18"/>
        <v>219792.06810343565</v>
      </c>
    </row>
    <row r="66" spans="1:10" x14ac:dyDescent="0.25">
      <c r="A66">
        <f t="shared" si="10"/>
        <v>61</v>
      </c>
      <c r="B66" s="2">
        <f t="shared" ca="1" si="11"/>
        <v>43781</v>
      </c>
      <c r="C66" s="2" t="str">
        <f t="shared" ca="1" si="2"/>
        <v>listopad</v>
      </c>
      <c r="D66" s="6">
        <f t="shared" si="12"/>
        <v>1395.2633163131788</v>
      </c>
      <c r="E66" s="6">
        <f t="shared" si="13"/>
        <v>831.54665765799825</v>
      </c>
      <c r="F66" s="6">
        <f t="shared" si="14"/>
        <v>563.71665865518059</v>
      </c>
      <c r="G66" s="6">
        <f t="shared" si="15"/>
        <v>54339.413739885276</v>
      </c>
      <c r="H66" s="6">
        <f t="shared" si="16"/>
        <v>30771.648555218642</v>
      </c>
      <c r="I66" s="6">
        <f t="shared" si="17"/>
        <v>85111.062295103911</v>
      </c>
      <c r="J66" s="6">
        <f t="shared" si="18"/>
        <v>219228.35144478048</v>
      </c>
    </row>
    <row r="67" spans="1:10" x14ac:dyDescent="0.25">
      <c r="A67">
        <f t="shared" si="10"/>
        <v>62</v>
      </c>
      <c r="B67" s="2">
        <f t="shared" ca="1" si="11"/>
        <v>43811</v>
      </c>
      <c r="C67" s="2" t="str">
        <f t="shared" ca="1" si="2"/>
        <v>grudzień</v>
      </c>
      <c r="D67" s="6">
        <f t="shared" si="12"/>
        <v>1395.2633163131788</v>
      </c>
      <c r="E67" s="6">
        <f t="shared" si="13"/>
        <v>829.41392963275291</v>
      </c>
      <c r="F67" s="6">
        <f t="shared" si="14"/>
        <v>565.84938668042594</v>
      </c>
      <c r="G67" s="6">
        <f t="shared" si="15"/>
        <v>55168.827669518032</v>
      </c>
      <c r="H67" s="6">
        <f t="shared" si="16"/>
        <v>31337.49794189907</v>
      </c>
      <c r="I67" s="6">
        <f t="shared" si="17"/>
        <v>86506.325611417094</v>
      </c>
      <c r="J67" s="6">
        <f t="shared" si="18"/>
        <v>218662.50205810004</v>
      </c>
    </row>
    <row r="68" spans="1:10" x14ac:dyDescent="0.25">
      <c r="A68">
        <f t="shared" si="10"/>
        <v>63</v>
      </c>
      <c r="B68" s="2">
        <f t="shared" ca="1" si="11"/>
        <v>43842</v>
      </c>
      <c r="C68" s="2" t="str">
        <f t="shared" ca="1" si="2"/>
        <v>styczeń</v>
      </c>
      <c r="D68" s="6">
        <f t="shared" si="12"/>
        <v>1395.2633163131788</v>
      </c>
      <c r="E68" s="6">
        <f t="shared" si="13"/>
        <v>827.27313278647853</v>
      </c>
      <c r="F68" s="6">
        <f t="shared" si="14"/>
        <v>567.99018352670032</v>
      </c>
      <c r="G68" s="6">
        <f t="shared" si="15"/>
        <v>55996.100802304514</v>
      </c>
      <c r="H68" s="6">
        <f t="shared" si="16"/>
        <v>31905.488125425771</v>
      </c>
      <c r="I68" s="6">
        <f t="shared" si="17"/>
        <v>87901.588927730278</v>
      </c>
      <c r="J68" s="6">
        <f t="shared" si="18"/>
        <v>218094.51187457333</v>
      </c>
    </row>
    <row r="69" spans="1:10" x14ac:dyDescent="0.25">
      <c r="A69">
        <f t="shared" si="10"/>
        <v>64</v>
      </c>
      <c r="B69" s="2">
        <f t="shared" ca="1" si="11"/>
        <v>43873</v>
      </c>
      <c r="C69" s="2" t="str">
        <f t="shared" ca="1" si="2"/>
        <v>luty</v>
      </c>
      <c r="D69" s="6">
        <f t="shared" si="12"/>
        <v>1395.2633163131788</v>
      </c>
      <c r="E69" s="6">
        <f t="shared" si="13"/>
        <v>825.12423659213584</v>
      </c>
      <c r="F69" s="6">
        <f t="shared" si="14"/>
        <v>570.139079721043</v>
      </c>
      <c r="G69" s="6">
        <f t="shared" si="15"/>
        <v>56821.225038896649</v>
      </c>
      <c r="H69" s="6">
        <f t="shared" si="16"/>
        <v>32475.627205146815</v>
      </c>
      <c r="I69" s="6">
        <f t="shared" si="17"/>
        <v>89296.852244043461</v>
      </c>
      <c r="J69" s="6">
        <f t="shared" si="18"/>
        <v>217524.3727948523</v>
      </c>
    </row>
    <row r="70" spans="1:10" x14ac:dyDescent="0.25">
      <c r="A70">
        <f t="shared" si="10"/>
        <v>65</v>
      </c>
      <c r="B70" s="2">
        <f t="shared" ca="1" si="11"/>
        <v>43902</v>
      </c>
      <c r="C70" s="2" t="str">
        <f t="shared" ca="1" si="2"/>
        <v>marzec</v>
      </c>
      <c r="D70" s="6">
        <f t="shared" si="12"/>
        <v>1395.2633163131788</v>
      </c>
      <c r="E70" s="6">
        <f t="shared" si="13"/>
        <v>822.96721040719115</v>
      </c>
      <c r="F70" s="6">
        <f t="shared" si="14"/>
        <v>572.2961059059877</v>
      </c>
      <c r="G70" s="6">
        <f t="shared" si="15"/>
        <v>57644.192249303844</v>
      </c>
      <c r="H70" s="6">
        <f t="shared" si="16"/>
        <v>33047.9233110528</v>
      </c>
      <c r="I70" s="6">
        <f t="shared" si="17"/>
        <v>90692.115560356644</v>
      </c>
      <c r="J70" s="6">
        <f t="shared" si="18"/>
        <v>216952.07668894628</v>
      </c>
    </row>
    <row r="71" spans="1:10" x14ac:dyDescent="0.25">
      <c r="A71">
        <f t="shared" si="10"/>
        <v>66</v>
      </c>
      <c r="B71" s="2">
        <f t="shared" ca="1" si="11"/>
        <v>43933</v>
      </c>
      <c r="C71" s="2" t="str">
        <f t="shared" ref="C71:C134" ca="1" si="19">TEXT(B71,"mmmm")</f>
        <v>kwiecień</v>
      </c>
      <c r="D71" s="6">
        <f t="shared" si="12"/>
        <v>1395.2633163131788</v>
      </c>
      <c r="E71" s="6">
        <f t="shared" si="13"/>
        <v>820.80202347318016</v>
      </c>
      <c r="F71" s="6">
        <f t="shared" si="14"/>
        <v>574.46129283999869</v>
      </c>
      <c r="G71" s="6">
        <f t="shared" si="15"/>
        <v>58464.994272777025</v>
      </c>
      <c r="H71" s="6">
        <f t="shared" si="16"/>
        <v>33622.384603892802</v>
      </c>
      <c r="I71" s="6">
        <f t="shared" si="17"/>
        <v>92087.378876669827</v>
      </c>
      <c r="J71" s="6">
        <f t="shared" si="18"/>
        <v>216377.61539610627</v>
      </c>
    </row>
    <row r="72" spans="1:10" x14ac:dyDescent="0.25">
      <c r="A72">
        <f t="shared" si="10"/>
        <v>67</v>
      </c>
      <c r="B72" s="2">
        <f t="shared" ca="1" si="11"/>
        <v>43963</v>
      </c>
      <c r="C72" s="2" t="str">
        <f t="shared" ca="1" si="19"/>
        <v>maj</v>
      </c>
      <c r="D72" s="6">
        <f t="shared" si="12"/>
        <v>1395.2633163131788</v>
      </c>
      <c r="E72" s="6">
        <f t="shared" si="13"/>
        <v>818.62864491526886</v>
      </c>
      <c r="F72" s="6">
        <f t="shared" si="14"/>
        <v>576.63467139790998</v>
      </c>
      <c r="G72" s="6">
        <f t="shared" si="15"/>
        <v>59283.622917692293</v>
      </c>
      <c r="H72" s="6">
        <f t="shared" si="16"/>
        <v>34199.01927529071</v>
      </c>
      <c r="I72" s="6">
        <f t="shared" si="17"/>
        <v>93482.64219298301</v>
      </c>
      <c r="J72" s="6">
        <f t="shared" si="18"/>
        <v>215800.98072470832</v>
      </c>
    </row>
    <row r="73" spans="1:10" x14ac:dyDescent="0.25">
      <c r="A73">
        <f t="shared" si="10"/>
        <v>68</v>
      </c>
      <c r="B73" s="2">
        <f t="shared" ca="1" si="11"/>
        <v>43994</v>
      </c>
      <c r="C73" s="2" t="str">
        <f t="shared" ca="1" si="19"/>
        <v>czerwiec</v>
      </c>
      <c r="D73" s="6">
        <f t="shared" si="12"/>
        <v>1395.2633163131788</v>
      </c>
      <c r="E73" s="6">
        <f t="shared" si="13"/>
        <v>816.44704374181322</v>
      </c>
      <c r="F73" s="6">
        <f t="shared" si="14"/>
        <v>578.81627257136563</v>
      </c>
      <c r="G73" s="6">
        <f t="shared" si="15"/>
        <v>60100.069961434107</v>
      </c>
      <c r="H73" s="6">
        <f t="shared" si="16"/>
        <v>34777.835547862072</v>
      </c>
      <c r="I73" s="6">
        <f t="shared" si="17"/>
        <v>94877.905509296193</v>
      </c>
      <c r="J73" s="6">
        <f t="shared" si="18"/>
        <v>215222.16445213696</v>
      </c>
    </row>
    <row r="74" spans="1:10" x14ac:dyDescent="0.25">
      <c r="A74">
        <f t="shared" si="10"/>
        <v>69</v>
      </c>
      <c r="B74" s="2">
        <f t="shared" ca="1" si="11"/>
        <v>44024</v>
      </c>
      <c r="C74" s="2" t="str">
        <f t="shared" ca="1" si="19"/>
        <v>lipiec</v>
      </c>
      <c r="D74" s="6">
        <f t="shared" si="12"/>
        <v>1395.2633163131788</v>
      </c>
      <c r="E74" s="6">
        <f t="shared" si="13"/>
        <v>814.25718884391824</v>
      </c>
      <c r="F74" s="6">
        <f t="shared" si="14"/>
        <v>581.0061274692606</v>
      </c>
      <c r="G74" s="6">
        <f t="shared" si="15"/>
        <v>60914.327150278026</v>
      </c>
      <c r="H74" s="6">
        <f t="shared" si="16"/>
        <v>35358.841675331336</v>
      </c>
      <c r="I74" s="6">
        <f t="shared" si="17"/>
        <v>96273.168825609377</v>
      </c>
      <c r="J74" s="6">
        <f t="shared" si="18"/>
        <v>214641.15832466766</v>
      </c>
    </row>
    <row r="75" spans="1:10" x14ac:dyDescent="0.25">
      <c r="A75">
        <f t="shared" si="10"/>
        <v>70</v>
      </c>
      <c r="B75" s="2">
        <f t="shared" ca="1" si="11"/>
        <v>44055</v>
      </c>
      <c r="C75" s="2" t="str">
        <f t="shared" ca="1" si="19"/>
        <v>sierpień</v>
      </c>
      <c r="D75" s="6">
        <f t="shared" si="12"/>
        <v>1395.2633163131788</v>
      </c>
      <c r="E75" s="6">
        <f t="shared" si="13"/>
        <v>812.05904899499274</v>
      </c>
      <c r="F75" s="6">
        <f t="shared" si="14"/>
        <v>583.20426731818611</v>
      </c>
      <c r="G75" s="6">
        <f t="shared" si="15"/>
        <v>61726.386199273016</v>
      </c>
      <c r="H75" s="6">
        <f t="shared" si="16"/>
        <v>35942.045942649522</v>
      </c>
      <c r="I75" s="6">
        <f t="shared" si="17"/>
        <v>97668.43214192256</v>
      </c>
      <c r="J75" s="6">
        <f t="shared" si="18"/>
        <v>214057.95405734947</v>
      </c>
    </row>
    <row r="76" spans="1:10" x14ac:dyDescent="0.25">
      <c r="A76">
        <f t="shared" si="10"/>
        <v>71</v>
      </c>
      <c r="B76" s="2">
        <f t="shared" ca="1" si="11"/>
        <v>44086</v>
      </c>
      <c r="C76" s="2" t="str">
        <f t="shared" ca="1" si="19"/>
        <v>wrzesień</v>
      </c>
      <c r="D76" s="6">
        <f t="shared" si="12"/>
        <v>1395.2633163131788</v>
      </c>
      <c r="E76" s="6">
        <f t="shared" si="13"/>
        <v>809.85259285030554</v>
      </c>
      <c r="F76" s="6">
        <f t="shared" si="14"/>
        <v>585.41072346287331</v>
      </c>
      <c r="G76" s="6">
        <f t="shared" si="15"/>
        <v>62536.238792123324</v>
      </c>
      <c r="H76" s="6">
        <f t="shared" si="16"/>
        <v>36527.456666112397</v>
      </c>
      <c r="I76" s="6">
        <f t="shared" si="17"/>
        <v>99063.695458235743</v>
      </c>
      <c r="J76" s="6">
        <f t="shared" si="18"/>
        <v>213472.5433338866</v>
      </c>
    </row>
    <row r="77" spans="1:10" x14ac:dyDescent="0.25">
      <c r="A77">
        <f t="shared" si="10"/>
        <v>72</v>
      </c>
      <c r="B77" s="2">
        <f t="shared" ca="1" si="11"/>
        <v>44116</v>
      </c>
      <c r="C77" s="2" t="str">
        <f t="shared" ca="1" si="19"/>
        <v>październik</v>
      </c>
      <c r="D77" s="6">
        <f t="shared" si="12"/>
        <v>1395.2633163131788</v>
      </c>
      <c r="E77" s="6">
        <f t="shared" si="13"/>
        <v>807.63778894653763</v>
      </c>
      <c r="F77" s="6">
        <f t="shared" si="14"/>
        <v>587.62552736664122</v>
      </c>
      <c r="G77" s="6">
        <f t="shared" si="15"/>
        <v>63343.876581069861</v>
      </c>
      <c r="H77" s="6">
        <f t="shared" si="16"/>
        <v>37115.082193479037</v>
      </c>
      <c r="I77" s="6">
        <f t="shared" si="17"/>
        <v>100458.95877454893</v>
      </c>
      <c r="J77" s="6">
        <f t="shared" si="18"/>
        <v>212884.91780651995</v>
      </c>
    </row>
    <row r="78" spans="1:10" x14ac:dyDescent="0.25">
      <c r="A78">
        <f t="shared" si="10"/>
        <v>73</v>
      </c>
      <c r="B78" s="2">
        <f t="shared" ca="1" si="11"/>
        <v>44147</v>
      </c>
      <c r="C78" s="2" t="str">
        <f t="shared" ca="1" si="19"/>
        <v>listopad</v>
      </c>
      <c r="D78" s="6">
        <f t="shared" si="12"/>
        <v>1395.2633163131788</v>
      </c>
      <c r="E78" s="6">
        <f t="shared" si="13"/>
        <v>805.41460570133393</v>
      </c>
      <c r="F78" s="6">
        <f t="shared" si="14"/>
        <v>589.84871061184492</v>
      </c>
      <c r="G78" s="6">
        <f t="shared" si="15"/>
        <v>64149.291186771195</v>
      </c>
      <c r="H78" s="6">
        <f t="shared" si="16"/>
        <v>37704.930904090885</v>
      </c>
      <c r="I78" s="6">
        <f t="shared" si="17"/>
        <v>101854.22209086211</v>
      </c>
      <c r="J78" s="6">
        <f t="shared" si="18"/>
        <v>212295.06909590811</v>
      </c>
    </row>
    <row r="79" spans="1:10" x14ac:dyDescent="0.25">
      <c r="A79">
        <f t="shared" si="10"/>
        <v>74</v>
      </c>
      <c r="B79" s="2">
        <f t="shared" ca="1" si="11"/>
        <v>44177</v>
      </c>
      <c r="C79" s="2" t="str">
        <f t="shared" ca="1" si="19"/>
        <v>grudzień</v>
      </c>
      <c r="D79" s="6">
        <f t="shared" si="12"/>
        <v>1395.2633163131788</v>
      </c>
      <c r="E79" s="6">
        <f t="shared" si="13"/>
        <v>803.18301141285247</v>
      </c>
      <c r="F79" s="6">
        <f t="shared" si="14"/>
        <v>592.08030490032638</v>
      </c>
      <c r="G79" s="6">
        <f t="shared" si="15"/>
        <v>64952.474198184049</v>
      </c>
      <c r="H79" s="6">
        <f t="shared" si="16"/>
        <v>38297.011208991215</v>
      </c>
      <c r="I79" s="6">
        <f t="shared" si="17"/>
        <v>103249.48540717529</v>
      </c>
      <c r="J79" s="6">
        <f t="shared" si="18"/>
        <v>211702.98879100775</v>
      </c>
    </row>
    <row r="80" spans="1:10" x14ac:dyDescent="0.25">
      <c r="A80">
        <f t="shared" si="10"/>
        <v>75</v>
      </c>
      <c r="B80" s="2">
        <f t="shared" ca="1" si="11"/>
        <v>44208</v>
      </c>
      <c r="C80" s="2" t="str">
        <f t="shared" ca="1" si="19"/>
        <v>styczeń</v>
      </c>
      <c r="D80" s="6">
        <f t="shared" si="12"/>
        <v>1395.2633163131788</v>
      </c>
      <c r="E80" s="6">
        <f t="shared" si="13"/>
        <v>800.94297425931279</v>
      </c>
      <c r="F80" s="6">
        <f t="shared" si="14"/>
        <v>594.32034205386606</v>
      </c>
      <c r="G80" s="6">
        <f t="shared" si="15"/>
        <v>65753.417172443355</v>
      </c>
      <c r="H80" s="6">
        <f t="shared" si="16"/>
        <v>38891.331551045078</v>
      </c>
      <c r="I80" s="6">
        <f t="shared" si="17"/>
        <v>104644.74872348848</v>
      </c>
      <c r="J80" s="6">
        <f t="shared" si="18"/>
        <v>211108.66844895386</v>
      </c>
    </row>
    <row r="81" spans="1:10" x14ac:dyDescent="0.25">
      <c r="A81">
        <f t="shared" si="10"/>
        <v>76</v>
      </c>
      <c r="B81" s="2">
        <f t="shared" ca="1" si="11"/>
        <v>44239</v>
      </c>
      <c r="C81" s="2" t="str">
        <f t="shared" ca="1" si="19"/>
        <v>luty</v>
      </c>
      <c r="D81" s="6">
        <f t="shared" si="12"/>
        <v>1395.2633163131788</v>
      </c>
      <c r="E81" s="6">
        <f t="shared" si="13"/>
        <v>798.69446229854213</v>
      </c>
      <c r="F81" s="6">
        <f t="shared" si="14"/>
        <v>596.56885401463671</v>
      </c>
      <c r="G81" s="6">
        <f t="shared" si="15"/>
        <v>66552.111634741901</v>
      </c>
      <c r="H81" s="6">
        <f t="shared" si="16"/>
        <v>39487.900405059714</v>
      </c>
      <c r="I81" s="6">
        <f t="shared" si="17"/>
        <v>106040.01203980166</v>
      </c>
      <c r="J81" s="6">
        <f t="shared" si="18"/>
        <v>210512.09959493921</v>
      </c>
    </row>
    <row r="82" spans="1:10" x14ac:dyDescent="0.25">
      <c r="A82">
        <f t="shared" si="10"/>
        <v>77</v>
      </c>
      <c r="B82" s="2">
        <f t="shared" ca="1" si="11"/>
        <v>44267</v>
      </c>
      <c r="C82" s="2" t="str">
        <f t="shared" ca="1" si="19"/>
        <v>marzec</v>
      </c>
      <c r="D82" s="6">
        <f t="shared" si="12"/>
        <v>1395.2633163131788</v>
      </c>
      <c r="E82" s="6">
        <f t="shared" si="13"/>
        <v>796.4374434675201</v>
      </c>
      <c r="F82" s="6">
        <f t="shared" si="14"/>
        <v>598.82587284565875</v>
      </c>
      <c r="G82" s="6">
        <f t="shared" si="15"/>
        <v>67348.549078209428</v>
      </c>
      <c r="H82" s="6">
        <f t="shared" si="16"/>
        <v>40086.726277905371</v>
      </c>
      <c r="I82" s="6">
        <f t="shared" si="17"/>
        <v>107435.27535611484</v>
      </c>
      <c r="J82" s="6">
        <f t="shared" si="18"/>
        <v>209913.27372209352</v>
      </c>
    </row>
    <row r="83" spans="1:10" x14ac:dyDescent="0.25">
      <c r="A83">
        <f t="shared" si="10"/>
        <v>78</v>
      </c>
      <c r="B83" s="2">
        <f t="shared" ca="1" si="11"/>
        <v>44298</v>
      </c>
      <c r="C83" s="2" t="str">
        <f t="shared" ca="1" si="19"/>
        <v>kwiecień</v>
      </c>
      <c r="D83" s="6">
        <f t="shared" si="12"/>
        <v>1395.2633163131788</v>
      </c>
      <c r="E83" s="6">
        <f t="shared" si="13"/>
        <v>794.17188558192049</v>
      </c>
      <c r="F83" s="6">
        <f t="shared" si="14"/>
        <v>601.09143073125836</v>
      </c>
      <c r="G83" s="6">
        <f t="shared" si="15"/>
        <v>68142.720963791347</v>
      </c>
      <c r="H83" s="6">
        <f t="shared" si="16"/>
        <v>40687.817708636627</v>
      </c>
      <c r="I83" s="6">
        <f t="shared" si="17"/>
        <v>108830.53867242803</v>
      </c>
      <c r="J83" s="6">
        <f t="shared" si="18"/>
        <v>209312.18229136232</v>
      </c>
    </row>
    <row r="84" spans="1:10" x14ac:dyDescent="0.25">
      <c r="A84">
        <f t="shared" si="10"/>
        <v>79</v>
      </c>
      <c r="B84" s="2">
        <f t="shared" ca="1" si="11"/>
        <v>44328</v>
      </c>
      <c r="C84" s="2" t="str">
        <f t="shared" ca="1" si="19"/>
        <v>maj</v>
      </c>
      <c r="D84" s="6">
        <f t="shared" si="12"/>
        <v>1395.2633163131788</v>
      </c>
      <c r="E84" s="6">
        <f t="shared" si="13"/>
        <v>791.89775633565421</v>
      </c>
      <c r="F84" s="6">
        <f t="shared" si="14"/>
        <v>603.36555997752464</v>
      </c>
      <c r="G84" s="6">
        <f t="shared" si="15"/>
        <v>68934.618720127008</v>
      </c>
      <c r="H84" s="6">
        <f t="shared" si="16"/>
        <v>41291.18326861415</v>
      </c>
      <c r="I84" s="6">
        <f t="shared" si="17"/>
        <v>110225.80198874121</v>
      </c>
      <c r="J84" s="6">
        <f t="shared" si="18"/>
        <v>208708.81673138475</v>
      </c>
    </row>
    <row r="85" spans="1:10" x14ac:dyDescent="0.25">
      <c r="A85">
        <f t="shared" si="10"/>
        <v>80</v>
      </c>
      <c r="B85" s="2">
        <f t="shared" ca="1" si="11"/>
        <v>44359</v>
      </c>
      <c r="C85" s="2" t="str">
        <f t="shared" ca="1" si="19"/>
        <v>czerwiec</v>
      </c>
      <c r="D85" s="6">
        <f t="shared" si="12"/>
        <v>1395.2633163131788</v>
      </c>
      <c r="E85" s="6">
        <f t="shared" si="13"/>
        <v>789.6150233004056</v>
      </c>
      <c r="F85" s="6">
        <f t="shared" si="14"/>
        <v>605.64829301277325</v>
      </c>
      <c r="G85" s="6">
        <f t="shared" si="15"/>
        <v>69724.233743427409</v>
      </c>
      <c r="H85" s="6">
        <f t="shared" si="16"/>
        <v>41896.831561626925</v>
      </c>
      <c r="I85" s="6">
        <f t="shared" si="17"/>
        <v>111621.06530505439</v>
      </c>
      <c r="J85" s="6">
        <f t="shared" si="18"/>
        <v>208103.16843837197</v>
      </c>
    </row>
    <row r="86" spans="1:10" x14ac:dyDescent="0.25">
      <c r="A86">
        <f t="shared" si="10"/>
        <v>81</v>
      </c>
      <c r="B86" s="2">
        <f t="shared" ca="1" si="11"/>
        <v>44389</v>
      </c>
      <c r="C86" s="2" t="str">
        <f t="shared" ca="1" si="19"/>
        <v>lipiec</v>
      </c>
      <c r="D86" s="6">
        <f t="shared" si="12"/>
        <v>1395.2633163131788</v>
      </c>
      <c r="E86" s="6">
        <f t="shared" si="13"/>
        <v>787.32365392517397</v>
      </c>
      <c r="F86" s="6">
        <f t="shared" si="14"/>
        <v>607.93966238800488</v>
      </c>
      <c r="G86" s="6">
        <f t="shared" si="15"/>
        <v>70511.55739735259</v>
      </c>
      <c r="H86" s="6">
        <f t="shared" si="16"/>
        <v>42504.771224014927</v>
      </c>
      <c r="I86" s="6">
        <f t="shared" si="17"/>
        <v>113016.32862136757</v>
      </c>
      <c r="J86" s="6">
        <f t="shared" si="18"/>
        <v>207495.22877598397</v>
      </c>
    </row>
    <row r="87" spans="1:10" x14ac:dyDescent="0.25">
      <c r="A87">
        <f t="shared" si="10"/>
        <v>82</v>
      </c>
      <c r="B87" s="2">
        <f t="shared" ca="1" si="11"/>
        <v>44420</v>
      </c>
      <c r="C87" s="2" t="str">
        <f t="shared" ca="1" si="19"/>
        <v>sierpień</v>
      </c>
      <c r="D87" s="6">
        <f t="shared" si="12"/>
        <v>1395.2633163131788</v>
      </c>
      <c r="E87" s="6">
        <f t="shared" si="13"/>
        <v>785.02361553580613</v>
      </c>
      <c r="F87" s="6">
        <f t="shared" si="14"/>
        <v>610.23970077737272</v>
      </c>
      <c r="G87" s="6">
        <f t="shared" si="15"/>
        <v>71296.58101288839</v>
      </c>
      <c r="H87" s="6">
        <f t="shared" si="16"/>
        <v>43115.010924792303</v>
      </c>
      <c r="I87" s="6">
        <f t="shared" si="17"/>
        <v>114411.59193768076</v>
      </c>
      <c r="J87" s="6">
        <f t="shared" si="18"/>
        <v>206884.98907520654</v>
      </c>
    </row>
    <row r="88" spans="1:10" x14ac:dyDescent="0.25">
      <c r="A88">
        <f t="shared" si="10"/>
        <v>83</v>
      </c>
      <c r="B88" s="2">
        <f t="shared" ca="1" si="11"/>
        <v>44451</v>
      </c>
      <c r="C88" s="2" t="str">
        <f t="shared" ca="1" si="19"/>
        <v>wrzesień</v>
      </c>
      <c r="D88" s="6">
        <f t="shared" si="12"/>
        <v>1395.2633163131788</v>
      </c>
      <c r="E88" s="6">
        <f t="shared" si="13"/>
        <v>782.71487533453148</v>
      </c>
      <c r="F88" s="6">
        <f t="shared" si="14"/>
        <v>612.54844097864736</v>
      </c>
      <c r="G88" s="6">
        <f t="shared" si="15"/>
        <v>72079.295888222914</v>
      </c>
      <c r="H88" s="6">
        <f t="shared" si="16"/>
        <v>43727.559365770947</v>
      </c>
      <c r="I88" s="6">
        <f t="shared" si="17"/>
        <v>115806.85525399394</v>
      </c>
      <c r="J88" s="6">
        <f t="shared" si="18"/>
        <v>206272.44063422791</v>
      </c>
    </row>
    <row r="89" spans="1:10" x14ac:dyDescent="0.25">
      <c r="A89">
        <f t="shared" si="10"/>
        <v>84</v>
      </c>
      <c r="B89" s="2">
        <f t="shared" ca="1" si="11"/>
        <v>44481</v>
      </c>
      <c r="C89" s="2" t="str">
        <f t="shared" ca="1" si="19"/>
        <v>październik</v>
      </c>
      <c r="D89" s="6">
        <f t="shared" si="12"/>
        <v>1395.2633163131788</v>
      </c>
      <c r="E89" s="6">
        <f t="shared" si="13"/>
        <v>780.39740039949572</v>
      </c>
      <c r="F89" s="6">
        <f t="shared" si="14"/>
        <v>614.86591591368312</v>
      </c>
      <c r="G89" s="6">
        <f t="shared" si="15"/>
        <v>72859.693288622409</v>
      </c>
      <c r="H89" s="6">
        <f t="shared" si="16"/>
        <v>44342.425281684627</v>
      </c>
      <c r="I89" s="6">
        <f t="shared" si="17"/>
        <v>117202.11857030712</v>
      </c>
      <c r="J89" s="6">
        <f t="shared" si="18"/>
        <v>205657.57471831422</v>
      </c>
    </row>
    <row r="90" spans="1:10" x14ac:dyDescent="0.25">
      <c r="A90">
        <f t="shared" si="10"/>
        <v>85</v>
      </c>
      <c r="B90" s="2">
        <f t="shared" ca="1" si="11"/>
        <v>44512</v>
      </c>
      <c r="C90" s="2" t="str">
        <f t="shared" ca="1" si="19"/>
        <v>listopad</v>
      </c>
      <c r="D90" s="6">
        <f t="shared" si="12"/>
        <v>1395.2633163131788</v>
      </c>
      <c r="E90" s="6">
        <f t="shared" si="13"/>
        <v>778.07115768428878</v>
      </c>
      <c r="F90" s="6">
        <f t="shared" si="14"/>
        <v>617.19215862889007</v>
      </c>
      <c r="G90" s="6">
        <f t="shared" si="15"/>
        <v>73637.764446306697</v>
      </c>
      <c r="H90" s="6">
        <f t="shared" si="16"/>
        <v>44959.617440313516</v>
      </c>
      <c r="I90" s="6">
        <f t="shared" si="17"/>
        <v>118597.38188662031</v>
      </c>
      <c r="J90" s="6">
        <f t="shared" si="18"/>
        <v>205040.3825596853</v>
      </c>
    </row>
    <row r="91" spans="1:10" x14ac:dyDescent="0.25">
      <c r="A91">
        <f t="shared" si="10"/>
        <v>86</v>
      </c>
      <c r="B91" s="2">
        <f t="shared" ca="1" si="11"/>
        <v>44542</v>
      </c>
      <c r="C91" s="2" t="str">
        <f t="shared" ca="1" si="19"/>
        <v>grudzień</v>
      </c>
      <c r="D91" s="6">
        <f t="shared" si="12"/>
        <v>1395.2633163131788</v>
      </c>
      <c r="E91" s="6">
        <f t="shared" si="13"/>
        <v>775.7361140174761</v>
      </c>
      <c r="F91" s="6">
        <f t="shared" si="14"/>
        <v>619.52720229570275</v>
      </c>
      <c r="G91" s="6">
        <f t="shared" si="15"/>
        <v>74413.500560324173</v>
      </c>
      <c r="H91" s="6">
        <f t="shared" si="16"/>
        <v>45579.144642609215</v>
      </c>
      <c r="I91" s="6">
        <f t="shared" si="17"/>
        <v>119992.64520293349</v>
      </c>
      <c r="J91" s="6">
        <f t="shared" si="18"/>
        <v>204420.85535738964</v>
      </c>
    </row>
    <row r="92" spans="1:10" x14ac:dyDescent="0.25">
      <c r="A92">
        <f t="shared" si="10"/>
        <v>87</v>
      </c>
      <c r="B92" s="2">
        <f t="shared" ca="1" si="11"/>
        <v>44573</v>
      </c>
      <c r="C92" s="2" t="str">
        <f t="shared" ca="1" si="19"/>
        <v>styczeń</v>
      </c>
      <c r="D92" s="6">
        <f t="shared" si="12"/>
        <v>1395.2633163131788</v>
      </c>
      <c r="E92" s="6">
        <f t="shared" si="13"/>
        <v>773.39223610212412</v>
      </c>
      <c r="F92" s="6">
        <f t="shared" si="14"/>
        <v>621.87108021105473</v>
      </c>
      <c r="G92" s="6">
        <f t="shared" si="15"/>
        <v>75186.892796426298</v>
      </c>
      <c r="H92" s="6">
        <f t="shared" si="16"/>
        <v>46201.015722820273</v>
      </c>
      <c r="I92" s="6">
        <f t="shared" si="17"/>
        <v>121387.90851924667</v>
      </c>
      <c r="J92" s="6">
        <f t="shared" si="18"/>
        <v>203798.98427717853</v>
      </c>
    </row>
    <row r="93" spans="1:10" x14ac:dyDescent="0.25">
      <c r="A93">
        <f t="shared" si="10"/>
        <v>88</v>
      </c>
      <c r="B93" s="2">
        <f t="shared" ca="1" si="11"/>
        <v>44604</v>
      </c>
      <c r="C93" s="2" t="str">
        <f t="shared" ca="1" si="19"/>
        <v>luty</v>
      </c>
      <c r="D93" s="6">
        <f t="shared" si="12"/>
        <v>1395.2633163131788</v>
      </c>
      <c r="E93" s="6">
        <f t="shared" si="13"/>
        <v>771.03949051532561</v>
      </c>
      <c r="F93" s="6">
        <f t="shared" si="14"/>
        <v>624.22382579785324</v>
      </c>
      <c r="G93" s="6">
        <f t="shared" si="15"/>
        <v>75957.932286941621</v>
      </c>
      <c r="H93" s="6">
        <f t="shared" si="16"/>
        <v>46825.239548618127</v>
      </c>
      <c r="I93" s="6">
        <f t="shared" si="17"/>
        <v>122783.17183555986</v>
      </c>
      <c r="J93" s="6">
        <f t="shared" si="18"/>
        <v>203174.76045138069</v>
      </c>
    </row>
    <row r="94" spans="1:10" x14ac:dyDescent="0.25">
      <c r="A94">
        <f t="shared" ref="A94:A157" si="20">IF($B$2&gt;A93,A93+1,"")</f>
        <v>89</v>
      </c>
      <c r="B94" s="2">
        <f t="shared" ref="B94:B157" ca="1" si="21">IF(A94&lt;&gt;"",DATE(YEAR(B93),MONTH(B93) + 1,DAY(B93)),"")</f>
        <v>44632</v>
      </c>
      <c r="C94" s="2" t="str">
        <f t="shared" ca="1" si="19"/>
        <v>marzec</v>
      </c>
      <c r="D94" s="6">
        <f t="shared" ref="D94:D157" si="22">IF(A94&lt;&gt;"",$F$4,"")</f>
        <v>1395.2633163131788</v>
      </c>
      <c r="E94" s="6">
        <f t="shared" ref="E94:E157" si="23">IF(A94&lt;&gt;"",J93*$B$3/12,"")</f>
        <v>768.6778437077237</v>
      </c>
      <c r="F94" s="6">
        <f t="shared" ref="F94:F157" si="24">IF(A94&lt;&gt;"",D94-E94,"")</f>
        <v>626.58547260545515</v>
      </c>
      <c r="G94" s="6">
        <f t="shared" ref="G94:G157" si="25">IF(A94&lt;&gt;"",G93+E94,"")</f>
        <v>76726.610130649351</v>
      </c>
      <c r="H94" s="6">
        <f t="shared" ref="H94:H157" si="26">IF(A94&lt;&gt;"",H93+F94,"")</f>
        <v>47451.82502122358</v>
      </c>
      <c r="I94" s="6">
        <f t="shared" ref="I94:I157" si="27">IF(A94&lt;&gt;"",D94+I93,"")</f>
        <v>124178.43515187304</v>
      </c>
      <c r="J94" s="6">
        <f t="shared" ref="J94:J157" si="28">IF(A94&lt;&gt;"",$B$1*(($F$1^$B$2-$F$1^A94)/($F$1^$B$2-1)),"")</f>
        <v>202548.17497877523</v>
      </c>
    </row>
    <row r="95" spans="1:10" x14ac:dyDescent="0.25">
      <c r="A95">
        <f t="shared" si="20"/>
        <v>90</v>
      </c>
      <c r="B95" s="2">
        <f t="shared" ca="1" si="21"/>
        <v>44663</v>
      </c>
      <c r="C95" s="2" t="str">
        <f t="shared" ca="1" si="19"/>
        <v>kwiecień</v>
      </c>
      <c r="D95" s="6">
        <f t="shared" si="22"/>
        <v>1395.2633163131788</v>
      </c>
      <c r="E95" s="6">
        <f t="shared" si="23"/>
        <v>766.30726200303297</v>
      </c>
      <c r="F95" s="6">
        <f t="shared" si="24"/>
        <v>628.95605431014587</v>
      </c>
      <c r="G95" s="6">
        <f t="shared" si="25"/>
        <v>77492.91739265238</v>
      </c>
      <c r="H95" s="6">
        <f t="shared" si="26"/>
        <v>48080.781075533727</v>
      </c>
      <c r="I95" s="6">
        <f t="shared" si="27"/>
        <v>125573.69846818622</v>
      </c>
      <c r="J95" s="6">
        <f t="shared" si="28"/>
        <v>201919.21892446507</v>
      </c>
    </row>
    <row r="96" spans="1:10" x14ac:dyDescent="0.25">
      <c r="A96">
        <f t="shared" si="20"/>
        <v>91</v>
      </c>
      <c r="B96" s="2">
        <f t="shared" ca="1" si="21"/>
        <v>44693</v>
      </c>
      <c r="C96" s="2" t="str">
        <f t="shared" ca="1" si="19"/>
        <v>maj</v>
      </c>
      <c r="D96" s="6">
        <f t="shared" si="22"/>
        <v>1395.2633163131788</v>
      </c>
      <c r="E96" s="6">
        <f t="shared" si="23"/>
        <v>763.92771159755955</v>
      </c>
      <c r="F96" s="6">
        <f t="shared" si="24"/>
        <v>631.3356047156193</v>
      </c>
      <c r="G96" s="6">
        <f t="shared" si="25"/>
        <v>78256.845104249936</v>
      </c>
      <c r="H96" s="6">
        <f t="shared" si="26"/>
        <v>48712.116680249346</v>
      </c>
      <c r="I96" s="6">
        <f t="shared" si="27"/>
        <v>126968.96178449941</v>
      </c>
      <c r="J96" s="6">
        <f t="shared" si="28"/>
        <v>201287.88331974941</v>
      </c>
    </row>
    <row r="97" spans="1:10" x14ac:dyDescent="0.25">
      <c r="A97">
        <f t="shared" si="20"/>
        <v>92</v>
      </c>
      <c r="B97" s="2">
        <f t="shared" ca="1" si="21"/>
        <v>44724</v>
      </c>
      <c r="C97" s="2" t="str">
        <f t="shared" ca="1" si="19"/>
        <v>czerwiec</v>
      </c>
      <c r="D97" s="6">
        <f t="shared" si="22"/>
        <v>1395.2633163131788</v>
      </c>
      <c r="E97" s="6">
        <f t="shared" si="23"/>
        <v>761.53915855971866</v>
      </c>
      <c r="F97" s="6">
        <f t="shared" si="24"/>
        <v>633.72415775346019</v>
      </c>
      <c r="G97" s="6">
        <f t="shared" si="25"/>
        <v>79018.384262809661</v>
      </c>
      <c r="H97" s="6">
        <f t="shared" si="26"/>
        <v>49345.840838002805</v>
      </c>
      <c r="I97" s="6">
        <f t="shared" si="27"/>
        <v>128364.22510081259</v>
      </c>
      <c r="J97" s="6">
        <f t="shared" si="28"/>
        <v>200654.15916199595</v>
      </c>
    </row>
    <row r="98" spans="1:10" x14ac:dyDescent="0.25">
      <c r="A98">
        <f t="shared" si="20"/>
        <v>93</v>
      </c>
      <c r="B98" s="2">
        <f t="shared" ca="1" si="21"/>
        <v>44754</v>
      </c>
      <c r="C98" s="2" t="str">
        <f t="shared" ca="1" si="19"/>
        <v>lipiec</v>
      </c>
      <c r="D98" s="6">
        <f t="shared" si="22"/>
        <v>1395.2633163131788</v>
      </c>
      <c r="E98" s="6">
        <f t="shared" si="23"/>
        <v>759.14156882955137</v>
      </c>
      <c r="F98" s="6">
        <f t="shared" si="24"/>
        <v>636.12174748362747</v>
      </c>
      <c r="G98" s="6">
        <f t="shared" si="25"/>
        <v>79777.525831639214</v>
      </c>
      <c r="H98" s="6">
        <f t="shared" si="26"/>
        <v>49981.962585486435</v>
      </c>
      <c r="I98" s="6">
        <f t="shared" si="27"/>
        <v>129759.48841712577</v>
      </c>
      <c r="J98" s="6">
        <f t="shared" si="28"/>
        <v>200018.03741451234</v>
      </c>
    </row>
    <row r="99" spans="1:10" x14ac:dyDescent="0.25">
      <c r="A99">
        <f t="shared" si="20"/>
        <v>94</v>
      </c>
      <c r="B99" s="2">
        <f t="shared" ca="1" si="21"/>
        <v>44785</v>
      </c>
      <c r="C99" s="2" t="str">
        <f t="shared" ca="1" si="19"/>
        <v>sierpień</v>
      </c>
      <c r="D99" s="6">
        <f t="shared" si="22"/>
        <v>1395.2633163131788</v>
      </c>
      <c r="E99" s="6">
        <f t="shared" si="23"/>
        <v>756.73490821823827</v>
      </c>
      <c r="F99" s="6">
        <f t="shared" si="24"/>
        <v>638.52840809494057</v>
      </c>
      <c r="G99" s="6">
        <f t="shared" si="25"/>
        <v>80534.260739857447</v>
      </c>
      <c r="H99" s="6">
        <f t="shared" si="26"/>
        <v>50620.490993581378</v>
      </c>
      <c r="I99" s="6">
        <f t="shared" si="27"/>
        <v>131154.75173343896</v>
      </c>
      <c r="J99" s="6">
        <f t="shared" si="28"/>
        <v>199379.50900641739</v>
      </c>
    </row>
    <row r="100" spans="1:10" x14ac:dyDescent="0.25">
      <c r="A100">
        <f t="shared" si="20"/>
        <v>95</v>
      </c>
      <c r="B100" s="2">
        <f t="shared" ca="1" si="21"/>
        <v>44816</v>
      </c>
      <c r="C100" s="2" t="str">
        <f t="shared" ca="1" si="19"/>
        <v>wrzesień</v>
      </c>
      <c r="D100" s="6">
        <f t="shared" si="22"/>
        <v>1395.2633163131788</v>
      </c>
      <c r="E100" s="6">
        <f t="shared" si="23"/>
        <v>754.3191424076125</v>
      </c>
      <c r="F100" s="6">
        <f t="shared" si="24"/>
        <v>640.94417390556634</v>
      </c>
      <c r="G100" s="6">
        <f t="shared" si="25"/>
        <v>81288.579882265054</v>
      </c>
      <c r="H100" s="6">
        <f t="shared" si="26"/>
        <v>51261.435167486947</v>
      </c>
      <c r="I100" s="6">
        <f t="shared" si="27"/>
        <v>132550.01504975214</v>
      </c>
      <c r="J100" s="6">
        <f t="shared" si="28"/>
        <v>198738.56483251179</v>
      </c>
    </row>
    <row r="101" spans="1:10" x14ac:dyDescent="0.25">
      <c r="A101">
        <f t="shared" si="20"/>
        <v>96</v>
      </c>
      <c r="B101" s="2">
        <f t="shared" ca="1" si="21"/>
        <v>44846</v>
      </c>
      <c r="C101" s="2" t="str">
        <f t="shared" ca="1" si="19"/>
        <v>październik</v>
      </c>
      <c r="D101" s="6">
        <f t="shared" si="22"/>
        <v>1395.2633163131788</v>
      </c>
      <c r="E101" s="6">
        <f t="shared" si="23"/>
        <v>751.89423694966956</v>
      </c>
      <c r="F101" s="6">
        <f t="shared" si="24"/>
        <v>643.36907936350929</v>
      </c>
      <c r="G101" s="6">
        <f t="shared" si="25"/>
        <v>82040.474119214719</v>
      </c>
      <c r="H101" s="6">
        <f t="shared" si="26"/>
        <v>51904.804246850457</v>
      </c>
      <c r="I101" s="6">
        <f t="shared" si="27"/>
        <v>133945.27836606532</v>
      </c>
      <c r="J101" s="6">
        <f t="shared" si="28"/>
        <v>198095.19575314826</v>
      </c>
    </row>
    <row r="102" spans="1:10" x14ac:dyDescent="0.25">
      <c r="A102">
        <f t="shared" si="20"/>
        <v>97</v>
      </c>
      <c r="B102" s="2">
        <f t="shared" ca="1" si="21"/>
        <v>44877</v>
      </c>
      <c r="C102" s="2" t="str">
        <f t="shared" ca="1" si="19"/>
        <v>listopad</v>
      </c>
      <c r="D102" s="6">
        <f t="shared" si="22"/>
        <v>1395.2633163131788</v>
      </c>
      <c r="E102" s="6">
        <f t="shared" si="23"/>
        <v>749.46015726607766</v>
      </c>
      <c r="F102" s="6">
        <f t="shared" si="24"/>
        <v>645.80315904710119</v>
      </c>
      <c r="G102" s="6">
        <f t="shared" si="25"/>
        <v>82789.934276480795</v>
      </c>
      <c r="H102" s="6">
        <f t="shared" si="26"/>
        <v>52550.607405897557</v>
      </c>
      <c r="I102" s="6">
        <f t="shared" si="27"/>
        <v>135340.54168237851</v>
      </c>
      <c r="J102" s="6">
        <f t="shared" si="28"/>
        <v>197449.3925941012</v>
      </c>
    </row>
    <row r="103" spans="1:10" x14ac:dyDescent="0.25">
      <c r="A103">
        <f t="shared" si="20"/>
        <v>98</v>
      </c>
      <c r="B103" s="2">
        <f t="shared" ca="1" si="21"/>
        <v>44907</v>
      </c>
      <c r="C103" s="2" t="str">
        <f t="shared" ca="1" si="19"/>
        <v>grudzień</v>
      </c>
      <c r="D103" s="6">
        <f t="shared" si="22"/>
        <v>1395.2633163131788</v>
      </c>
      <c r="E103" s="6">
        <f t="shared" si="23"/>
        <v>747.01686864768283</v>
      </c>
      <c r="F103" s="6">
        <f t="shared" si="24"/>
        <v>648.24644766549602</v>
      </c>
      <c r="G103" s="6">
        <f t="shared" si="25"/>
        <v>83536.951145128478</v>
      </c>
      <c r="H103" s="6">
        <f t="shared" si="26"/>
        <v>53198.853853563051</v>
      </c>
      <c r="I103" s="6">
        <f t="shared" si="27"/>
        <v>136735.80499869169</v>
      </c>
      <c r="J103" s="6">
        <f t="shared" si="28"/>
        <v>196801.14614643567</v>
      </c>
    </row>
    <row r="104" spans="1:10" x14ac:dyDescent="0.25">
      <c r="A104">
        <f t="shared" si="20"/>
        <v>99</v>
      </c>
      <c r="B104" s="2">
        <f t="shared" ca="1" si="21"/>
        <v>44938</v>
      </c>
      <c r="C104" s="2" t="str">
        <f t="shared" ca="1" si="19"/>
        <v>styczeń</v>
      </c>
      <c r="D104" s="6">
        <f t="shared" si="22"/>
        <v>1395.2633163131788</v>
      </c>
      <c r="E104" s="6">
        <f t="shared" si="23"/>
        <v>744.56433625401496</v>
      </c>
      <c r="F104" s="6">
        <f t="shared" si="24"/>
        <v>650.69898005916389</v>
      </c>
      <c r="G104" s="6">
        <f t="shared" si="25"/>
        <v>84281.515481382492</v>
      </c>
      <c r="H104" s="6">
        <f t="shared" si="26"/>
        <v>53849.552833622212</v>
      </c>
      <c r="I104" s="6">
        <f t="shared" si="27"/>
        <v>138131.06831500487</v>
      </c>
      <c r="J104" s="6">
        <f t="shared" si="28"/>
        <v>196150.44716637649</v>
      </c>
    </row>
    <row r="105" spans="1:10" x14ac:dyDescent="0.25">
      <c r="A105">
        <f t="shared" si="20"/>
        <v>100</v>
      </c>
      <c r="B105" s="2">
        <f t="shared" ca="1" si="21"/>
        <v>44969</v>
      </c>
      <c r="C105" s="2" t="str">
        <f t="shared" ca="1" si="19"/>
        <v>luty</v>
      </c>
      <c r="D105" s="6">
        <f t="shared" si="22"/>
        <v>1395.2633163131788</v>
      </c>
      <c r="E105" s="6">
        <f t="shared" si="23"/>
        <v>742.10252511279111</v>
      </c>
      <c r="F105" s="6">
        <f t="shared" si="24"/>
        <v>653.16079120038773</v>
      </c>
      <c r="G105" s="6">
        <f t="shared" si="25"/>
        <v>85023.618006495279</v>
      </c>
      <c r="H105" s="6">
        <f t="shared" si="26"/>
        <v>54502.713624822602</v>
      </c>
      <c r="I105" s="6">
        <f t="shared" si="27"/>
        <v>139526.33163131805</v>
      </c>
      <c r="J105" s="6">
        <f t="shared" si="28"/>
        <v>195497.28637517607</v>
      </c>
    </row>
    <row r="106" spans="1:10" x14ac:dyDescent="0.25">
      <c r="A106">
        <f t="shared" si="20"/>
        <v>101</v>
      </c>
      <c r="B106" s="2">
        <f t="shared" ca="1" si="21"/>
        <v>44997</v>
      </c>
      <c r="C106" s="2" t="str">
        <f t="shared" ca="1" si="19"/>
        <v>marzec</v>
      </c>
      <c r="D106" s="6">
        <f t="shared" si="22"/>
        <v>1395.2633163131788</v>
      </c>
      <c r="E106" s="6">
        <f t="shared" si="23"/>
        <v>739.6314001194163</v>
      </c>
      <c r="F106" s="6">
        <f t="shared" si="24"/>
        <v>655.63191619376255</v>
      </c>
      <c r="G106" s="6">
        <f t="shared" si="25"/>
        <v>85763.24940661469</v>
      </c>
      <c r="H106" s="6">
        <f t="shared" si="26"/>
        <v>55158.345541016366</v>
      </c>
      <c r="I106" s="6">
        <f t="shared" si="27"/>
        <v>140921.59494763124</v>
      </c>
      <c r="J106" s="6">
        <f t="shared" si="28"/>
        <v>194841.65445898226</v>
      </c>
    </row>
    <row r="107" spans="1:10" x14ac:dyDescent="0.25">
      <c r="A107">
        <f t="shared" si="20"/>
        <v>102</v>
      </c>
      <c r="B107" s="2">
        <f t="shared" ca="1" si="21"/>
        <v>45028</v>
      </c>
      <c r="C107" s="2" t="str">
        <f t="shared" ca="1" si="19"/>
        <v>kwiecień</v>
      </c>
      <c r="D107" s="6">
        <f t="shared" si="22"/>
        <v>1395.2633163131788</v>
      </c>
      <c r="E107" s="6">
        <f t="shared" si="23"/>
        <v>737.15092603648293</v>
      </c>
      <c r="F107" s="6">
        <f t="shared" si="24"/>
        <v>658.11239027669592</v>
      </c>
      <c r="G107" s="6">
        <f t="shared" si="25"/>
        <v>86500.400332651174</v>
      </c>
      <c r="H107" s="6">
        <f t="shared" si="26"/>
        <v>55816.457931293065</v>
      </c>
      <c r="I107" s="6">
        <f t="shared" si="27"/>
        <v>142316.85826394442</v>
      </c>
      <c r="J107" s="6">
        <f t="shared" si="28"/>
        <v>194183.5420687056</v>
      </c>
    </row>
    <row r="108" spans="1:10" x14ac:dyDescent="0.25">
      <c r="A108">
        <f t="shared" si="20"/>
        <v>103</v>
      </c>
      <c r="B108" s="2">
        <f t="shared" ca="1" si="21"/>
        <v>45058</v>
      </c>
      <c r="C108" s="2" t="str">
        <f t="shared" ca="1" si="19"/>
        <v>maj</v>
      </c>
      <c r="D108" s="6">
        <f t="shared" si="22"/>
        <v>1395.2633163131788</v>
      </c>
      <c r="E108" s="6">
        <f t="shared" si="23"/>
        <v>734.66106749326957</v>
      </c>
      <c r="F108" s="6">
        <f t="shared" si="24"/>
        <v>660.60224881990928</v>
      </c>
      <c r="G108" s="6">
        <f t="shared" si="25"/>
        <v>87235.061400144448</v>
      </c>
      <c r="H108" s="6">
        <f t="shared" si="26"/>
        <v>56477.060180112974</v>
      </c>
      <c r="I108" s="6">
        <f t="shared" si="27"/>
        <v>143712.1215802576</v>
      </c>
      <c r="J108" s="6">
        <f t="shared" si="28"/>
        <v>193522.93981988568</v>
      </c>
    </row>
    <row r="109" spans="1:10" x14ac:dyDescent="0.25">
      <c r="A109">
        <f t="shared" si="20"/>
        <v>104</v>
      </c>
      <c r="B109" s="2">
        <f t="shared" ca="1" si="21"/>
        <v>45089</v>
      </c>
      <c r="C109" s="2" t="str">
        <f t="shared" ca="1" si="19"/>
        <v>czerwiec</v>
      </c>
      <c r="D109" s="6">
        <f t="shared" si="22"/>
        <v>1395.2633163131788</v>
      </c>
      <c r="E109" s="6">
        <f t="shared" si="23"/>
        <v>732.16178898523424</v>
      </c>
      <c r="F109" s="6">
        <f t="shared" si="24"/>
        <v>663.10152732794461</v>
      </c>
      <c r="G109" s="6">
        <f t="shared" si="25"/>
        <v>87967.223189129683</v>
      </c>
      <c r="H109" s="6">
        <f t="shared" si="26"/>
        <v>57140.161707440922</v>
      </c>
      <c r="I109" s="6">
        <f t="shared" si="27"/>
        <v>145107.38489657079</v>
      </c>
      <c r="J109" s="6">
        <f t="shared" si="28"/>
        <v>192859.83829255775</v>
      </c>
    </row>
    <row r="110" spans="1:10" x14ac:dyDescent="0.25">
      <c r="A110">
        <f t="shared" si="20"/>
        <v>105</v>
      </c>
      <c r="B110" s="2">
        <f t="shared" ca="1" si="21"/>
        <v>45119</v>
      </c>
      <c r="C110" s="2" t="str">
        <f t="shared" ca="1" si="19"/>
        <v>lipiec</v>
      </c>
      <c r="D110" s="6">
        <f t="shared" si="22"/>
        <v>1395.2633163131788</v>
      </c>
      <c r="E110" s="6">
        <f t="shared" si="23"/>
        <v>729.65305487351009</v>
      </c>
      <c r="F110" s="6">
        <f t="shared" si="24"/>
        <v>665.61026143966876</v>
      </c>
      <c r="G110" s="6">
        <f t="shared" si="25"/>
        <v>88696.876244003201</v>
      </c>
      <c r="H110" s="6">
        <f t="shared" si="26"/>
        <v>57805.771968880588</v>
      </c>
      <c r="I110" s="6">
        <f t="shared" si="27"/>
        <v>146502.64821288397</v>
      </c>
      <c r="J110" s="6">
        <f t="shared" si="28"/>
        <v>192194.22803111808</v>
      </c>
    </row>
    <row r="111" spans="1:10" x14ac:dyDescent="0.25">
      <c r="A111">
        <f t="shared" si="20"/>
        <v>106</v>
      </c>
      <c r="B111" s="2">
        <f t="shared" ca="1" si="21"/>
        <v>45150</v>
      </c>
      <c r="C111" s="2" t="str">
        <f t="shared" ca="1" si="19"/>
        <v>sierpień</v>
      </c>
      <c r="D111" s="6">
        <f t="shared" si="22"/>
        <v>1395.2633163131788</v>
      </c>
      <c r="E111" s="6">
        <f t="shared" si="23"/>
        <v>727.13482938439677</v>
      </c>
      <c r="F111" s="6">
        <f t="shared" si="24"/>
        <v>668.12848692878208</v>
      </c>
      <c r="G111" s="6">
        <f t="shared" si="25"/>
        <v>89424.011073387592</v>
      </c>
      <c r="H111" s="6">
        <f t="shared" si="26"/>
        <v>58473.900455809373</v>
      </c>
      <c r="I111" s="6">
        <f t="shared" si="27"/>
        <v>147897.91152919715</v>
      </c>
      <c r="J111" s="6">
        <f t="shared" si="28"/>
        <v>191526.09954418926</v>
      </c>
    </row>
    <row r="112" spans="1:10" x14ac:dyDescent="0.25">
      <c r="A112">
        <f t="shared" si="20"/>
        <v>107</v>
      </c>
      <c r="B112" s="2">
        <f t="shared" ca="1" si="21"/>
        <v>45181</v>
      </c>
      <c r="C112" s="2" t="str">
        <f t="shared" ca="1" si="19"/>
        <v>wrzesień</v>
      </c>
      <c r="D112" s="6">
        <f t="shared" si="22"/>
        <v>1395.2633163131788</v>
      </c>
      <c r="E112" s="6">
        <f t="shared" si="23"/>
        <v>724.6070766088493</v>
      </c>
      <c r="F112" s="6">
        <f t="shared" si="24"/>
        <v>670.65623970432955</v>
      </c>
      <c r="G112" s="6">
        <f t="shared" si="25"/>
        <v>90148.618149996444</v>
      </c>
      <c r="H112" s="6">
        <f t="shared" si="26"/>
        <v>59144.556695513704</v>
      </c>
      <c r="I112" s="6">
        <f t="shared" si="27"/>
        <v>149293.17484551034</v>
      </c>
      <c r="J112" s="6">
        <f t="shared" si="28"/>
        <v>190855.44330448491</v>
      </c>
    </row>
    <row r="113" spans="1:10" x14ac:dyDescent="0.25">
      <c r="A113">
        <f t="shared" si="20"/>
        <v>108</v>
      </c>
      <c r="B113" s="2">
        <f t="shared" ca="1" si="21"/>
        <v>45211</v>
      </c>
      <c r="C113" s="2" t="str">
        <f t="shared" ca="1" si="19"/>
        <v>październik</v>
      </c>
      <c r="D113" s="6">
        <f t="shared" si="22"/>
        <v>1395.2633163131788</v>
      </c>
      <c r="E113" s="6">
        <f t="shared" si="23"/>
        <v>722.06976050196806</v>
      </c>
      <c r="F113" s="6">
        <f t="shared" si="24"/>
        <v>673.19355581121079</v>
      </c>
      <c r="G113" s="6">
        <f t="shared" si="25"/>
        <v>90870.687910498411</v>
      </c>
      <c r="H113" s="6">
        <f t="shared" si="26"/>
        <v>59817.750251324913</v>
      </c>
      <c r="I113" s="6">
        <f t="shared" si="27"/>
        <v>150688.43816182352</v>
      </c>
      <c r="J113" s="6">
        <f t="shared" si="28"/>
        <v>190182.2497486737</v>
      </c>
    </row>
    <row r="114" spans="1:10" x14ac:dyDescent="0.25">
      <c r="A114">
        <f t="shared" si="20"/>
        <v>109</v>
      </c>
      <c r="B114" s="2">
        <f t="shared" ca="1" si="21"/>
        <v>45242</v>
      </c>
      <c r="C114" s="2" t="str">
        <f t="shared" ca="1" si="19"/>
        <v>listopad</v>
      </c>
      <c r="D114" s="6">
        <f t="shared" si="22"/>
        <v>1395.2633163131788</v>
      </c>
      <c r="E114" s="6">
        <f t="shared" si="23"/>
        <v>719.52284488248222</v>
      </c>
      <c r="F114" s="6">
        <f t="shared" si="24"/>
        <v>675.74047143069663</v>
      </c>
      <c r="G114" s="6">
        <f t="shared" si="25"/>
        <v>91590.210755380889</v>
      </c>
      <c r="H114" s="6">
        <f t="shared" si="26"/>
        <v>60493.49072275561</v>
      </c>
      <c r="I114" s="6">
        <f t="shared" si="27"/>
        <v>152083.7014781367</v>
      </c>
      <c r="J114" s="6">
        <f t="shared" si="28"/>
        <v>189506.50927724299</v>
      </c>
    </row>
    <row r="115" spans="1:10" x14ac:dyDescent="0.25">
      <c r="A115">
        <f t="shared" si="20"/>
        <v>110</v>
      </c>
      <c r="B115" s="2">
        <f t="shared" ca="1" si="21"/>
        <v>45272</v>
      </c>
      <c r="C115" s="2" t="str">
        <f t="shared" ca="1" si="19"/>
        <v>grudzień</v>
      </c>
      <c r="D115" s="6">
        <f t="shared" si="22"/>
        <v>1395.2633163131788</v>
      </c>
      <c r="E115" s="6">
        <f t="shared" si="23"/>
        <v>716.96629343223606</v>
      </c>
      <c r="F115" s="6">
        <f t="shared" si="24"/>
        <v>678.29702288094279</v>
      </c>
      <c r="G115" s="6">
        <f t="shared" si="25"/>
        <v>92307.17704881313</v>
      </c>
      <c r="H115" s="6">
        <f t="shared" si="26"/>
        <v>61171.787745636553</v>
      </c>
      <c r="I115" s="6">
        <f t="shared" si="27"/>
        <v>153478.96479444989</v>
      </c>
      <c r="J115" s="6">
        <f t="shared" si="28"/>
        <v>188828.21225436206</v>
      </c>
    </row>
    <row r="116" spans="1:10" x14ac:dyDescent="0.25">
      <c r="A116">
        <f t="shared" si="20"/>
        <v>111</v>
      </c>
      <c r="B116" s="2">
        <f t="shared" ca="1" si="21"/>
        <v>45303</v>
      </c>
      <c r="C116" s="2" t="str">
        <f t="shared" ca="1" si="19"/>
        <v>styczeń</v>
      </c>
      <c r="D116" s="6">
        <f t="shared" si="22"/>
        <v>1395.2633163131788</v>
      </c>
      <c r="E116" s="6">
        <f t="shared" si="23"/>
        <v>714.40006969566991</v>
      </c>
      <c r="F116" s="6">
        <f t="shared" si="24"/>
        <v>680.86324661750893</v>
      </c>
      <c r="G116" s="6">
        <f t="shared" si="25"/>
        <v>93021.577118508794</v>
      </c>
      <c r="H116" s="6">
        <f t="shared" si="26"/>
        <v>61852.650992254064</v>
      </c>
      <c r="I116" s="6">
        <f t="shared" si="27"/>
        <v>154874.22811076307</v>
      </c>
      <c r="J116" s="6">
        <f t="shared" si="28"/>
        <v>188147.34900774452</v>
      </c>
    </row>
    <row r="117" spans="1:10" x14ac:dyDescent="0.25">
      <c r="A117">
        <f t="shared" si="20"/>
        <v>112</v>
      </c>
      <c r="B117" s="2">
        <f t="shared" ca="1" si="21"/>
        <v>45334</v>
      </c>
      <c r="C117" s="2" t="str">
        <f t="shared" ca="1" si="19"/>
        <v>luty</v>
      </c>
      <c r="D117" s="6">
        <f t="shared" si="22"/>
        <v>1395.2633163131788</v>
      </c>
      <c r="E117" s="6">
        <f t="shared" si="23"/>
        <v>711.82413707930016</v>
      </c>
      <c r="F117" s="6">
        <f t="shared" si="24"/>
        <v>683.43917923387869</v>
      </c>
      <c r="G117" s="6">
        <f t="shared" si="25"/>
        <v>93733.401255588091</v>
      </c>
      <c r="H117" s="6">
        <f t="shared" si="26"/>
        <v>62536.090171487944</v>
      </c>
      <c r="I117" s="6">
        <f t="shared" si="27"/>
        <v>156269.49142707625</v>
      </c>
      <c r="J117" s="6">
        <f t="shared" si="28"/>
        <v>187463.90982851069</v>
      </c>
    </row>
    <row r="118" spans="1:10" x14ac:dyDescent="0.25">
      <c r="A118">
        <f t="shared" si="20"/>
        <v>113</v>
      </c>
      <c r="B118" s="2">
        <f t="shared" ca="1" si="21"/>
        <v>45363</v>
      </c>
      <c r="C118" s="2" t="str">
        <f t="shared" ca="1" si="19"/>
        <v>marzec</v>
      </c>
      <c r="D118" s="6">
        <f t="shared" si="22"/>
        <v>1395.2633163131788</v>
      </c>
      <c r="E118" s="6">
        <f t="shared" si="23"/>
        <v>709.23845885119874</v>
      </c>
      <c r="F118" s="6">
        <f t="shared" si="24"/>
        <v>686.0248574619801</v>
      </c>
      <c r="G118" s="6">
        <f t="shared" si="25"/>
        <v>94442.639714439283</v>
      </c>
      <c r="H118" s="6">
        <f t="shared" si="26"/>
        <v>63222.115028949927</v>
      </c>
      <c r="I118" s="6">
        <f t="shared" si="27"/>
        <v>157664.75474338944</v>
      </c>
      <c r="J118" s="6">
        <f t="shared" si="28"/>
        <v>186777.88497104868</v>
      </c>
    </row>
    <row r="119" spans="1:10" x14ac:dyDescent="0.25">
      <c r="A119">
        <f t="shared" si="20"/>
        <v>114</v>
      </c>
      <c r="B119" s="2">
        <f t="shared" ca="1" si="21"/>
        <v>45394</v>
      </c>
      <c r="C119" s="2" t="str">
        <f t="shared" ca="1" si="19"/>
        <v>kwiecień</v>
      </c>
      <c r="D119" s="6">
        <f t="shared" si="22"/>
        <v>1395.2633163131788</v>
      </c>
      <c r="E119" s="6">
        <f t="shared" si="23"/>
        <v>706.64299814046763</v>
      </c>
      <c r="F119" s="6">
        <f t="shared" si="24"/>
        <v>688.62031817271122</v>
      </c>
      <c r="G119" s="6">
        <f t="shared" si="25"/>
        <v>95149.282712579748</v>
      </c>
      <c r="H119" s="6">
        <f t="shared" si="26"/>
        <v>63910.735347122638</v>
      </c>
      <c r="I119" s="6">
        <f t="shared" si="27"/>
        <v>159060.01805970262</v>
      </c>
      <c r="J119" s="6">
        <f t="shared" si="28"/>
        <v>186089.26465287592</v>
      </c>
    </row>
    <row r="120" spans="1:10" x14ac:dyDescent="0.25">
      <c r="A120">
        <f t="shared" si="20"/>
        <v>115</v>
      </c>
      <c r="B120" s="2">
        <f t="shared" ca="1" si="21"/>
        <v>45424</v>
      </c>
      <c r="C120" s="2" t="str">
        <f t="shared" ca="1" si="19"/>
        <v>maj</v>
      </c>
      <c r="D120" s="6">
        <f t="shared" si="22"/>
        <v>1395.2633163131788</v>
      </c>
      <c r="E120" s="6">
        <f t="shared" si="23"/>
        <v>704.03771793671388</v>
      </c>
      <c r="F120" s="6">
        <f t="shared" si="24"/>
        <v>691.22559837646497</v>
      </c>
      <c r="G120" s="6">
        <f t="shared" si="25"/>
        <v>95853.320430516469</v>
      </c>
      <c r="H120" s="6">
        <f t="shared" si="26"/>
        <v>64601.9609454991</v>
      </c>
      <c r="I120" s="6">
        <f t="shared" si="27"/>
        <v>160455.2813760158</v>
      </c>
      <c r="J120" s="6">
        <f t="shared" si="28"/>
        <v>185398.0390544995</v>
      </c>
    </row>
    <row r="121" spans="1:10" x14ac:dyDescent="0.25">
      <c r="A121">
        <f t="shared" si="20"/>
        <v>116</v>
      </c>
      <c r="B121" s="2">
        <f t="shared" ca="1" si="21"/>
        <v>45455</v>
      </c>
      <c r="C121" s="2" t="str">
        <f t="shared" ca="1" si="19"/>
        <v>czerwiec</v>
      </c>
      <c r="D121" s="6">
        <f t="shared" si="22"/>
        <v>1395.2633163131788</v>
      </c>
      <c r="E121" s="6">
        <f t="shared" si="23"/>
        <v>701.42258108952319</v>
      </c>
      <c r="F121" s="6">
        <f t="shared" si="24"/>
        <v>693.84073522365566</v>
      </c>
      <c r="G121" s="6">
        <f t="shared" si="25"/>
        <v>96554.743011605999</v>
      </c>
      <c r="H121" s="6">
        <f t="shared" si="26"/>
        <v>65295.801680722754</v>
      </c>
      <c r="I121" s="6">
        <f t="shared" si="27"/>
        <v>161850.54469232899</v>
      </c>
      <c r="J121" s="6">
        <f t="shared" si="28"/>
        <v>184704.19831927581</v>
      </c>
    </row>
    <row r="122" spans="1:10" x14ac:dyDescent="0.25">
      <c r="A122">
        <f t="shared" si="20"/>
        <v>117</v>
      </c>
      <c r="B122" s="2">
        <f t="shared" ca="1" si="21"/>
        <v>45485</v>
      </c>
      <c r="C122" s="2" t="str">
        <f t="shared" ca="1" si="19"/>
        <v>lipiec</v>
      </c>
      <c r="D122" s="6">
        <f t="shared" si="22"/>
        <v>1395.2633163131788</v>
      </c>
      <c r="E122" s="6">
        <f t="shared" si="23"/>
        <v>698.79755030792683</v>
      </c>
      <c r="F122" s="6">
        <f t="shared" si="24"/>
        <v>696.46576600525202</v>
      </c>
      <c r="G122" s="6">
        <f t="shared" si="25"/>
        <v>97253.54056191392</v>
      </c>
      <c r="H122" s="6">
        <f t="shared" si="26"/>
        <v>65992.267446728001</v>
      </c>
      <c r="I122" s="6">
        <f t="shared" si="27"/>
        <v>163245.80800864217</v>
      </c>
      <c r="J122" s="6">
        <f t="shared" si="28"/>
        <v>184007.73255327056</v>
      </c>
    </row>
    <row r="123" spans="1:10" x14ac:dyDescent="0.25">
      <c r="A123">
        <f t="shared" si="20"/>
        <v>118</v>
      </c>
      <c r="B123" s="2">
        <f t="shared" ca="1" si="21"/>
        <v>45516</v>
      </c>
      <c r="C123" s="2" t="str">
        <f t="shared" ca="1" si="19"/>
        <v>sierpień</v>
      </c>
      <c r="D123" s="6">
        <f t="shared" si="22"/>
        <v>1395.2633163131788</v>
      </c>
      <c r="E123" s="6">
        <f t="shared" si="23"/>
        <v>696.16258815987374</v>
      </c>
      <c r="F123" s="6">
        <f t="shared" si="24"/>
        <v>699.10072815330511</v>
      </c>
      <c r="G123" s="6">
        <f t="shared" si="25"/>
        <v>97949.703150073794</v>
      </c>
      <c r="H123" s="6">
        <f t="shared" si="26"/>
        <v>66691.368174881311</v>
      </c>
      <c r="I123" s="6">
        <f t="shared" si="27"/>
        <v>164641.07132495535</v>
      </c>
      <c r="J123" s="6">
        <f t="shared" si="28"/>
        <v>183308.63182511722</v>
      </c>
    </row>
    <row r="124" spans="1:10" x14ac:dyDescent="0.25">
      <c r="A124">
        <f t="shared" si="20"/>
        <v>119</v>
      </c>
      <c r="B124" s="2">
        <f t="shared" ca="1" si="21"/>
        <v>45547</v>
      </c>
      <c r="C124" s="2" t="str">
        <f t="shared" ca="1" si="19"/>
        <v>wrzesień</v>
      </c>
      <c r="D124" s="6">
        <f t="shared" si="22"/>
        <v>1395.2633163131788</v>
      </c>
      <c r="E124" s="6">
        <f t="shared" si="23"/>
        <v>693.51765707169352</v>
      </c>
      <c r="F124" s="6">
        <f t="shared" si="24"/>
        <v>701.74565924148533</v>
      </c>
      <c r="G124" s="6">
        <f t="shared" si="25"/>
        <v>98643.220807145481</v>
      </c>
      <c r="H124" s="6">
        <f t="shared" si="26"/>
        <v>67393.113834122792</v>
      </c>
      <c r="I124" s="6">
        <f t="shared" si="27"/>
        <v>166036.33464126854</v>
      </c>
      <c r="J124" s="6">
        <f t="shared" si="28"/>
        <v>182606.88616587577</v>
      </c>
    </row>
    <row r="125" spans="1:10" x14ac:dyDescent="0.25">
      <c r="A125">
        <f t="shared" si="20"/>
        <v>120</v>
      </c>
      <c r="B125" s="2">
        <f t="shared" ca="1" si="21"/>
        <v>45577</v>
      </c>
      <c r="C125" s="2" t="str">
        <f t="shared" ca="1" si="19"/>
        <v>październik</v>
      </c>
      <c r="D125" s="6">
        <f t="shared" si="22"/>
        <v>1395.2633163131788</v>
      </c>
      <c r="E125" s="6">
        <f t="shared" si="23"/>
        <v>690.86271932756335</v>
      </c>
      <c r="F125" s="6">
        <f t="shared" si="24"/>
        <v>704.40059698561549</v>
      </c>
      <c r="G125" s="6">
        <f t="shared" si="25"/>
        <v>99334.083526473041</v>
      </c>
      <c r="H125" s="6">
        <f t="shared" si="26"/>
        <v>68097.514431108415</v>
      </c>
      <c r="I125" s="6">
        <f t="shared" si="27"/>
        <v>167431.59795758172</v>
      </c>
      <c r="J125" s="6">
        <f t="shared" si="28"/>
        <v>181902.48556889017</v>
      </c>
    </row>
    <row r="126" spans="1:10" x14ac:dyDescent="0.25">
      <c r="A126">
        <f t="shared" si="20"/>
        <v>121</v>
      </c>
      <c r="B126" s="2">
        <f t="shared" ca="1" si="21"/>
        <v>45608</v>
      </c>
      <c r="C126" s="2" t="str">
        <f t="shared" ca="1" si="19"/>
        <v>listopad</v>
      </c>
      <c r="D126" s="6">
        <f t="shared" si="22"/>
        <v>1395.2633163131788</v>
      </c>
      <c r="E126" s="6">
        <f t="shared" si="23"/>
        <v>688.19773706896785</v>
      </c>
      <c r="F126" s="6">
        <f t="shared" si="24"/>
        <v>707.06557924421099</v>
      </c>
      <c r="G126" s="6">
        <f t="shared" si="25"/>
        <v>100022.28126354201</v>
      </c>
      <c r="H126" s="6">
        <f t="shared" si="26"/>
        <v>68804.580010352627</v>
      </c>
      <c r="I126" s="6">
        <f t="shared" si="27"/>
        <v>168826.8612738949</v>
      </c>
      <c r="J126" s="6">
        <f t="shared" si="28"/>
        <v>181195.41998964592</v>
      </c>
    </row>
    <row r="127" spans="1:10" x14ac:dyDescent="0.25">
      <c r="A127">
        <f t="shared" si="20"/>
        <v>122</v>
      </c>
      <c r="B127" s="2">
        <f t="shared" ca="1" si="21"/>
        <v>45638</v>
      </c>
      <c r="C127" s="2" t="str">
        <f t="shared" ca="1" si="19"/>
        <v>grudzień</v>
      </c>
      <c r="D127" s="6">
        <f t="shared" si="22"/>
        <v>1395.2633163131788</v>
      </c>
      <c r="E127" s="6">
        <f t="shared" si="23"/>
        <v>685.52267229416054</v>
      </c>
      <c r="F127" s="6">
        <f t="shared" si="24"/>
        <v>709.7406440190183</v>
      </c>
      <c r="G127" s="6">
        <f t="shared" si="25"/>
        <v>100707.80393583617</v>
      </c>
      <c r="H127" s="6">
        <f t="shared" si="26"/>
        <v>69514.320654371651</v>
      </c>
      <c r="I127" s="6">
        <f t="shared" si="27"/>
        <v>170222.12459020808</v>
      </c>
      <c r="J127" s="6">
        <f t="shared" si="28"/>
        <v>180485.67934562688</v>
      </c>
    </row>
    <row r="128" spans="1:10" x14ac:dyDescent="0.25">
      <c r="A128">
        <f t="shared" si="20"/>
        <v>123</v>
      </c>
      <c r="B128" s="2">
        <f t="shared" ca="1" si="21"/>
        <v>45669</v>
      </c>
      <c r="C128" s="2" t="str">
        <f t="shared" ca="1" si="19"/>
        <v>styczeń</v>
      </c>
      <c r="D128" s="6">
        <f t="shared" si="22"/>
        <v>1395.2633163131788</v>
      </c>
      <c r="E128" s="6">
        <f t="shared" si="23"/>
        <v>682.83748685762168</v>
      </c>
      <c r="F128" s="6">
        <f t="shared" si="24"/>
        <v>712.42582945555716</v>
      </c>
      <c r="G128" s="6">
        <f t="shared" si="25"/>
        <v>101390.64142269379</v>
      </c>
      <c r="H128" s="6">
        <f t="shared" si="26"/>
        <v>70226.746483827214</v>
      </c>
      <c r="I128" s="6">
        <f t="shared" si="27"/>
        <v>171617.38790652127</v>
      </c>
      <c r="J128" s="6">
        <f t="shared" si="28"/>
        <v>179773.25351617133</v>
      </c>
    </row>
    <row r="129" spans="1:10" x14ac:dyDescent="0.25">
      <c r="A129">
        <f t="shared" si="20"/>
        <v>124</v>
      </c>
      <c r="B129" s="2">
        <f t="shared" ca="1" si="21"/>
        <v>45700</v>
      </c>
      <c r="C129" s="2" t="str">
        <f t="shared" ca="1" si="19"/>
        <v>luty</v>
      </c>
      <c r="D129" s="6">
        <f t="shared" si="22"/>
        <v>1395.2633163131788</v>
      </c>
      <c r="E129" s="6">
        <f t="shared" si="23"/>
        <v>680.14214246951485</v>
      </c>
      <c r="F129" s="6">
        <f t="shared" si="24"/>
        <v>715.121173843664</v>
      </c>
      <c r="G129" s="6">
        <f t="shared" si="25"/>
        <v>102070.78356516331</v>
      </c>
      <c r="H129" s="6">
        <f t="shared" si="26"/>
        <v>70941.867657670882</v>
      </c>
      <c r="I129" s="6">
        <f t="shared" si="27"/>
        <v>173012.65122283445</v>
      </c>
      <c r="J129" s="6">
        <f t="shared" si="28"/>
        <v>179058.13234232765</v>
      </c>
    </row>
    <row r="130" spans="1:10" x14ac:dyDescent="0.25">
      <c r="A130">
        <f t="shared" si="20"/>
        <v>125</v>
      </c>
      <c r="B130" s="2">
        <f t="shared" ca="1" si="21"/>
        <v>45728</v>
      </c>
      <c r="C130" s="2" t="str">
        <f t="shared" ca="1" si="19"/>
        <v>marzec</v>
      </c>
      <c r="D130" s="6">
        <f t="shared" si="22"/>
        <v>1395.2633163131788</v>
      </c>
      <c r="E130" s="6">
        <f t="shared" si="23"/>
        <v>677.43660069513965</v>
      </c>
      <c r="F130" s="6">
        <f t="shared" si="24"/>
        <v>717.8267156180392</v>
      </c>
      <c r="G130" s="6">
        <f t="shared" si="25"/>
        <v>102748.22016585845</v>
      </c>
      <c r="H130" s="6">
        <f t="shared" si="26"/>
        <v>71659.694373288919</v>
      </c>
      <c r="I130" s="6">
        <f t="shared" si="27"/>
        <v>174407.91453914763</v>
      </c>
      <c r="J130" s="6">
        <f t="shared" si="28"/>
        <v>178340.30562670957</v>
      </c>
    </row>
    <row r="131" spans="1:10" x14ac:dyDescent="0.25">
      <c r="A131">
        <f t="shared" si="20"/>
        <v>126</v>
      </c>
      <c r="B131" s="2">
        <f t="shared" ca="1" si="21"/>
        <v>45759</v>
      </c>
      <c r="C131" s="2" t="str">
        <f t="shared" ca="1" si="19"/>
        <v>kwiecień</v>
      </c>
      <c r="D131" s="6">
        <f t="shared" si="22"/>
        <v>1395.2633163131788</v>
      </c>
      <c r="E131" s="6">
        <f t="shared" si="23"/>
        <v>674.72082295438452</v>
      </c>
      <c r="F131" s="6">
        <f t="shared" si="24"/>
        <v>720.54249335879433</v>
      </c>
      <c r="G131" s="6">
        <f t="shared" si="25"/>
        <v>103422.94098881284</v>
      </c>
      <c r="H131" s="6">
        <f t="shared" si="26"/>
        <v>72380.236866647712</v>
      </c>
      <c r="I131" s="6">
        <f t="shared" si="27"/>
        <v>175803.17785546082</v>
      </c>
      <c r="J131" s="6">
        <f t="shared" si="28"/>
        <v>177619.76313335076</v>
      </c>
    </row>
    <row r="132" spans="1:10" x14ac:dyDescent="0.25">
      <c r="A132">
        <f t="shared" si="20"/>
        <v>127</v>
      </c>
      <c r="B132" s="2">
        <f t="shared" ca="1" si="21"/>
        <v>45789</v>
      </c>
      <c r="C132" s="2" t="str">
        <f t="shared" ca="1" si="19"/>
        <v>maj</v>
      </c>
      <c r="D132" s="6">
        <f t="shared" si="22"/>
        <v>1395.2633163131788</v>
      </c>
      <c r="E132" s="6">
        <f t="shared" si="23"/>
        <v>671.99477052117709</v>
      </c>
      <c r="F132" s="6">
        <f t="shared" si="24"/>
        <v>723.26854579200176</v>
      </c>
      <c r="G132" s="6">
        <f t="shared" si="25"/>
        <v>104094.93575933402</v>
      </c>
      <c r="H132" s="6">
        <f t="shared" si="26"/>
        <v>73103.505412439714</v>
      </c>
      <c r="I132" s="6">
        <f t="shared" si="27"/>
        <v>177198.441171774</v>
      </c>
      <c r="J132" s="6">
        <f t="shared" si="28"/>
        <v>176896.49458755879</v>
      </c>
    </row>
    <row r="133" spans="1:10" x14ac:dyDescent="0.25">
      <c r="A133">
        <f t="shared" si="20"/>
        <v>128</v>
      </c>
      <c r="B133" s="2">
        <f t="shared" ca="1" si="21"/>
        <v>45820</v>
      </c>
      <c r="C133" s="2" t="str">
        <f t="shared" ca="1" si="19"/>
        <v>czerwiec</v>
      </c>
      <c r="D133" s="6">
        <f t="shared" si="22"/>
        <v>1395.2633163131788</v>
      </c>
      <c r="E133" s="6">
        <f t="shared" si="23"/>
        <v>669.25840452293085</v>
      </c>
      <c r="F133" s="6">
        <f t="shared" si="24"/>
        <v>726.004911790248</v>
      </c>
      <c r="G133" s="6">
        <f t="shared" si="25"/>
        <v>104764.19416385696</v>
      </c>
      <c r="H133" s="6">
        <f t="shared" si="26"/>
        <v>73829.510324229966</v>
      </c>
      <c r="I133" s="6">
        <f t="shared" si="27"/>
        <v>178593.70448808718</v>
      </c>
      <c r="J133" s="6">
        <f t="shared" si="28"/>
        <v>176170.48967576853</v>
      </c>
    </row>
    <row r="134" spans="1:10" x14ac:dyDescent="0.25">
      <c r="A134">
        <f t="shared" si="20"/>
        <v>129</v>
      </c>
      <c r="B134" s="2">
        <f t="shared" ca="1" si="21"/>
        <v>45850</v>
      </c>
      <c r="C134" s="2" t="str">
        <f t="shared" ca="1" si="19"/>
        <v>lipiec</v>
      </c>
      <c r="D134" s="6">
        <f t="shared" si="22"/>
        <v>1395.2633163131788</v>
      </c>
      <c r="E134" s="6">
        <f t="shared" si="23"/>
        <v>666.51168593999103</v>
      </c>
      <c r="F134" s="6">
        <f t="shared" si="24"/>
        <v>728.75163037318782</v>
      </c>
      <c r="G134" s="6">
        <f t="shared" si="25"/>
        <v>105430.70584979694</v>
      </c>
      <c r="H134" s="6">
        <f t="shared" si="26"/>
        <v>74558.261954603149</v>
      </c>
      <c r="I134" s="6">
        <f t="shared" si="27"/>
        <v>179988.96780440037</v>
      </c>
      <c r="J134" s="6">
        <f t="shared" si="28"/>
        <v>175441.73804539532</v>
      </c>
    </row>
    <row r="135" spans="1:10" x14ac:dyDescent="0.25">
      <c r="A135">
        <f t="shared" si="20"/>
        <v>130</v>
      </c>
      <c r="B135" s="2">
        <f t="shared" ca="1" si="21"/>
        <v>45881</v>
      </c>
      <c r="C135" s="2" t="str">
        <f t="shared" ref="C135:C198" ca="1" si="29">TEXT(B135,"mmmm")</f>
        <v>sierpień</v>
      </c>
      <c r="D135" s="6">
        <f t="shared" si="22"/>
        <v>1395.2633163131788</v>
      </c>
      <c r="E135" s="6">
        <f t="shared" si="23"/>
        <v>663.75457560507903</v>
      </c>
      <c r="F135" s="6">
        <f t="shared" si="24"/>
        <v>731.50874070809982</v>
      </c>
      <c r="G135" s="6">
        <f t="shared" si="25"/>
        <v>106094.46042540202</v>
      </c>
      <c r="H135" s="6">
        <f t="shared" si="26"/>
        <v>75289.77069531125</v>
      </c>
      <c r="I135" s="6">
        <f t="shared" si="27"/>
        <v>181384.23112071355</v>
      </c>
      <c r="J135" s="6">
        <f t="shared" si="28"/>
        <v>174710.22930468721</v>
      </c>
    </row>
    <row r="136" spans="1:10" x14ac:dyDescent="0.25">
      <c r="A136">
        <f t="shared" si="20"/>
        <v>131</v>
      </c>
      <c r="B136" s="2">
        <f t="shared" ca="1" si="21"/>
        <v>45912</v>
      </c>
      <c r="C136" s="2" t="str">
        <f t="shared" ca="1" si="29"/>
        <v>wrzesień</v>
      </c>
      <c r="D136" s="6">
        <f t="shared" si="22"/>
        <v>1395.2633163131788</v>
      </c>
      <c r="E136" s="6">
        <f t="shared" si="23"/>
        <v>660.9870342027333</v>
      </c>
      <c r="F136" s="6">
        <f t="shared" si="24"/>
        <v>734.27628211044555</v>
      </c>
      <c r="G136" s="6">
        <f t="shared" si="25"/>
        <v>106755.44745960475</v>
      </c>
      <c r="H136" s="6">
        <f t="shared" si="26"/>
        <v>76024.046977421691</v>
      </c>
      <c r="I136" s="6">
        <f t="shared" si="27"/>
        <v>182779.49443702673</v>
      </c>
      <c r="J136" s="6">
        <f t="shared" si="28"/>
        <v>173975.95302257675</v>
      </c>
    </row>
    <row r="137" spans="1:10" x14ac:dyDescent="0.25">
      <c r="A137">
        <f t="shared" si="20"/>
        <v>132</v>
      </c>
      <c r="B137" s="2">
        <f t="shared" ca="1" si="21"/>
        <v>45942</v>
      </c>
      <c r="C137" s="2" t="str">
        <f t="shared" ca="1" si="29"/>
        <v>październik</v>
      </c>
      <c r="D137" s="6">
        <f t="shared" si="22"/>
        <v>1395.2633163131788</v>
      </c>
      <c r="E137" s="6">
        <f t="shared" si="23"/>
        <v>658.20902226874875</v>
      </c>
      <c r="F137" s="6">
        <f t="shared" si="24"/>
        <v>737.05429404443009</v>
      </c>
      <c r="G137" s="6">
        <f t="shared" si="25"/>
        <v>107413.65648187351</v>
      </c>
      <c r="H137" s="6">
        <f t="shared" si="26"/>
        <v>76761.101271466119</v>
      </c>
      <c r="I137" s="6">
        <f t="shared" si="27"/>
        <v>184174.75775333992</v>
      </c>
      <c r="J137" s="6">
        <f t="shared" si="28"/>
        <v>173238.89872853234</v>
      </c>
    </row>
    <row r="138" spans="1:10" x14ac:dyDescent="0.25">
      <c r="A138">
        <f t="shared" si="20"/>
        <v>133</v>
      </c>
      <c r="B138" s="2">
        <f t="shared" ca="1" si="21"/>
        <v>45973</v>
      </c>
      <c r="C138" s="2" t="str">
        <f t="shared" ca="1" si="29"/>
        <v>listopad</v>
      </c>
      <c r="D138" s="6">
        <f t="shared" si="22"/>
        <v>1395.2633163131788</v>
      </c>
      <c r="E138" s="6">
        <f t="shared" si="23"/>
        <v>655.42050018961402</v>
      </c>
      <c r="F138" s="6">
        <f t="shared" si="24"/>
        <v>739.84281612356483</v>
      </c>
      <c r="G138" s="6">
        <f t="shared" si="25"/>
        <v>108069.07698206312</v>
      </c>
      <c r="H138" s="6">
        <f t="shared" si="26"/>
        <v>77500.944087589683</v>
      </c>
      <c r="I138" s="6">
        <f t="shared" si="27"/>
        <v>185570.0210696531</v>
      </c>
      <c r="J138" s="6">
        <f t="shared" si="28"/>
        <v>172499.05591240874</v>
      </c>
    </row>
    <row r="139" spans="1:10" x14ac:dyDescent="0.25">
      <c r="A139">
        <f t="shared" si="20"/>
        <v>134</v>
      </c>
      <c r="B139" s="2">
        <f t="shared" ca="1" si="21"/>
        <v>46003</v>
      </c>
      <c r="C139" s="2" t="str">
        <f t="shared" ca="1" si="29"/>
        <v>grudzień</v>
      </c>
      <c r="D139" s="6">
        <f t="shared" si="22"/>
        <v>1395.2633163131788</v>
      </c>
      <c r="E139" s="6">
        <f t="shared" si="23"/>
        <v>652.62142820194651</v>
      </c>
      <c r="F139" s="6">
        <f t="shared" si="24"/>
        <v>742.64188811123233</v>
      </c>
      <c r="G139" s="6">
        <f t="shared" si="25"/>
        <v>108721.69841026507</v>
      </c>
      <c r="H139" s="6">
        <f t="shared" si="26"/>
        <v>78243.585975700917</v>
      </c>
      <c r="I139" s="6">
        <f t="shared" si="27"/>
        <v>186965.28438596628</v>
      </c>
      <c r="J139" s="6">
        <f t="shared" si="28"/>
        <v>171756.41402429753</v>
      </c>
    </row>
    <row r="140" spans="1:10" x14ac:dyDescent="0.25">
      <c r="A140">
        <f t="shared" si="20"/>
        <v>135</v>
      </c>
      <c r="B140" s="2">
        <f t="shared" ca="1" si="21"/>
        <v>46034</v>
      </c>
      <c r="C140" s="2" t="str">
        <f t="shared" ca="1" si="29"/>
        <v>styczeń</v>
      </c>
      <c r="D140" s="6">
        <f t="shared" si="22"/>
        <v>1395.2633163131788</v>
      </c>
      <c r="E140" s="6">
        <f t="shared" si="23"/>
        <v>649.81176639192574</v>
      </c>
      <c r="F140" s="6">
        <f t="shared" si="24"/>
        <v>745.4515499212531</v>
      </c>
      <c r="G140" s="6">
        <f t="shared" si="25"/>
        <v>109371.510176657</v>
      </c>
      <c r="H140" s="6">
        <f t="shared" si="26"/>
        <v>78989.037525622174</v>
      </c>
      <c r="I140" s="6">
        <f t="shared" si="27"/>
        <v>188360.54770227947</v>
      </c>
      <c r="J140" s="6">
        <f t="shared" si="28"/>
        <v>171010.96247437625</v>
      </c>
    </row>
    <row r="141" spans="1:10" x14ac:dyDescent="0.25">
      <c r="A141">
        <f t="shared" si="20"/>
        <v>136</v>
      </c>
      <c r="B141" s="2">
        <f t="shared" ca="1" si="21"/>
        <v>46065</v>
      </c>
      <c r="C141" s="2" t="str">
        <f t="shared" ca="1" si="29"/>
        <v>luty</v>
      </c>
      <c r="D141" s="6">
        <f t="shared" si="22"/>
        <v>1395.2633163131788</v>
      </c>
      <c r="E141" s="6">
        <f t="shared" si="23"/>
        <v>646.99147469472348</v>
      </c>
      <c r="F141" s="6">
        <f t="shared" si="24"/>
        <v>748.27184161845537</v>
      </c>
      <c r="G141" s="6">
        <f t="shared" si="25"/>
        <v>110018.50165135172</v>
      </c>
      <c r="H141" s="6">
        <f t="shared" si="26"/>
        <v>79737.309367240625</v>
      </c>
      <c r="I141" s="6">
        <f t="shared" si="27"/>
        <v>189755.81101859265</v>
      </c>
      <c r="J141" s="6">
        <f t="shared" si="28"/>
        <v>170262.69063275782</v>
      </c>
    </row>
    <row r="142" spans="1:10" x14ac:dyDescent="0.25">
      <c r="A142">
        <f t="shared" si="20"/>
        <v>137</v>
      </c>
      <c r="B142" s="2">
        <f t="shared" ca="1" si="21"/>
        <v>46093</v>
      </c>
      <c r="C142" s="2" t="str">
        <f t="shared" ca="1" si="29"/>
        <v>marzec</v>
      </c>
      <c r="D142" s="6">
        <f t="shared" si="22"/>
        <v>1395.2633163131788</v>
      </c>
      <c r="E142" s="6">
        <f t="shared" si="23"/>
        <v>644.16051289393374</v>
      </c>
      <c r="F142" s="6">
        <f t="shared" si="24"/>
        <v>751.10280341924511</v>
      </c>
      <c r="G142" s="6">
        <f t="shared" si="25"/>
        <v>110662.66216424566</v>
      </c>
      <c r="H142" s="6">
        <f t="shared" si="26"/>
        <v>80488.412170659867</v>
      </c>
      <c r="I142" s="6">
        <f t="shared" si="27"/>
        <v>191151.07433490583</v>
      </c>
      <c r="J142" s="6">
        <f t="shared" si="28"/>
        <v>169511.58782933856</v>
      </c>
    </row>
    <row r="143" spans="1:10" x14ac:dyDescent="0.25">
      <c r="A143">
        <f t="shared" si="20"/>
        <v>138</v>
      </c>
      <c r="B143" s="2">
        <f t="shared" ca="1" si="21"/>
        <v>46124</v>
      </c>
      <c r="C143" s="2" t="str">
        <f t="shared" ca="1" si="29"/>
        <v>kwiecień</v>
      </c>
      <c r="D143" s="6">
        <f t="shared" si="22"/>
        <v>1395.2633163131788</v>
      </c>
      <c r="E143" s="6">
        <f t="shared" si="23"/>
        <v>641.31884062099755</v>
      </c>
      <c r="F143" s="6">
        <f t="shared" si="24"/>
        <v>753.9444756921813</v>
      </c>
      <c r="G143" s="6">
        <f t="shared" si="25"/>
        <v>111303.98100486665</v>
      </c>
      <c r="H143" s="6">
        <f t="shared" si="26"/>
        <v>81242.356646352055</v>
      </c>
      <c r="I143" s="6">
        <f t="shared" si="27"/>
        <v>192546.33765121902</v>
      </c>
      <c r="J143" s="6">
        <f t="shared" si="28"/>
        <v>168757.64335364636</v>
      </c>
    </row>
    <row r="144" spans="1:10" x14ac:dyDescent="0.25">
      <c r="A144">
        <f t="shared" si="20"/>
        <v>139</v>
      </c>
      <c r="B144" s="2">
        <f t="shared" ca="1" si="21"/>
        <v>46154</v>
      </c>
      <c r="C144" s="2" t="str">
        <f t="shared" ca="1" si="29"/>
        <v>maj</v>
      </c>
      <c r="D144" s="6">
        <f t="shared" si="22"/>
        <v>1395.2633163131788</v>
      </c>
      <c r="E144" s="6">
        <f t="shared" si="23"/>
        <v>638.46641735462879</v>
      </c>
      <c r="F144" s="6">
        <f t="shared" si="24"/>
        <v>756.79689895855006</v>
      </c>
      <c r="G144" s="6">
        <f t="shared" si="25"/>
        <v>111942.44742222129</v>
      </c>
      <c r="H144" s="6">
        <f t="shared" si="26"/>
        <v>81999.153545310604</v>
      </c>
      <c r="I144" s="6">
        <f t="shared" si="27"/>
        <v>193941.6009675322</v>
      </c>
      <c r="J144" s="6">
        <f t="shared" si="28"/>
        <v>168000.84645468782</v>
      </c>
    </row>
    <row r="145" spans="1:10" x14ac:dyDescent="0.25">
      <c r="A145">
        <f t="shared" si="20"/>
        <v>140</v>
      </c>
      <c r="B145" s="2">
        <f t="shared" ca="1" si="21"/>
        <v>46185</v>
      </c>
      <c r="C145" s="2" t="str">
        <f t="shared" ca="1" si="29"/>
        <v>czerwiec</v>
      </c>
      <c r="D145" s="6">
        <f t="shared" si="22"/>
        <v>1395.2633163131788</v>
      </c>
      <c r="E145" s="6">
        <f t="shared" si="23"/>
        <v>635.60320242023568</v>
      </c>
      <c r="F145" s="6">
        <f t="shared" si="24"/>
        <v>759.66011389294317</v>
      </c>
      <c r="G145" s="6">
        <f t="shared" si="25"/>
        <v>112578.05062464152</v>
      </c>
      <c r="H145" s="6">
        <f t="shared" si="26"/>
        <v>82758.813659203544</v>
      </c>
      <c r="I145" s="6">
        <f t="shared" si="27"/>
        <v>195336.86428384538</v>
      </c>
      <c r="J145" s="6">
        <f t="shared" si="28"/>
        <v>167241.18634079484</v>
      </c>
    </row>
    <row r="146" spans="1:10" x14ac:dyDescent="0.25">
      <c r="A146">
        <f t="shared" si="20"/>
        <v>141</v>
      </c>
      <c r="B146" s="2">
        <f t="shared" ca="1" si="21"/>
        <v>46215</v>
      </c>
      <c r="C146" s="2" t="str">
        <f t="shared" ca="1" si="29"/>
        <v>lipiec</v>
      </c>
      <c r="D146" s="6">
        <f t="shared" si="22"/>
        <v>1395.2633163131788</v>
      </c>
      <c r="E146" s="6">
        <f t="shared" si="23"/>
        <v>632.72915498934049</v>
      </c>
      <c r="F146" s="6">
        <f t="shared" si="24"/>
        <v>762.53416132383836</v>
      </c>
      <c r="G146" s="6">
        <f t="shared" si="25"/>
        <v>113210.77977963086</v>
      </c>
      <c r="H146" s="6">
        <f t="shared" si="26"/>
        <v>83521.347820527386</v>
      </c>
      <c r="I146" s="6">
        <f t="shared" si="27"/>
        <v>196732.12760015856</v>
      </c>
      <c r="J146" s="6">
        <f t="shared" si="28"/>
        <v>166478.65217947098</v>
      </c>
    </row>
    <row r="147" spans="1:10" x14ac:dyDescent="0.25">
      <c r="A147">
        <f t="shared" si="20"/>
        <v>142</v>
      </c>
      <c r="B147" s="2">
        <f t="shared" ca="1" si="21"/>
        <v>46246</v>
      </c>
      <c r="C147" s="2" t="str">
        <f t="shared" ca="1" si="29"/>
        <v>sierpień</v>
      </c>
      <c r="D147" s="6">
        <f t="shared" si="22"/>
        <v>1395.2633163131788</v>
      </c>
      <c r="E147" s="6">
        <f t="shared" si="23"/>
        <v>629.84423407899862</v>
      </c>
      <c r="F147" s="6">
        <f t="shared" si="24"/>
        <v>765.41908223418022</v>
      </c>
      <c r="G147" s="6">
        <f t="shared" si="25"/>
        <v>113840.62401370985</v>
      </c>
      <c r="H147" s="6">
        <f t="shared" si="26"/>
        <v>84286.766902761563</v>
      </c>
      <c r="I147" s="6">
        <f t="shared" si="27"/>
        <v>198127.39091647175</v>
      </c>
      <c r="J147" s="6">
        <f t="shared" si="28"/>
        <v>165713.23309723681</v>
      </c>
    </row>
    <row r="148" spans="1:10" x14ac:dyDescent="0.25">
      <c r="A148">
        <f t="shared" si="20"/>
        <v>143</v>
      </c>
      <c r="B148" s="2">
        <f t="shared" ca="1" si="21"/>
        <v>46277</v>
      </c>
      <c r="C148" s="2" t="str">
        <f t="shared" ca="1" si="29"/>
        <v>wrzesień</v>
      </c>
      <c r="D148" s="6">
        <f t="shared" si="22"/>
        <v>1395.2633163131788</v>
      </c>
      <c r="E148" s="6">
        <f t="shared" si="23"/>
        <v>626.94839855121256</v>
      </c>
      <c r="F148" s="6">
        <f t="shared" si="24"/>
        <v>768.31491776196629</v>
      </c>
      <c r="G148" s="6">
        <f t="shared" si="25"/>
        <v>114467.57241226107</v>
      </c>
      <c r="H148" s="6">
        <f t="shared" si="26"/>
        <v>85055.081820523526</v>
      </c>
      <c r="I148" s="6">
        <f t="shared" si="27"/>
        <v>199522.65423278493</v>
      </c>
      <c r="J148" s="6">
        <f t="shared" si="28"/>
        <v>164944.91817947486</v>
      </c>
    </row>
    <row r="149" spans="1:10" x14ac:dyDescent="0.25">
      <c r="A149">
        <f t="shared" si="20"/>
        <v>144</v>
      </c>
      <c r="B149" s="2">
        <f t="shared" ca="1" si="21"/>
        <v>46307</v>
      </c>
      <c r="C149" s="2" t="str">
        <f t="shared" ca="1" si="29"/>
        <v>październik</v>
      </c>
      <c r="D149" s="6">
        <f t="shared" si="22"/>
        <v>1395.2633163131788</v>
      </c>
      <c r="E149" s="6">
        <f t="shared" si="23"/>
        <v>624.04160711234658</v>
      </c>
      <c r="F149" s="6">
        <f t="shared" si="24"/>
        <v>771.22170920083227</v>
      </c>
      <c r="G149" s="6">
        <f t="shared" si="25"/>
        <v>115091.61401937342</v>
      </c>
      <c r="H149" s="6">
        <f t="shared" si="26"/>
        <v>85826.303529724362</v>
      </c>
      <c r="I149" s="6">
        <f t="shared" si="27"/>
        <v>200917.91754909811</v>
      </c>
      <c r="J149" s="6">
        <f t="shared" si="28"/>
        <v>164173.69647027401</v>
      </c>
    </row>
    <row r="150" spans="1:10" x14ac:dyDescent="0.25">
      <c r="A150">
        <f t="shared" si="20"/>
        <v>145</v>
      </c>
      <c r="B150" s="2">
        <f t="shared" ca="1" si="21"/>
        <v>46338</v>
      </c>
      <c r="C150" s="2" t="str">
        <f t="shared" ca="1" si="29"/>
        <v>listopad</v>
      </c>
      <c r="D150" s="6">
        <f t="shared" si="22"/>
        <v>1395.2633163131788</v>
      </c>
      <c r="E150" s="6">
        <f t="shared" si="23"/>
        <v>621.12381831253663</v>
      </c>
      <c r="F150" s="6">
        <f t="shared" si="24"/>
        <v>774.13949800064222</v>
      </c>
      <c r="G150" s="6">
        <f t="shared" si="25"/>
        <v>115712.73783768596</v>
      </c>
      <c r="H150" s="6">
        <f t="shared" si="26"/>
        <v>86600.443027725007</v>
      </c>
      <c r="I150" s="6">
        <f t="shared" si="27"/>
        <v>202313.1808654113</v>
      </c>
      <c r="J150" s="6">
        <f t="shared" si="28"/>
        <v>163399.55697227339</v>
      </c>
    </row>
    <row r="151" spans="1:10" x14ac:dyDescent="0.25">
      <c r="A151">
        <f t="shared" si="20"/>
        <v>146</v>
      </c>
      <c r="B151" s="2">
        <f t="shared" ca="1" si="21"/>
        <v>46368</v>
      </c>
      <c r="C151" s="2" t="str">
        <f t="shared" ca="1" si="29"/>
        <v>grudzień</v>
      </c>
      <c r="D151" s="6">
        <f t="shared" si="22"/>
        <v>1395.2633163131788</v>
      </c>
      <c r="E151" s="6">
        <f t="shared" si="23"/>
        <v>618.19499054510106</v>
      </c>
      <c r="F151" s="6">
        <f t="shared" si="24"/>
        <v>777.06832576807778</v>
      </c>
      <c r="G151" s="6">
        <f t="shared" si="25"/>
        <v>116330.93282823106</v>
      </c>
      <c r="H151" s="6">
        <f t="shared" si="26"/>
        <v>87377.511353493086</v>
      </c>
      <c r="I151" s="6">
        <f t="shared" si="27"/>
        <v>203708.44418172448</v>
      </c>
      <c r="J151" s="6">
        <f t="shared" si="28"/>
        <v>162622.48864650528</v>
      </c>
    </row>
    <row r="152" spans="1:10" x14ac:dyDescent="0.25">
      <c r="A152">
        <f t="shared" si="20"/>
        <v>147</v>
      </c>
      <c r="B152" s="2">
        <f t="shared" ca="1" si="21"/>
        <v>46399</v>
      </c>
      <c r="C152" s="2" t="str">
        <f t="shared" ca="1" si="29"/>
        <v>styczeń</v>
      </c>
      <c r="D152" s="6">
        <f t="shared" si="22"/>
        <v>1395.2633163131788</v>
      </c>
      <c r="E152" s="6">
        <f t="shared" si="23"/>
        <v>615.25508204594496</v>
      </c>
      <c r="F152" s="6">
        <f t="shared" si="24"/>
        <v>780.00823426723389</v>
      </c>
      <c r="G152" s="6">
        <f t="shared" si="25"/>
        <v>116946.187910277</v>
      </c>
      <c r="H152" s="6">
        <f t="shared" si="26"/>
        <v>88157.519587760326</v>
      </c>
      <c r="I152" s="6">
        <f t="shared" si="27"/>
        <v>205103.70749803766</v>
      </c>
      <c r="J152" s="6">
        <f t="shared" si="28"/>
        <v>161842.48041223804</v>
      </c>
    </row>
    <row r="153" spans="1:10" x14ac:dyDescent="0.25">
      <c r="A153">
        <f t="shared" si="20"/>
        <v>148</v>
      </c>
      <c r="B153" s="2">
        <f t="shared" ca="1" si="21"/>
        <v>46430</v>
      </c>
      <c r="C153" s="2" t="str">
        <f t="shared" ca="1" si="29"/>
        <v>luty</v>
      </c>
      <c r="D153" s="6">
        <f t="shared" si="22"/>
        <v>1395.2633163131788</v>
      </c>
      <c r="E153" s="6">
        <f t="shared" si="23"/>
        <v>612.30405089296733</v>
      </c>
      <c r="F153" s="6">
        <f t="shared" si="24"/>
        <v>782.95926542021152</v>
      </c>
      <c r="G153" s="6">
        <f t="shared" si="25"/>
        <v>117558.49196116997</v>
      </c>
      <c r="H153" s="6">
        <f t="shared" si="26"/>
        <v>88940.478853180539</v>
      </c>
      <c r="I153" s="6">
        <f t="shared" si="27"/>
        <v>206498.97081435085</v>
      </c>
      <c r="J153" s="6">
        <f t="shared" si="28"/>
        <v>161059.52114681783</v>
      </c>
    </row>
    <row r="154" spans="1:10" x14ac:dyDescent="0.25">
      <c r="A154">
        <f t="shared" si="20"/>
        <v>149</v>
      </c>
      <c r="B154" s="2">
        <f t="shared" ca="1" si="21"/>
        <v>46458</v>
      </c>
      <c r="C154" s="2" t="str">
        <f t="shared" ca="1" si="29"/>
        <v>marzec</v>
      </c>
      <c r="D154" s="6">
        <f t="shared" si="22"/>
        <v>1395.2633163131788</v>
      </c>
      <c r="E154" s="6">
        <f t="shared" si="23"/>
        <v>609.34185500546084</v>
      </c>
      <c r="F154" s="6">
        <f t="shared" si="24"/>
        <v>785.921461307718</v>
      </c>
      <c r="G154" s="6">
        <f t="shared" si="25"/>
        <v>118167.83381617544</v>
      </c>
      <c r="H154" s="6">
        <f t="shared" si="26"/>
        <v>89726.400314488259</v>
      </c>
      <c r="I154" s="6">
        <f t="shared" si="27"/>
        <v>207894.23413066403</v>
      </c>
      <c r="J154" s="6">
        <f t="shared" si="28"/>
        <v>160273.59968551007</v>
      </c>
    </row>
    <row r="155" spans="1:10" x14ac:dyDescent="0.25">
      <c r="A155">
        <f t="shared" si="20"/>
        <v>150</v>
      </c>
      <c r="B155" s="2">
        <f t="shared" ca="1" si="21"/>
        <v>46489</v>
      </c>
      <c r="C155" s="2" t="str">
        <f t="shared" ca="1" si="29"/>
        <v>kwiecień</v>
      </c>
      <c r="D155" s="6">
        <f t="shared" si="22"/>
        <v>1395.2633163131788</v>
      </c>
      <c r="E155" s="6">
        <f t="shared" si="23"/>
        <v>606.36845214351308</v>
      </c>
      <c r="F155" s="6">
        <f t="shared" si="24"/>
        <v>788.89486416966577</v>
      </c>
      <c r="G155" s="6">
        <f t="shared" si="25"/>
        <v>118774.20226831894</v>
      </c>
      <c r="H155" s="6">
        <f t="shared" si="26"/>
        <v>90515.295178657921</v>
      </c>
      <c r="I155" s="6">
        <f t="shared" si="27"/>
        <v>209289.49744697721</v>
      </c>
      <c r="J155" s="6">
        <f t="shared" si="28"/>
        <v>159484.70482134045</v>
      </c>
    </row>
    <row r="156" spans="1:10" x14ac:dyDescent="0.25">
      <c r="A156">
        <f t="shared" si="20"/>
        <v>151</v>
      </c>
      <c r="B156" s="2">
        <f t="shared" ca="1" si="21"/>
        <v>46519</v>
      </c>
      <c r="C156" s="2" t="str">
        <f t="shared" ca="1" si="29"/>
        <v>maj</v>
      </c>
      <c r="D156" s="6">
        <f t="shared" si="22"/>
        <v>1395.2633163131788</v>
      </c>
      <c r="E156" s="6">
        <f t="shared" si="23"/>
        <v>603.38379990740475</v>
      </c>
      <c r="F156" s="6">
        <f t="shared" si="24"/>
        <v>791.8795164057741</v>
      </c>
      <c r="G156" s="6">
        <f t="shared" si="25"/>
        <v>119377.58606822634</v>
      </c>
      <c r="H156" s="6">
        <f t="shared" si="26"/>
        <v>91307.174695063703</v>
      </c>
      <c r="I156" s="6">
        <f t="shared" si="27"/>
        <v>210684.7607632904</v>
      </c>
      <c r="J156" s="6">
        <f t="shared" si="28"/>
        <v>158692.82530493467</v>
      </c>
    </row>
    <row r="157" spans="1:10" x14ac:dyDescent="0.25">
      <c r="A157">
        <f t="shared" si="20"/>
        <v>152</v>
      </c>
      <c r="B157" s="2">
        <f t="shared" ca="1" si="21"/>
        <v>46550</v>
      </c>
      <c r="C157" s="2" t="str">
        <f t="shared" ca="1" si="29"/>
        <v>czerwiec</v>
      </c>
      <c r="D157" s="6">
        <f t="shared" si="22"/>
        <v>1395.2633163131788</v>
      </c>
      <c r="E157" s="6">
        <f t="shared" si="23"/>
        <v>600.38785573700284</v>
      </c>
      <c r="F157" s="6">
        <f t="shared" si="24"/>
        <v>794.87546057617601</v>
      </c>
      <c r="G157" s="6">
        <f t="shared" si="25"/>
        <v>119977.97392396335</v>
      </c>
      <c r="H157" s="6">
        <f t="shared" si="26"/>
        <v>92102.050155639881</v>
      </c>
      <c r="I157" s="6">
        <f t="shared" si="27"/>
        <v>212080.02407960358</v>
      </c>
      <c r="J157" s="6">
        <f t="shared" si="28"/>
        <v>157897.94984435852</v>
      </c>
    </row>
    <row r="158" spans="1:10" x14ac:dyDescent="0.25">
      <c r="A158">
        <f t="shared" ref="A158:A221" si="30">IF($B$2&gt;A157,A157+1,"")</f>
        <v>153</v>
      </c>
      <c r="B158" s="2">
        <f t="shared" ref="B158:B221" ca="1" si="31">IF(A158&lt;&gt;"",DATE(YEAR(B157),MONTH(B157) + 1,DAY(B157)),"")</f>
        <v>46580</v>
      </c>
      <c r="C158" s="2" t="str">
        <f t="shared" ca="1" si="29"/>
        <v>lipiec</v>
      </c>
      <c r="D158" s="6">
        <f t="shared" ref="D158:D221" si="32">IF(A158&lt;&gt;"",$F$4,"")</f>
        <v>1395.2633163131788</v>
      </c>
      <c r="E158" s="6">
        <f t="shared" ref="E158:E221" si="33">IF(A158&lt;&gt;"",J157*$B$3/12,"")</f>
        <v>597.38057691115648</v>
      </c>
      <c r="F158" s="6">
        <f t="shared" ref="F158:F221" si="34">IF(A158&lt;&gt;"",D158-E158,"")</f>
        <v>797.88273940202237</v>
      </c>
      <c r="G158" s="6">
        <f t="shared" ref="G158:G221" si="35">IF(A158&lt;&gt;"",G157+E158,"")</f>
        <v>120575.3545008745</v>
      </c>
      <c r="H158" s="6">
        <f t="shared" ref="H158:H221" si="36">IF(A158&lt;&gt;"",H157+F158,"")</f>
        <v>92899.9328950419</v>
      </c>
      <c r="I158" s="6">
        <f t="shared" ref="I158:I221" si="37">IF(A158&lt;&gt;"",D158+I157,"")</f>
        <v>213475.28739591676</v>
      </c>
      <c r="J158" s="6">
        <f t="shared" ref="J158:J221" si="38">IF(A158&lt;&gt;"",$B$1*(($F$1^$B$2-$F$1^A158)/($F$1^$B$2-1)),"")</f>
        <v>157100.06710495648</v>
      </c>
    </row>
    <row r="159" spans="1:10" x14ac:dyDescent="0.25">
      <c r="A159">
        <f t="shared" si="30"/>
        <v>154</v>
      </c>
      <c r="B159" s="2">
        <f t="shared" ca="1" si="31"/>
        <v>46611</v>
      </c>
      <c r="C159" s="2" t="str">
        <f t="shared" ca="1" si="29"/>
        <v>sierpień</v>
      </c>
      <c r="D159" s="6">
        <f t="shared" si="32"/>
        <v>1395.2633163131788</v>
      </c>
      <c r="E159" s="6">
        <f t="shared" si="33"/>
        <v>594.36192054708533</v>
      </c>
      <c r="F159" s="6">
        <f t="shared" si="34"/>
        <v>800.90139576609351</v>
      </c>
      <c r="G159" s="6">
        <f t="shared" si="35"/>
        <v>121169.71642142159</v>
      </c>
      <c r="H159" s="6">
        <f t="shared" si="36"/>
        <v>93700.834290807994</v>
      </c>
      <c r="I159" s="6">
        <f t="shared" si="37"/>
        <v>214870.55071222995</v>
      </c>
      <c r="J159" s="6">
        <f t="shared" si="38"/>
        <v>156299.16570919033</v>
      </c>
    </row>
    <row r="160" spans="1:10" x14ac:dyDescent="0.25">
      <c r="A160">
        <f t="shared" si="30"/>
        <v>155</v>
      </c>
      <c r="B160" s="2">
        <f t="shared" ca="1" si="31"/>
        <v>46642</v>
      </c>
      <c r="C160" s="2" t="str">
        <f t="shared" ca="1" si="29"/>
        <v>wrzesień</v>
      </c>
      <c r="D160" s="6">
        <f t="shared" si="32"/>
        <v>1395.2633163131788</v>
      </c>
      <c r="E160" s="6">
        <f t="shared" si="33"/>
        <v>591.3318435997702</v>
      </c>
      <c r="F160" s="6">
        <f t="shared" si="34"/>
        <v>803.93147271340865</v>
      </c>
      <c r="G160" s="6">
        <f t="shared" si="35"/>
        <v>121761.04826502135</v>
      </c>
      <c r="H160" s="6">
        <f t="shared" si="36"/>
        <v>94504.765763521398</v>
      </c>
      <c r="I160" s="6">
        <f t="shared" si="37"/>
        <v>216265.81402854313</v>
      </c>
      <c r="J160" s="6">
        <f t="shared" si="38"/>
        <v>155495.23423647694</v>
      </c>
    </row>
    <row r="161" spans="1:10" x14ac:dyDescent="0.25">
      <c r="A161">
        <f t="shared" si="30"/>
        <v>156</v>
      </c>
      <c r="B161" s="2">
        <f t="shared" ca="1" si="31"/>
        <v>46672</v>
      </c>
      <c r="C161" s="2" t="str">
        <f t="shared" ca="1" si="29"/>
        <v>październik</v>
      </c>
      <c r="D161" s="6">
        <f t="shared" si="32"/>
        <v>1395.2633163131788</v>
      </c>
      <c r="E161" s="6">
        <f t="shared" si="33"/>
        <v>588.29030286133786</v>
      </c>
      <c r="F161" s="6">
        <f t="shared" si="34"/>
        <v>806.97301345184098</v>
      </c>
      <c r="G161" s="6">
        <f t="shared" si="35"/>
        <v>122349.33856788269</v>
      </c>
      <c r="H161" s="6">
        <f t="shared" si="36"/>
        <v>95311.738776973245</v>
      </c>
      <c r="I161" s="6">
        <f t="shared" si="37"/>
        <v>217661.07734485631</v>
      </c>
      <c r="J161" s="6">
        <f t="shared" si="38"/>
        <v>154688.26122302507</v>
      </c>
    </row>
    <row r="162" spans="1:10" x14ac:dyDescent="0.25">
      <c r="A162">
        <f t="shared" si="30"/>
        <v>157</v>
      </c>
      <c r="B162" s="2">
        <f t="shared" ca="1" si="31"/>
        <v>46703</v>
      </c>
      <c r="C162" s="2" t="str">
        <f t="shared" ca="1" si="29"/>
        <v>listopad</v>
      </c>
      <c r="D162" s="6">
        <f t="shared" si="32"/>
        <v>1395.2633163131788</v>
      </c>
      <c r="E162" s="6">
        <f t="shared" si="33"/>
        <v>585.23725496044483</v>
      </c>
      <c r="F162" s="6">
        <f t="shared" si="34"/>
        <v>810.02606135273402</v>
      </c>
      <c r="G162" s="6">
        <f t="shared" si="35"/>
        <v>122934.57582284314</v>
      </c>
      <c r="H162" s="6">
        <f t="shared" si="36"/>
        <v>96121.76483832598</v>
      </c>
      <c r="I162" s="6">
        <f t="shared" si="37"/>
        <v>219056.3406611695</v>
      </c>
      <c r="J162" s="6">
        <f t="shared" si="38"/>
        <v>153878.23516167235</v>
      </c>
    </row>
    <row r="163" spans="1:10" x14ac:dyDescent="0.25">
      <c r="A163">
        <f t="shared" si="30"/>
        <v>158</v>
      </c>
      <c r="B163" s="2">
        <f t="shared" ca="1" si="31"/>
        <v>46733</v>
      </c>
      <c r="C163" s="2" t="str">
        <f t="shared" ca="1" si="29"/>
        <v>grudzień</v>
      </c>
      <c r="D163" s="6">
        <f t="shared" si="32"/>
        <v>1395.2633163131788</v>
      </c>
      <c r="E163" s="6">
        <f t="shared" si="33"/>
        <v>582.17265636166042</v>
      </c>
      <c r="F163" s="6">
        <f t="shared" si="34"/>
        <v>813.09065995151843</v>
      </c>
      <c r="G163" s="6">
        <f t="shared" si="35"/>
        <v>123516.74847920479</v>
      </c>
      <c r="H163" s="6">
        <f t="shared" si="36"/>
        <v>96934.855498277495</v>
      </c>
      <c r="I163" s="6">
        <f t="shared" si="37"/>
        <v>220451.60397748268</v>
      </c>
      <c r="J163" s="6">
        <f t="shared" si="38"/>
        <v>153065.14450172085</v>
      </c>
    </row>
    <row r="164" spans="1:10" x14ac:dyDescent="0.25">
      <c r="A164">
        <f t="shared" si="30"/>
        <v>159</v>
      </c>
      <c r="B164" s="2">
        <f t="shared" ca="1" si="31"/>
        <v>46764</v>
      </c>
      <c r="C164" s="2" t="str">
        <f t="shared" ca="1" si="29"/>
        <v>styczeń</v>
      </c>
      <c r="D164" s="6">
        <f t="shared" si="32"/>
        <v>1395.2633163131788</v>
      </c>
      <c r="E164" s="6">
        <f t="shared" si="33"/>
        <v>579.09646336484388</v>
      </c>
      <c r="F164" s="6">
        <f t="shared" si="34"/>
        <v>816.16685294833496</v>
      </c>
      <c r="G164" s="6">
        <f t="shared" si="35"/>
        <v>124095.84494256963</v>
      </c>
      <c r="H164" s="6">
        <f t="shared" si="36"/>
        <v>97751.022351225824</v>
      </c>
      <c r="I164" s="6">
        <f t="shared" si="37"/>
        <v>221846.86729379586</v>
      </c>
      <c r="J164" s="6">
        <f t="shared" si="38"/>
        <v>152248.97764877247</v>
      </c>
    </row>
    <row r="165" spans="1:10" x14ac:dyDescent="0.25">
      <c r="A165">
        <f t="shared" si="30"/>
        <v>160</v>
      </c>
      <c r="B165" s="2">
        <f t="shared" ca="1" si="31"/>
        <v>46795</v>
      </c>
      <c r="C165" s="2" t="str">
        <f t="shared" ca="1" si="29"/>
        <v>luty</v>
      </c>
      <c r="D165" s="6">
        <f t="shared" si="32"/>
        <v>1395.2633163131788</v>
      </c>
      <c r="E165" s="6">
        <f t="shared" si="33"/>
        <v>576.00863210452258</v>
      </c>
      <c r="F165" s="6">
        <f t="shared" si="34"/>
        <v>819.25468420865627</v>
      </c>
      <c r="G165" s="6">
        <f t="shared" si="35"/>
        <v>124671.85357467415</v>
      </c>
      <c r="H165" s="6">
        <f t="shared" si="36"/>
        <v>98570.277035434483</v>
      </c>
      <c r="I165" s="6">
        <f t="shared" si="37"/>
        <v>223242.13061010904</v>
      </c>
      <c r="J165" s="6">
        <f t="shared" si="38"/>
        <v>151429.72296456384</v>
      </c>
    </row>
    <row r="166" spans="1:10" x14ac:dyDescent="0.25">
      <c r="A166">
        <f t="shared" si="30"/>
        <v>161</v>
      </c>
      <c r="B166" s="2">
        <f t="shared" ca="1" si="31"/>
        <v>46824</v>
      </c>
      <c r="C166" s="2" t="str">
        <f t="shared" ca="1" si="29"/>
        <v>marzec</v>
      </c>
      <c r="D166" s="6">
        <f t="shared" si="32"/>
        <v>1395.2633163131788</v>
      </c>
      <c r="E166" s="6">
        <f t="shared" si="33"/>
        <v>572.90911854926651</v>
      </c>
      <c r="F166" s="6">
        <f t="shared" si="34"/>
        <v>822.35419776391234</v>
      </c>
      <c r="G166" s="6">
        <f t="shared" si="35"/>
        <v>125244.76269322343</v>
      </c>
      <c r="H166" s="6">
        <f t="shared" si="36"/>
        <v>99392.631233198394</v>
      </c>
      <c r="I166" s="6">
        <f t="shared" si="37"/>
        <v>224637.39392642223</v>
      </c>
      <c r="J166" s="6">
        <f t="shared" si="38"/>
        <v>150607.36876679992</v>
      </c>
    </row>
    <row r="167" spans="1:10" x14ac:dyDescent="0.25">
      <c r="A167">
        <f t="shared" si="30"/>
        <v>162</v>
      </c>
      <c r="B167" s="2">
        <f t="shared" ca="1" si="31"/>
        <v>46855</v>
      </c>
      <c r="C167" s="2" t="str">
        <f t="shared" ca="1" si="29"/>
        <v>kwiecień</v>
      </c>
      <c r="D167" s="6">
        <f t="shared" si="32"/>
        <v>1395.2633163131788</v>
      </c>
      <c r="E167" s="6">
        <f t="shared" si="33"/>
        <v>569.7978785010597</v>
      </c>
      <c r="F167" s="6">
        <f t="shared" si="34"/>
        <v>825.46543781211915</v>
      </c>
      <c r="G167" s="6">
        <f t="shared" si="35"/>
        <v>125814.56057172449</v>
      </c>
      <c r="H167" s="6">
        <f t="shared" si="36"/>
        <v>100218.09667101051</v>
      </c>
      <c r="I167" s="6">
        <f t="shared" si="37"/>
        <v>226032.65724273541</v>
      </c>
      <c r="J167" s="6">
        <f t="shared" si="38"/>
        <v>149781.90332898777</v>
      </c>
    </row>
    <row r="168" spans="1:10" x14ac:dyDescent="0.25">
      <c r="A168">
        <f t="shared" si="30"/>
        <v>163</v>
      </c>
      <c r="B168" s="2">
        <f t="shared" ca="1" si="31"/>
        <v>46885</v>
      </c>
      <c r="C168" s="2" t="str">
        <f t="shared" ca="1" si="29"/>
        <v>maj</v>
      </c>
      <c r="D168" s="6">
        <f t="shared" si="32"/>
        <v>1395.2633163131788</v>
      </c>
      <c r="E168" s="6">
        <f t="shared" si="33"/>
        <v>566.67486759467045</v>
      </c>
      <c r="F168" s="6">
        <f t="shared" si="34"/>
        <v>828.5884487185084</v>
      </c>
      <c r="G168" s="6">
        <f t="shared" si="35"/>
        <v>126381.23543931916</v>
      </c>
      <c r="H168" s="6">
        <f t="shared" si="36"/>
        <v>101046.68511972902</v>
      </c>
      <c r="I168" s="6">
        <f t="shared" si="37"/>
        <v>227427.92055904859</v>
      </c>
      <c r="J168" s="6">
        <f t="shared" si="38"/>
        <v>148953.31488026929</v>
      </c>
    </row>
    <row r="169" spans="1:10" x14ac:dyDescent="0.25">
      <c r="A169">
        <f t="shared" si="30"/>
        <v>164</v>
      </c>
      <c r="B169" s="2">
        <f t="shared" ca="1" si="31"/>
        <v>46916</v>
      </c>
      <c r="C169" s="2" t="str">
        <f t="shared" ca="1" si="29"/>
        <v>czerwiec</v>
      </c>
      <c r="D169" s="6">
        <f t="shared" si="32"/>
        <v>1395.2633163131788</v>
      </c>
      <c r="E169" s="6">
        <f t="shared" si="33"/>
        <v>563.54004129701877</v>
      </c>
      <c r="F169" s="6">
        <f t="shared" si="34"/>
        <v>831.72327501616007</v>
      </c>
      <c r="G169" s="6">
        <f t="shared" si="35"/>
        <v>126944.77548061618</v>
      </c>
      <c r="H169" s="6">
        <f t="shared" si="36"/>
        <v>101878.40839474519</v>
      </c>
      <c r="I169" s="6">
        <f t="shared" si="37"/>
        <v>228823.18387536178</v>
      </c>
      <c r="J169" s="6">
        <f t="shared" si="38"/>
        <v>148121.59160525308</v>
      </c>
    </row>
    <row r="170" spans="1:10" x14ac:dyDescent="0.25">
      <c r="A170">
        <f t="shared" si="30"/>
        <v>165</v>
      </c>
      <c r="B170" s="2">
        <f t="shared" ca="1" si="31"/>
        <v>46946</v>
      </c>
      <c r="C170" s="2" t="str">
        <f t="shared" ca="1" si="29"/>
        <v>lipiec</v>
      </c>
      <c r="D170" s="6">
        <f t="shared" si="32"/>
        <v>1395.2633163131788</v>
      </c>
      <c r="E170" s="6">
        <f t="shared" si="33"/>
        <v>560.39335490654082</v>
      </c>
      <c r="F170" s="6">
        <f t="shared" si="34"/>
        <v>834.86996140663803</v>
      </c>
      <c r="G170" s="6">
        <f t="shared" si="35"/>
        <v>127505.16883552272</v>
      </c>
      <c r="H170" s="6">
        <f t="shared" si="36"/>
        <v>102713.27835615183</v>
      </c>
      <c r="I170" s="6">
        <f t="shared" si="37"/>
        <v>230218.44719167496</v>
      </c>
      <c r="J170" s="6">
        <f t="shared" si="38"/>
        <v>147286.72164384642</v>
      </c>
    </row>
    <row r="171" spans="1:10" x14ac:dyDescent="0.25">
      <c r="A171">
        <f t="shared" si="30"/>
        <v>166</v>
      </c>
      <c r="B171" s="2">
        <f t="shared" ca="1" si="31"/>
        <v>46977</v>
      </c>
      <c r="C171" s="2" t="str">
        <f t="shared" ca="1" si="29"/>
        <v>sierpień</v>
      </c>
      <c r="D171" s="6">
        <f t="shared" si="32"/>
        <v>1395.2633163131788</v>
      </c>
      <c r="E171" s="6">
        <f t="shared" si="33"/>
        <v>557.23476355255241</v>
      </c>
      <c r="F171" s="6">
        <f t="shared" si="34"/>
        <v>838.02855276062644</v>
      </c>
      <c r="G171" s="6">
        <f t="shared" si="35"/>
        <v>128062.40359907527</v>
      </c>
      <c r="H171" s="6">
        <f t="shared" si="36"/>
        <v>103551.30690891246</v>
      </c>
      <c r="I171" s="6">
        <f t="shared" si="37"/>
        <v>231613.71050798814</v>
      </c>
      <c r="J171" s="6">
        <f t="shared" si="38"/>
        <v>146448.69309108582</v>
      </c>
    </row>
    <row r="172" spans="1:10" x14ac:dyDescent="0.25">
      <c r="A172">
        <f t="shared" si="30"/>
        <v>167</v>
      </c>
      <c r="B172" s="2">
        <f t="shared" ca="1" si="31"/>
        <v>47008</v>
      </c>
      <c r="C172" s="2" t="str">
        <f t="shared" ca="1" si="29"/>
        <v>wrzesień</v>
      </c>
      <c r="D172" s="6">
        <f t="shared" si="32"/>
        <v>1395.2633163131788</v>
      </c>
      <c r="E172" s="6">
        <f t="shared" si="33"/>
        <v>554.06422219460808</v>
      </c>
      <c r="F172" s="6">
        <f t="shared" si="34"/>
        <v>841.19909411857077</v>
      </c>
      <c r="G172" s="6">
        <f t="shared" si="35"/>
        <v>128616.46782126988</v>
      </c>
      <c r="H172" s="6">
        <f t="shared" si="36"/>
        <v>104392.50600303103</v>
      </c>
      <c r="I172" s="6">
        <f t="shared" si="37"/>
        <v>233008.97382430133</v>
      </c>
      <c r="J172" s="6">
        <f t="shared" si="38"/>
        <v>145607.4939969673</v>
      </c>
    </row>
    <row r="173" spans="1:10" x14ac:dyDescent="0.25">
      <c r="A173">
        <f t="shared" si="30"/>
        <v>168</v>
      </c>
      <c r="B173" s="2">
        <f t="shared" ca="1" si="31"/>
        <v>47038</v>
      </c>
      <c r="C173" s="2" t="str">
        <f t="shared" ca="1" si="29"/>
        <v>październik</v>
      </c>
      <c r="D173" s="6">
        <f t="shared" si="32"/>
        <v>1395.2633163131788</v>
      </c>
      <c r="E173" s="6">
        <f t="shared" si="33"/>
        <v>550.88168562185967</v>
      </c>
      <c r="F173" s="6">
        <f t="shared" si="34"/>
        <v>844.38163069131917</v>
      </c>
      <c r="G173" s="6">
        <f t="shared" si="35"/>
        <v>129167.34950689174</v>
      </c>
      <c r="H173" s="6">
        <f t="shared" si="36"/>
        <v>105236.88763372235</v>
      </c>
      <c r="I173" s="6">
        <f t="shared" si="37"/>
        <v>234404.23714061451</v>
      </c>
      <c r="J173" s="6">
        <f t="shared" si="38"/>
        <v>144763.11236627592</v>
      </c>
    </row>
    <row r="174" spans="1:10" x14ac:dyDescent="0.25">
      <c r="A174">
        <f t="shared" si="30"/>
        <v>169</v>
      </c>
      <c r="B174" s="2">
        <f t="shared" ca="1" si="31"/>
        <v>47069</v>
      </c>
      <c r="C174" s="2" t="str">
        <f t="shared" ca="1" si="29"/>
        <v>listopad</v>
      </c>
      <c r="D174" s="6">
        <f t="shared" si="32"/>
        <v>1395.2633163131788</v>
      </c>
      <c r="E174" s="6">
        <f t="shared" si="33"/>
        <v>547.6871084524106</v>
      </c>
      <c r="F174" s="6">
        <f t="shared" si="34"/>
        <v>847.57620786076825</v>
      </c>
      <c r="G174" s="6">
        <f t="shared" si="35"/>
        <v>129715.03661534416</v>
      </c>
      <c r="H174" s="6">
        <f t="shared" si="36"/>
        <v>106084.46384158311</v>
      </c>
      <c r="I174" s="6">
        <f t="shared" si="37"/>
        <v>235799.50045692769</v>
      </c>
      <c r="J174" s="6">
        <f t="shared" si="38"/>
        <v>143915.53615841517</v>
      </c>
    </row>
    <row r="175" spans="1:10" x14ac:dyDescent="0.25">
      <c r="A175">
        <f t="shared" si="30"/>
        <v>170</v>
      </c>
      <c r="B175" s="2">
        <f t="shared" ca="1" si="31"/>
        <v>47099</v>
      </c>
      <c r="C175" s="2" t="str">
        <f t="shared" ca="1" si="29"/>
        <v>grudzień</v>
      </c>
      <c r="D175" s="6">
        <f t="shared" si="32"/>
        <v>1395.2633163131788</v>
      </c>
      <c r="E175" s="6">
        <f t="shared" si="33"/>
        <v>544.48044513267075</v>
      </c>
      <c r="F175" s="6">
        <f t="shared" si="34"/>
        <v>850.7828711805081</v>
      </c>
      <c r="G175" s="6">
        <f t="shared" si="35"/>
        <v>130259.51706047682</v>
      </c>
      <c r="H175" s="6">
        <f t="shared" si="36"/>
        <v>106935.24671276362</v>
      </c>
      <c r="I175" s="6">
        <f t="shared" si="37"/>
        <v>237194.76377324088</v>
      </c>
      <c r="J175" s="6">
        <f t="shared" si="38"/>
        <v>143064.75328723466</v>
      </c>
    </row>
    <row r="176" spans="1:10" x14ac:dyDescent="0.25">
      <c r="A176">
        <f t="shared" si="30"/>
        <v>171</v>
      </c>
      <c r="B176" s="2">
        <f t="shared" ca="1" si="31"/>
        <v>47130</v>
      </c>
      <c r="C176" s="2" t="str">
        <f t="shared" ca="1" si="29"/>
        <v>styczeń</v>
      </c>
      <c r="D176" s="6">
        <f t="shared" si="32"/>
        <v>1395.2633163131788</v>
      </c>
      <c r="E176" s="6">
        <f t="shared" si="33"/>
        <v>541.26164993670454</v>
      </c>
      <c r="F176" s="6">
        <f t="shared" si="34"/>
        <v>854.0016663764743</v>
      </c>
      <c r="G176" s="6">
        <f t="shared" si="35"/>
        <v>130800.77871041352</v>
      </c>
      <c r="H176" s="6">
        <f t="shared" si="36"/>
        <v>107789.24837914009</v>
      </c>
      <c r="I176" s="6">
        <f t="shared" si="37"/>
        <v>238590.02708955406</v>
      </c>
      <c r="J176" s="6">
        <f t="shared" si="38"/>
        <v>142210.75162085818</v>
      </c>
    </row>
    <row r="177" spans="1:10" x14ac:dyDescent="0.25">
      <c r="A177">
        <f t="shared" si="30"/>
        <v>172</v>
      </c>
      <c r="B177" s="2">
        <f t="shared" ca="1" si="31"/>
        <v>47161</v>
      </c>
      <c r="C177" s="2" t="str">
        <f t="shared" ca="1" si="29"/>
        <v>luty</v>
      </c>
      <c r="D177" s="6">
        <f t="shared" si="32"/>
        <v>1395.2633163131788</v>
      </c>
      <c r="E177" s="6">
        <f t="shared" si="33"/>
        <v>538.03067696558014</v>
      </c>
      <c r="F177" s="6">
        <f t="shared" si="34"/>
        <v>857.23263934759871</v>
      </c>
      <c r="G177" s="6">
        <f t="shared" si="35"/>
        <v>131338.80938737909</v>
      </c>
      <c r="H177" s="6">
        <f t="shared" si="36"/>
        <v>108646.48101848768</v>
      </c>
      <c r="I177" s="6">
        <f t="shared" si="37"/>
        <v>239985.29040586724</v>
      </c>
      <c r="J177" s="6">
        <f t="shared" si="38"/>
        <v>141353.51898151057</v>
      </c>
    </row>
    <row r="178" spans="1:10" x14ac:dyDescent="0.25">
      <c r="A178">
        <f t="shared" si="30"/>
        <v>173</v>
      </c>
      <c r="B178" s="2">
        <f t="shared" ca="1" si="31"/>
        <v>47189</v>
      </c>
      <c r="C178" s="2" t="str">
        <f t="shared" ca="1" si="29"/>
        <v>marzec</v>
      </c>
      <c r="D178" s="6">
        <f t="shared" si="32"/>
        <v>1395.2633163131788</v>
      </c>
      <c r="E178" s="6">
        <f t="shared" si="33"/>
        <v>534.78748014671498</v>
      </c>
      <c r="F178" s="6">
        <f t="shared" si="34"/>
        <v>860.47583616646386</v>
      </c>
      <c r="G178" s="6">
        <f t="shared" si="35"/>
        <v>131873.5968675258</v>
      </c>
      <c r="H178" s="6">
        <f t="shared" si="36"/>
        <v>109506.95685465414</v>
      </c>
      <c r="I178" s="6">
        <f t="shared" si="37"/>
        <v>241380.55372218043</v>
      </c>
      <c r="J178" s="6">
        <f t="shared" si="38"/>
        <v>140493.0431453441</v>
      </c>
    </row>
    <row r="179" spans="1:10" x14ac:dyDescent="0.25">
      <c r="A179">
        <f t="shared" si="30"/>
        <v>174</v>
      </c>
      <c r="B179" s="2">
        <f t="shared" ca="1" si="31"/>
        <v>47220</v>
      </c>
      <c r="C179" s="2" t="str">
        <f t="shared" ca="1" si="29"/>
        <v>kwiecień</v>
      </c>
      <c r="D179" s="6">
        <f t="shared" si="32"/>
        <v>1395.2633163131788</v>
      </c>
      <c r="E179" s="6">
        <f t="shared" si="33"/>
        <v>531.53201323321855</v>
      </c>
      <c r="F179" s="6">
        <f t="shared" si="34"/>
        <v>863.7313030799603</v>
      </c>
      <c r="G179" s="6">
        <f t="shared" si="35"/>
        <v>132405.12888075903</v>
      </c>
      <c r="H179" s="6">
        <f t="shared" si="36"/>
        <v>110370.6881577341</v>
      </c>
      <c r="I179" s="6">
        <f t="shared" si="37"/>
        <v>242775.81703849361</v>
      </c>
      <c r="J179" s="6">
        <f t="shared" si="38"/>
        <v>139629.31184226414</v>
      </c>
    </row>
    <row r="180" spans="1:10" x14ac:dyDescent="0.25">
      <c r="A180">
        <f t="shared" si="30"/>
        <v>175</v>
      </c>
      <c r="B180" s="2">
        <f t="shared" ca="1" si="31"/>
        <v>47250</v>
      </c>
      <c r="C180" s="2" t="str">
        <f t="shared" ca="1" si="29"/>
        <v>maj</v>
      </c>
      <c r="D180" s="6">
        <f t="shared" si="32"/>
        <v>1395.2633163131788</v>
      </c>
      <c r="E180" s="6">
        <f t="shared" si="33"/>
        <v>528.26422980323275</v>
      </c>
      <c r="F180" s="6">
        <f t="shared" si="34"/>
        <v>866.9990865099461</v>
      </c>
      <c r="G180" s="6">
        <f t="shared" si="35"/>
        <v>132933.39311056226</v>
      </c>
      <c r="H180" s="6">
        <f t="shared" si="36"/>
        <v>111237.68724424404</v>
      </c>
      <c r="I180" s="6">
        <f t="shared" si="37"/>
        <v>244171.08035480679</v>
      </c>
      <c r="J180" s="6">
        <f t="shared" si="38"/>
        <v>138762.31275575419</v>
      </c>
    </row>
    <row r="181" spans="1:10" x14ac:dyDescent="0.25">
      <c r="A181">
        <f t="shared" si="30"/>
        <v>176</v>
      </c>
      <c r="B181" s="2">
        <f t="shared" ca="1" si="31"/>
        <v>47281</v>
      </c>
      <c r="C181" s="2" t="str">
        <f t="shared" ca="1" si="29"/>
        <v>czerwiec</v>
      </c>
      <c r="D181" s="6">
        <f t="shared" si="32"/>
        <v>1395.2633163131788</v>
      </c>
      <c r="E181" s="6">
        <f t="shared" si="33"/>
        <v>524.98408325927005</v>
      </c>
      <c r="F181" s="6">
        <f t="shared" si="34"/>
        <v>870.2792330539088</v>
      </c>
      <c r="G181" s="6">
        <f t="shared" si="35"/>
        <v>133458.37719382154</v>
      </c>
      <c r="H181" s="6">
        <f t="shared" si="36"/>
        <v>112107.96647729794</v>
      </c>
      <c r="I181" s="6">
        <f t="shared" si="37"/>
        <v>245566.34367111998</v>
      </c>
      <c r="J181" s="6">
        <f t="shared" si="38"/>
        <v>137892.03352270034</v>
      </c>
    </row>
    <row r="182" spans="1:10" x14ac:dyDescent="0.25">
      <c r="A182">
        <f t="shared" si="30"/>
        <v>177</v>
      </c>
      <c r="B182" s="2">
        <f t="shared" ca="1" si="31"/>
        <v>47311</v>
      </c>
      <c r="C182" s="2" t="str">
        <f t="shared" ca="1" si="29"/>
        <v>lipiec</v>
      </c>
      <c r="D182" s="6">
        <f t="shared" si="32"/>
        <v>1395.2633163131788</v>
      </c>
      <c r="E182" s="6">
        <f t="shared" si="33"/>
        <v>521.69152682754964</v>
      </c>
      <c r="F182" s="6">
        <f t="shared" si="34"/>
        <v>873.57178948562921</v>
      </c>
      <c r="G182" s="6">
        <f t="shared" si="35"/>
        <v>133980.06872064908</v>
      </c>
      <c r="H182" s="6">
        <f t="shared" si="36"/>
        <v>112981.53826678358</v>
      </c>
      <c r="I182" s="6">
        <f t="shared" si="37"/>
        <v>246961.60698743316</v>
      </c>
      <c r="J182" s="6">
        <f t="shared" si="38"/>
        <v>137018.4617332147</v>
      </c>
    </row>
    <row r="183" spans="1:10" x14ac:dyDescent="0.25">
      <c r="A183">
        <f t="shared" si="30"/>
        <v>178</v>
      </c>
      <c r="B183" s="2">
        <f t="shared" ca="1" si="31"/>
        <v>47342</v>
      </c>
      <c r="C183" s="2" t="str">
        <f t="shared" ca="1" si="29"/>
        <v>sierpień</v>
      </c>
      <c r="D183" s="6">
        <f t="shared" si="32"/>
        <v>1395.2633163131788</v>
      </c>
      <c r="E183" s="6">
        <f t="shared" si="33"/>
        <v>518.38651355732895</v>
      </c>
      <c r="F183" s="6">
        <f t="shared" si="34"/>
        <v>876.87680275584989</v>
      </c>
      <c r="G183" s="6">
        <f t="shared" si="35"/>
        <v>134498.45523420643</v>
      </c>
      <c r="H183" s="6">
        <f t="shared" si="36"/>
        <v>113858.41506953943</v>
      </c>
      <c r="I183" s="6">
        <f t="shared" si="37"/>
        <v>248356.87030374634</v>
      </c>
      <c r="J183" s="6">
        <f t="shared" si="38"/>
        <v>136141.5849304588</v>
      </c>
    </row>
    <row r="184" spans="1:10" x14ac:dyDescent="0.25">
      <c r="A184">
        <f t="shared" si="30"/>
        <v>179</v>
      </c>
      <c r="B184" s="2">
        <f t="shared" ca="1" si="31"/>
        <v>47373</v>
      </c>
      <c r="C184" s="2" t="str">
        <f t="shared" ca="1" si="29"/>
        <v>wrzesień</v>
      </c>
      <c r="D184" s="6">
        <f t="shared" si="32"/>
        <v>1395.2633163131788</v>
      </c>
      <c r="E184" s="6">
        <f t="shared" si="33"/>
        <v>515.0689963202359</v>
      </c>
      <c r="F184" s="6">
        <f t="shared" si="34"/>
        <v>880.19431999294295</v>
      </c>
      <c r="G184" s="6">
        <f t="shared" si="35"/>
        <v>135013.52423052667</v>
      </c>
      <c r="H184" s="6">
        <f t="shared" si="36"/>
        <v>114738.60938953237</v>
      </c>
      <c r="I184" s="6">
        <f t="shared" si="37"/>
        <v>249752.13362005953</v>
      </c>
      <c r="J184" s="6">
        <f t="shared" si="38"/>
        <v>135261.39061046587</v>
      </c>
    </row>
    <row r="185" spans="1:10" x14ac:dyDescent="0.25">
      <c r="A185">
        <f t="shared" si="30"/>
        <v>180</v>
      </c>
      <c r="B185" s="2">
        <f t="shared" ca="1" si="31"/>
        <v>47403</v>
      </c>
      <c r="C185" s="2" t="str">
        <f t="shared" ca="1" si="29"/>
        <v>październik</v>
      </c>
      <c r="D185" s="6">
        <f t="shared" si="32"/>
        <v>1395.2633163131788</v>
      </c>
      <c r="E185" s="6">
        <f t="shared" si="33"/>
        <v>511.73892780959591</v>
      </c>
      <c r="F185" s="6">
        <f t="shared" si="34"/>
        <v>883.52438850358294</v>
      </c>
      <c r="G185" s="6">
        <f t="shared" si="35"/>
        <v>135525.26315833628</v>
      </c>
      <c r="H185" s="6">
        <f t="shared" si="36"/>
        <v>115622.13377803596</v>
      </c>
      <c r="I185" s="6">
        <f t="shared" si="37"/>
        <v>251147.39693637271</v>
      </c>
      <c r="J185" s="6">
        <f t="shared" si="38"/>
        <v>134377.86622196226</v>
      </c>
    </row>
    <row r="186" spans="1:10" x14ac:dyDescent="0.25">
      <c r="A186">
        <f t="shared" si="30"/>
        <v>181</v>
      </c>
      <c r="B186" s="2">
        <f t="shared" ca="1" si="31"/>
        <v>47434</v>
      </c>
      <c r="C186" s="2" t="str">
        <f t="shared" ca="1" si="29"/>
        <v>listopad</v>
      </c>
      <c r="D186" s="6">
        <f t="shared" si="32"/>
        <v>1395.2633163131788</v>
      </c>
      <c r="E186" s="6">
        <f t="shared" si="33"/>
        <v>508.39626053975729</v>
      </c>
      <c r="F186" s="6">
        <f t="shared" si="34"/>
        <v>886.8670557734215</v>
      </c>
      <c r="G186" s="6">
        <f t="shared" si="35"/>
        <v>136033.65941887605</v>
      </c>
      <c r="H186" s="6">
        <f t="shared" si="36"/>
        <v>116509.00083380938</v>
      </c>
      <c r="I186" s="6">
        <f t="shared" si="37"/>
        <v>252542.66025268589</v>
      </c>
      <c r="J186" s="6">
        <f t="shared" si="38"/>
        <v>133490.99916618885</v>
      </c>
    </row>
    <row r="187" spans="1:10" x14ac:dyDescent="0.25">
      <c r="A187">
        <f t="shared" si="30"/>
        <v>182</v>
      </c>
      <c r="B187" s="2">
        <f t="shared" ca="1" si="31"/>
        <v>47464</v>
      </c>
      <c r="C187" s="2" t="str">
        <f t="shared" ca="1" si="29"/>
        <v>grudzień</v>
      </c>
      <c r="D187" s="6">
        <f t="shared" si="32"/>
        <v>1395.2633163131788</v>
      </c>
      <c r="E187" s="6">
        <f t="shared" si="33"/>
        <v>505.04094684541451</v>
      </c>
      <c r="F187" s="6">
        <f t="shared" si="34"/>
        <v>890.22236946776434</v>
      </c>
      <c r="G187" s="6">
        <f t="shared" si="35"/>
        <v>136538.70036572145</v>
      </c>
      <c r="H187" s="6">
        <f t="shared" si="36"/>
        <v>117399.22320327714</v>
      </c>
      <c r="I187" s="6">
        <f t="shared" si="37"/>
        <v>253937.92356899907</v>
      </c>
      <c r="J187" s="6">
        <f t="shared" si="38"/>
        <v>132600.77679672107</v>
      </c>
    </row>
    <row r="188" spans="1:10" x14ac:dyDescent="0.25">
      <c r="A188">
        <f t="shared" si="30"/>
        <v>183</v>
      </c>
      <c r="B188" s="2">
        <f t="shared" ca="1" si="31"/>
        <v>47495</v>
      </c>
      <c r="C188" s="2" t="str">
        <f t="shared" ca="1" si="29"/>
        <v>styczeń</v>
      </c>
      <c r="D188" s="6">
        <f t="shared" si="32"/>
        <v>1395.2633163131788</v>
      </c>
      <c r="E188" s="6">
        <f t="shared" si="33"/>
        <v>501.67293888092809</v>
      </c>
      <c r="F188" s="6">
        <f t="shared" si="34"/>
        <v>893.59037743225076</v>
      </c>
      <c r="G188" s="6">
        <f t="shared" si="35"/>
        <v>137040.37330460237</v>
      </c>
      <c r="H188" s="6">
        <f t="shared" si="36"/>
        <v>118292.81358070939</v>
      </c>
      <c r="I188" s="6">
        <f t="shared" si="37"/>
        <v>255333.18688531226</v>
      </c>
      <c r="J188" s="6">
        <f t="shared" si="38"/>
        <v>131707.18641928886</v>
      </c>
    </row>
    <row r="189" spans="1:10" x14ac:dyDescent="0.25">
      <c r="A189">
        <f t="shared" si="30"/>
        <v>184</v>
      </c>
      <c r="B189" s="2">
        <f t="shared" ca="1" si="31"/>
        <v>47526</v>
      </c>
      <c r="C189" s="2" t="str">
        <f t="shared" ca="1" si="29"/>
        <v>luty</v>
      </c>
      <c r="D189" s="6">
        <f t="shared" si="32"/>
        <v>1395.2633163131788</v>
      </c>
      <c r="E189" s="6">
        <f t="shared" si="33"/>
        <v>498.2921886196429</v>
      </c>
      <c r="F189" s="6">
        <f t="shared" si="34"/>
        <v>896.97112769353589</v>
      </c>
      <c r="G189" s="6">
        <f t="shared" si="35"/>
        <v>137538.66549322201</v>
      </c>
      <c r="H189" s="6">
        <f t="shared" si="36"/>
        <v>119189.78470840293</v>
      </c>
      <c r="I189" s="6">
        <f t="shared" si="37"/>
        <v>256728.45020162544</v>
      </c>
      <c r="J189" s="6">
        <f t="shared" si="38"/>
        <v>130810.21529159536</v>
      </c>
    </row>
    <row r="190" spans="1:10" x14ac:dyDescent="0.25">
      <c r="A190">
        <f t="shared" si="30"/>
        <v>185</v>
      </c>
      <c r="B190" s="2">
        <f t="shared" ca="1" si="31"/>
        <v>47554</v>
      </c>
      <c r="C190" s="2" t="str">
        <f t="shared" ca="1" si="29"/>
        <v>marzec</v>
      </c>
      <c r="D190" s="6">
        <f t="shared" si="32"/>
        <v>1395.2633163131788</v>
      </c>
      <c r="E190" s="6">
        <f t="shared" si="33"/>
        <v>494.89864785320248</v>
      </c>
      <c r="F190" s="6">
        <f t="shared" si="34"/>
        <v>900.36466845997643</v>
      </c>
      <c r="G190" s="6">
        <f t="shared" si="35"/>
        <v>138033.56414107521</v>
      </c>
      <c r="H190" s="6">
        <f t="shared" si="36"/>
        <v>120090.14937686292</v>
      </c>
      <c r="I190" s="6">
        <f t="shared" si="37"/>
        <v>258123.71351793862</v>
      </c>
      <c r="J190" s="6">
        <f t="shared" si="38"/>
        <v>129909.85062313537</v>
      </c>
    </row>
    <row r="191" spans="1:10" x14ac:dyDescent="0.25">
      <c r="A191">
        <f t="shared" si="30"/>
        <v>186</v>
      </c>
      <c r="B191" s="2">
        <f t="shared" ca="1" si="31"/>
        <v>47585</v>
      </c>
      <c r="C191" s="2" t="str">
        <f t="shared" ca="1" si="29"/>
        <v>kwiecień</v>
      </c>
      <c r="D191" s="6">
        <f t="shared" si="32"/>
        <v>1395.2633163131788</v>
      </c>
      <c r="E191" s="6">
        <f t="shared" si="33"/>
        <v>491.49226819086221</v>
      </c>
      <c r="F191" s="6">
        <f t="shared" si="34"/>
        <v>903.77104812231664</v>
      </c>
      <c r="G191" s="6">
        <f t="shared" si="35"/>
        <v>138525.05640926608</v>
      </c>
      <c r="H191" s="6">
        <f t="shared" si="36"/>
        <v>120993.92042498523</v>
      </c>
      <c r="I191" s="6">
        <f t="shared" si="37"/>
        <v>259518.97683425181</v>
      </c>
      <c r="J191" s="6">
        <f t="shared" si="38"/>
        <v>129006.07957501303</v>
      </c>
    </row>
    <row r="192" spans="1:10" x14ac:dyDescent="0.25">
      <c r="A192">
        <f t="shared" si="30"/>
        <v>187</v>
      </c>
      <c r="B192" s="2">
        <f t="shared" ca="1" si="31"/>
        <v>47615</v>
      </c>
      <c r="C192" s="2" t="str">
        <f t="shared" ca="1" si="29"/>
        <v>maj</v>
      </c>
      <c r="D192" s="6">
        <f t="shared" si="32"/>
        <v>1395.2633163131788</v>
      </c>
      <c r="E192" s="6">
        <f t="shared" si="33"/>
        <v>488.07300105879932</v>
      </c>
      <c r="F192" s="6">
        <f t="shared" si="34"/>
        <v>907.19031525437958</v>
      </c>
      <c r="G192" s="6">
        <f t="shared" si="35"/>
        <v>139013.12941032488</v>
      </c>
      <c r="H192" s="6">
        <f t="shared" si="36"/>
        <v>121901.11074023962</v>
      </c>
      <c r="I192" s="6">
        <f t="shared" si="37"/>
        <v>260914.24015056499</v>
      </c>
      <c r="J192" s="6">
        <f t="shared" si="38"/>
        <v>128098.88925975859</v>
      </c>
    </row>
    <row r="193" spans="1:10" x14ac:dyDescent="0.25">
      <c r="A193">
        <f t="shared" si="30"/>
        <v>188</v>
      </c>
      <c r="B193" s="2">
        <f t="shared" ca="1" si="31"/>
        <v>47646</v>
      </c>
      <c r="C193" s="2" t="str">
        <f t="shared" ca="1" si="29"/>
        <v>czerwiec</v>
      </c>
      <c r="D193" s="6">
        <f t="shared" si="32"/>
        <v>1395.2633163131788</v>
      </c>
      <c r="E193" s="6">
        <f t="shared" si="33"/>
        <v>484.64079769942003</v>
      </c>
      <c r="F193" s="6">
        <f t="shared" si="34"/>
        <v>910.62251861375876</v>
      </c>
      <c r="G193" s="6">
        <f t="shared" si="35"/>
        <v>139497.7702080243</v>
      </c>
      <c r="H193" s="6">
        <f t="shared" si="36"/>
        <v>122811.73325885338</v>
      </c>
      <c r="I193" s="6">
        <f t="shared" si="37"/>
        <v>262309.50346687814</v>
      </c>
      <c r="J193" s="6">
        <f t="shared" si="38"/>
        <v>127188.26674114483</v>
      </c>
    </row>
    <row r="194" spans="1:10" x14ac:dyDescent="0.25">
      <c r="A194">
        <f t="shared" si="30"/>
        <v>189</v>
      </c>
      <c r="B194" s="2">
        <f t="shared" ca="1" si="31"/>
        <v>47676</v>
      </c>
      <c r="C194" s="2" t="str">
        <f t="shared" ca="1" si="29"/>
        <v>lipiec</v>
      </c>
      <c r="D194" s="6">
        <f t="shared" si="32"/>
        <v>1395.2633163131788</v>
      </c>
      <c r="E194" s="6">
        <f t="shared" si="33"/>
        <v>481.19560917066468</v>
      </c>
      <c r="F194" s="6">
        <f t="shared" si="34"/>
        <v>914.06770714251411</v>
      </c>
      <c r="G194" s="6">
        <f t="shared" si="35"/>
        <v>139978.96581719496</v>
      </c>
      <c r="H194" s="6">
        <f t="shared" si="36"/>
        <v>123725.80096599589</v>
      </c>
      <c r="I194" s="6">
        <f t="shared" si="37"/>
        <v>263704.7667831913</v>
      </c>
      <c r="J194" s="6">
        <f t="shared" si="38"/>
        <v>126274.19903400233</v>
      </c>
    </row>
    <row r="195" spans="1:10" x14ac:dyDescent="0.25">
      <c r="A195">
        <f t="shared" si="30"/>
        <v>190</v>
      </c>
      <c r="B195" s="2">
        <f t="shared" ca="1" si="31"/>
        <v>47707</v>
      </c>
      <c r="C195" s="2" t="str">
        <f t="shared" ca="1" si="29"/>
        <v>sierpień</v>
      </c>
      <c r="D195" s="6">
        <f t="shared" si="32"/>
        <v>1395.2633163131788</v>
      </c>
      <c r="E195" s="6">
        <f t="shared" si="33"/>
        <v>477.73738634530883</v>
      </c>
      <c r="F195" s="6">
        <f t="shared" si="34"/>
        <v>917.52592996787007</v>
      </c>
      <c r="G195" s="6">
        <f t="shared" si="35"/>
        <v>140456.70320354027</v>
      </c>
      <c r="H195" s="6">
        <f t="shared" si="36"/>
        <v>124643.32689596376</v>
      </c>
      <c r="I195" s="6">
        <f t="shared" si="37"/>
        <v>265100.03009950445</v>
      </c>
      <c r="J195" s="6">
        <f t="shared" si="38"/>
        <v>125356.6731040345</v>
      </c>
    </row>
    <row r="196" spans="1:10" x14ac:dyDescent="0.25">
      <c r="A196">
        <f t="shared" si="30"/>
        <v>191</v>
      </c>
      <c r="B196" s="2">
        <f t="shared" ca="1" si="31"/>
        <v>47738</v>
      </c>
      <c r="C196" s="2" t="str">
        <f t="shared" ca="1" si="29"/>
        <v>wrzesień</v>
      </c>
      <c r="D196" s="6">
        <f t="shared" si="32"/>
        <v>1395.2633163131788</v>
      </c>
      <c r="E196" s="6">
        <f t="shared" si="33"/>
        <v>474.2660799102639</v>
      </c>
      <c r="F196" s="6">
        <f t="shared" si="34"/>
        <v>920.99723640291495</v>
      </c>
      <c r="G196" s="6">
        <f t="shared" si="35"/>
        <v>140930.96928345054</v>
      </c>
      <c r="H196" s="6">
        <f t="shared" si="36"/>
        <v>125564.32413236667</v>
      </c>
      <c r="I196" s="6">
        <f t="shared" si="37"/>
        <v>266495.29341581761</v>
      </c>
      <c r="J196" s="6">
        <f t="shared" si="38"/>
        <v>124435.67586763158</v>
      </c>
    </row>
    <row r="197" spans="1:10" x14ac:dyDescent="0.25">
      <c r="A197">
        <f t="shared" si="30"/>
        <v>192</v>
      </c>
      <c r="B197" s="2">
        <f t="shared" ca="1" si="31"/>
        <v>47768</v>
      </c>
      <c r="C197" s="2" t="str">
        <f t="shared" ca="1" si="29"/>
        <v>październik</v>
      </c>
      <c r="D197" s="6">
        <f t="shared" si="32"/>
        <v>1395.2633163131788</v>
      </c>
      <c r="E197" s="6">
        <f t="shared" si="33"/>
        <v>470.78164036587282</v>
      </c>
      <c r="F197" s="6">
        <f t="shared" si="34"/>
        <v>924.48167594730603</v>
      </c>
      <c r="G197" s="6">
        <f t="shared" si="35"/>
        <v>141401.75092381641</v>
      </c>
      <c r="H197" s="6">
        <f t="shared" si="36"/>
        <v>126488.80580831398</v>
      </c>
      <c r="I197" s="6">
        <f t="shared" si="37"/>
        <v>267890.55673213076</v>
      </c>
      <c r="J197" s="6">
        <f t="shared" si="38"/>
        <v>123511.19419168428</v>
      </c>
    </row>
    <row r="198" spans="1:10" x14ac:dyDescent="0.25">
      <c r="A198">
        <f t="shared" si="30"/>
        <v>193</v>
      </c>
      <c r="B198" s="2">
        <f t="shared" ca="1" si="31"/>
        <v>47799</v>
      </c>
      <c r="C198" s="2" t="str">
        <f t="shared" ca="1" si="29"/>
        <v>listopad</v>
      </c>
      <c r="D198" s="6">
        <f t="shared" si="32"/>
        <v>1395.2633163131788</v>
      </c>
      <c r="E198" s="6">
        <f t="shared" si="33"/>
        <v>467.28401802520557</v>
      </c>
      <c r="F198" s="6">
        <f t="shared" si="34"/>
        <v>927.97929828797328</v>
      </c>
      <c r="G198" s="6">
        <f t="shared" si="35"/>
        <v>141869.03494184162</v>
      </c>
      <c r="H198" s="6">
        <f t="shared" si="36"/>
        <v>127416.78510660195</v>
      </c>
      <c r="I198" s="6">
        <f t="shared" si="37"/>
        <v>269285.82004844391</v>
      </c>
      <c r="J198" s="6">
        <f t="shared" si="38"/>
        <v>122583.21489339632</v>
      </c>
    </row>
    <row r="199" spans="1:10" x14ac:dyDescent="0.25">
      <c r="A199">
        <f t="shared" si="30"/>
        <v>194</v>
      </c>
      <c r="B199" s="2">
        <f t="shared" ca="1" si="31"/>
        <v>47829</v>
      </c>
      <c r="C199" s="2" t="str">
        <f t="shared" ref="C199:C262" ca="1" si="39">TEXT(B199,"mmmm")</f>
        <v>grudzień</v>
      </c>
      <c r="D199" s="6">
        <f t="shared" si="32"/>
        <v>1395.2633163131788</v>
      </c>
      <c r="E199" s="6">
        <f t="shared" si="33"/>
        <v>463.7731630133494</v>
      </c>
      <c r="F199" s="6">
        <f t="shared" si="34"/>
        <v>931.49015329982944</v>
      </c>
      <c r="G199" s="6">
        <f t="shared" si="35"/>
        <v>142332.80810485495</v>
      </c>
      <c r="H199" s="6">
        <f t="shared" si="36"/>
        <v>128348.27525990178</v>
      </c>
      <c r="I199" s="6">
        <f t="shared" si="37"/>
        <v>270681.08336475707</v>
      </c>
      <c r="J199" s="6">
        <f t="shared" si="38"/>
        <v>121651.72474009646</v>
      </c>
    </row>
    <row r="200" spans="1:10" x14ac:dyDescent="0.25">
      <c r="A200">
        <f t="shared" si="30"/>
        <v>195</v>
      </c>
      <c r="B200" s="2">
        <f t="shared" ca="1" si="31"/>
        <v>47860</v>
      </c>
      <c r="C200" s="2" t="str">
        <f t="shared" ca="1" si="39"/>
        <v>styczeń</v>
      </c>
      <c r="D200" s="6">
        <f t="shared" si="32"/>
        <v>1395.2633163131788</v>
      </c>
      <c r="E200" s="6">
        <f t="shared" si="33"/>
        <v>460.24902526669825</v>
      </c>
      <c r="F200" s="6">
        <f t="shared" si="34"/>
        <v>935.01429104648059</v>
      </c>
      <c r="G200" s="6">
        <f t="shared" si="35"/>
        <v>142793.05713012166</v>
      </c>
      <c r="H200" s="6">
        <f t="shared" si="36"/>
        <v>129283.28955094826</v>
      </c>
      <c r="I200" s="6">
        <f t="shared" si="37"/>
        <v>272076.34668107022</v>
      </c>
      <c r="J200" s="6">
        <f t="shared" si="38"/>
        <v>120716.71044904999</v>
      </c>
    </row>
    <row r="201" spans="1:10" x14ac:dyDescent="0.25">
      <c r="A201">
        <f t="shared" si="30"/>
        <v>196</v>
      </c>
      <c r="B201" s="2">
        <f t="shared" ca="1" si="31"/>
        <v>47891</v>
      </c>
      <c r="C201" s="2" t="str">
        <f t="shared" ca="1" si="39"/>
        <v>luty</v>
      </c>
      <c r="D201" s="6">
        <f t="shared" si="32"/>
        <v>1395.2633163131788</v>
      </c>
      <c r="E201" s="6">
        <f t="shared" si="33"/>
        <v>456.71155453223918</v>
      </c>
      <c r="F201" s="6">
        <f t="shared" si="34"/>
        <v>938.55176178093961</v>
      </c>
      <c r="G201" s="6">
        <f t="shared" si="35"/>
        <v>143249.76868465389</v>
      </c>
      <c r="H201" s="6">
        <f t="shared" si="36"/>
        <v>130221.8413127292</v>
      </c>
      <c r="I201" s="6">
        <f t="shared" si="37"/>
        <v>273471.60999738338</v>
      </c>
      <c r="J201" s="6">
        <f t="shared" si="38"/>
        <v>119778.15868726905</v>
      </c>
    </row>
    <row r="202" spans="1:10" x14ac:dyDescent="0.25">
      <c r="A202">
        <f t="shared" si="30"/>
        <v>197</v>
      </c>
      <c r="B202" s="2">
        <f t="shared" ca="1" si="31"/>
        <v>47919</v>
      </c>
      <c r="C202" s="2" t="str">
        <f t="shared" ca="1" si="39"/>
        <v>marzec</v>
      </c>
      <c r="D202" s="6">
        <f t="shared" si="32"/>
        <v>1395.2633163131788</v>
      </c>
      <c r="E202" s="6">
        <f t="shared" si="33"/>
        <v>453.16070036683459</v>
      </c>
      <c r="F202" s="6">
        <f t="shared" si="34"/>
        <v>942.10261594634426</v>
      </c>
      <c r="G202" s="6">
        <f t="shared" si="35"/>
        <v>143702.92938502072</v>
      </c>
      <c r="H202" s="6">
        <f t="shared" si="36"/>
        <v>131163.94392867555</v>
      </c>
      <c r="I202" s="6">
        <f t="shared" si="37"/>
        <v>274866.87331369653</v>
      </c>
      <c r="J202" s="6">
        <f t="shared" si="38"/>
        <v>118836.05607132269</v>
      </c>
    </row>
    <row r="203" spans="1:10" x14ac:dyDescent="0.25">
      <c r="A203">
        <f t="shared" si="30"/>
        <v>198</v>
      </c>
      <c r="B203" s="2">
        <f t="shared" ca="1" si="31"/>
        <v>47950</v>
      </c>
      <c r="C203" s="2" t="str">
        <f t="shared" ca="1" si="39"/>
        <v>kwiecień</v>
      </c>
      <c r="D203" s="6">
        <f t="shared" si="32"/>
        <v>1395.2633163131788</v>
      </c>
      <c r="E203" s="6">
        <f t="shared" si="33"/>
        <v>449.59641213650417</v>
      </c>
      <c r="F203" s="6">
        <f t="shared" si="34"/>
        <v>945.66690417667473</v>
      </c>
      <c r="G203" s="6">
        <f t="shared" si="35"/>
        <v>144152.52579715723</v>
      </c>
      <c r="H203" s="6">
        <f t="shared" si="36"/>
        <v>132109.61083285222</v>
      </c>
      <c r="I203" s="6">
        <f t="shared" si="37"/>
        <v>276262.13663000969</v>
      </c>
      <c r="J203" s="6">
        <f t="shared" si="38"/>
        <v>117890.38916714603</v>
      </c>
    </row>
    <row r="204" spans="1:10" x14ac:dyDescent="0.25">
      <c r="A204">
        <f t="shared" si="30"/>
        <v>199</v>
      </c>
      <c r="B204" s="2">
        <f t="shared" ca="1" si="31"/>
        <v>47980</v>
      </c>
      <c r="C204" s="2" t="str">
        <f t="shared" ca="1" si="39"/>
        <v>maj</v>
      </c>
      <c r="D204" s="6">
        <f t="shared" si="32"/>
        <v>1395.2633163131788</v>
      </c>
      <c r="E204" s="6">
        <f t="shared" si="33"/>
        <v>446.01863901570249</v>
      </c>
      <c r="F204" s="6">
        <f t="shared" si="34"/>
        <v>949.2446772974763</v>
      </c>
      <c r="G204" s="6">
        <f t="shared" si="35"/>
        <v>144598.54443617293</v>
      </c>
      <c r="H204" s="6">
        <f t="shared" si="36"/>
        <v>133058.8555101497</v>
      </c>
      <c r="I204" s="6">
        <f t="shared" si="37"/>
        <v>277657.39994632284</v>
      </c>
      <c r="J204" s="6">
        <f t="shared" si="38"/>
        <v>116941.14448984854</v>
      </c>
    </row>
    <row r="205" spans="1:10" x14ac:dyDescent="0.25">
      <c r="A205">
        <f t="shared" si="30"/>
        <v>200</v>
      </c>
      <c r="B205" s="2">
        <f t="shared" ca="1" si="31"/>
        <v>48011</v>
      </c>
      <c r="C205" s="2" t="str">
        <f t="shared" ca="1" si="39"/>
        <v>czerwiec</v>
      </c>
      <c r="D205" s="6">
        <f t="shared" si="32"/>
        <v>1395.2633163131788</v>
      </c>
      <c r="E205" s="6">
        <f t="shared" si="33"/>
        <v>442.42732998659363</v>
      </c>
      <c r="F205" s="6">
        <f t="shared" si="34"/>
        <v>952.83598632658527</v>
      </c>
      <c r="G205" s="6">
        <f t="shared" si="35"/>
        <v>145040.97176615952</v>
      </c>
      <c r="H205" s="6">
        <f t="shared" si="36"/>
        <v>134011.6914964763</v>
      </c>
      <c r="I205" s="6">
        <f t="shared" si="37"/>
        <v>279052.66326263599</v>
      </c>
      <c r="J205" s="6">
        <f t="shared" si="38"/>
        <v>115988.30850352196</v>
      </c>
    </row>
    <row r="206" spans="1:10" x14ac:dyDescent="0.25">
      <c r="A206">
        <f t="shared" si="30"/>
        <v>201</v>
      </c>
      <c r="B206" s="2">
        <f t="shared" ca="1" si="31"/>
        <v>48041</v>
      </c>
      <c r="C206" s="2" t="str">
        <f t="shared" ca="1" si="39"/>
        <v>lipiec</v>
      </c>
      <c r="D206" s="6">
        <f t="shared" si="32"/>
        <v>1395.2633163131788</v>
      </c>
      <c r="E206" s="6">
        <f t="shared" si="33"/>
        <v>438.82243383832474</v>
      </c>
      <c r="F206" s="6">
        <f t="shared" si="34"/>
        <v>956.44088247485411</v>
      </c>
      <c r="G206" s="6">
        <f t="shared" si="35"/>
        <v>145479.79419999785</v>
      </c>
      <c r="H206" s="6">
        <f t="shared" si="36"/>
        <v>134968.13237895115</v>
      </c>
      <c r="I206" s="6">
        <f t="shared" si="37"/>
        <v>280447.92657894915</v>
      </c>
      <c r="J206" s="6">
        <f t="shared" si="38"/>
        <v>115031.86762104717</v>
      </c>
    </row>
    <row r="207" spans="1:10" x14ac:dyDescent="0.25">
      <c r="A207">
        <f t="shared" si="30"/>
        <v>202</v>
      </c>
      <c r="B207" s="2">
        <f t="shared" ca="1" si="31"/>
        <v>48072</v>
      </c>
      <c r="C207" s="2" t="str">
        <f t="shared" ca="1" si="39"/>
        <v>sierpień</v>
      </c>
      <c r="D207" s="6">
        <f t="shared" si="32"/>
        <v>1395.2633163131788</v>
      </c>
      <c r="E207" s="6">
        <f t="shared" si="33"/>
        <v>435.20389916629512</v>
      </c>
      <c r="F207" s="6">
        <f t="shared" si="34"/>
        <v>960.05941714688379</v>
      </c>
      <c r="G207" s="6">
        <f t="shared" si="35"/>
        <v>145914.99809916414</v>
      </c>
      <c r="H207" s="6">
        <f t="shared" si="36"/>
        <v>135928.19179609802</v>
      </c>
      <c r="I207" s="6">
        <f t="shared" si="37"/>
        <v>281843.1898952623</v>
      </c>
      <c r="J207" s="6">
        <f t="shared" si="38"/>
        <v>114071.80820390022</v>
      </c>
    </row>
    <row r="208" spans="1:10" x14ac:dyDescent="0.25">
      <c r="A208">
        <f t="shared" si="30"/>
        <v>203</v>
      </c>
      <c r="B208" s="2">
        <f t="shared" ca="1" si="31"/>
        <v>48103</v>
      </c>
      <c r="C208" s="2" t="str">
        <f t="shared" ca="1" si="39"/>
        <v>wrzesień</v>
      </c>
      <c r="D208" s="6">
        <f t="shared" si="32"/>
        <v>1395.2633163131788</v>
      </c>
      <c r="E208" s="6">
        <f t="shared" si="33"/>
        <v>431.57167437142249</v>
      </c>
      <c r="F208" s="6">
        <f t="shared" si="34"/>
        <v>963.69164194175642</v>
      </c>
      <c r="G208" s="6">
        <f t="shared" si="35"/>
        <v>146346.56977353556</v>
      </c>
      <c r="H208" s="6">
        <f t="shared" si="36"/>
        <v>136891.88343803977</v>
      </c>
      <c r="I208" s="6">
        <f t="shared" si="37"/>
        <v>283238.45321157546</v>
      </c>
      <c r="J208" s="6">
        <f t="shared" si="38"/>
        <v>113108.11656195846</v>
      </c>
    </row>
    <row r="209" spans="1:10" x14ac:dyDescent="0.25">
      <c r="A209">
        <f t="shared" si="30"/>
        <v>204</v>
      </c>
      <c r="B209" s="2">
        <f t="shared" ca="1" si="31"/>
        <v>48133</v>
      </c>
      <c r="C209" s="2" t="str">
        <f t="shared" ca="1" si="39"/>
        <v>październik</v>
      </c>
      <c r="D209" s="6">
        <f t="shared" si="32"/>
        <v>1395.2633163131788</v>
      </c>
      <c r="E209" s="6">
        <f t="shared" si="33"/>
        <v>427.92570765940951</v>
      </c>
      <c r="F209" s="6">
        <f t="shared" si="34"/>
        <v>967.33760865376939</v>
      </c>
      <c r="G209" s="6">
        <f t="shared" si="35"/>
        <v>146774.49548119499</v>
      </c>
      <c r="H209" s="6">
        <f t="shared" si="36"/>
        <v>137859.22104669354</v>
      </c>
      <c r="I209" s="6">
        <f t="shared" si="37"/>
        <v>284633.71652788861</v>
      </c>
      <c r="J209" s="6">
        <f t="shared" si="38"/>
        <v>112140.77895330469</v>
      </c>
    </row>
    <row r="210" spans="1:10" x14ac:dyDescent="0.25">
      <c r="A210">
        <f t="shared" si="30"/>
        <v>205</v>
      </c>
      <c r="B210" s="2">
        <f t="shared" ca="1" si="31"/>
        <v>48164</v>
      </c>
      <c r="C210" s="2" t="str">
        <f t="shared" ca="1" si="39"/>
        <v>listopad</v>
      </c>
      <c r="D210" s="6">
        <f t="shared" si="32"/>
        <v>1395.2633163131788</v>
      </c>
      <c r="E210" s="6">
        <f t="shared" si="33"/>
        <v>424.2659470400028</v>
      </c>
      <c r="F210" s="6">
        <f t="shared" si="34"/>
        <v>970.99736927317599</v>
      </c>
      <c r="G210" s="6">
        <f t="shared" si="35"/>
        <v>147198.76142823498</v>
      </c>
      <c r="H210" s="6">
        <f t="shared" si="36"/>
        <v>138830.21841596672</v>
      </c>
      <c r="I210" s="6">
        <f t="shared" si="37"/>
        <v>286028.97984420176</v>
      </c>
      <c r="J210" s="6">
        <f t="shared" si="38"/>
        <v>111169.78158403149</v>
      </c>
    </row>
    <row r="211" spans="1:10" x14ac:dyDescent="0.25">
      <c r="A211">
        <f t="shared" si="30"/>
        <v>206</v>
      </c>
      <c r="B211" s="2">
        <f t="shared" ca="1" si="31"/>
        <v>48194</v>
      </c>
      <c r="C211" s="2" t="str">
        <f t="shared" ca="1" si="39"/>
        <v>grudzień</v>
      </c>
      <c r="D211" s="6">
        <f t="shared" si="32"/>
        <v>1395.2633163131788</v>
      </c>
      <c r="E211" s="6">
        <f t="shared" si="33"/>
        <v>420.5923403262525</v>
      </c>
      <c r="F211" s="6">
        <f t="shared" si="34"/>
        <v>974.67097598692635</v>
      </c>
      <c r="G211" s="6">
        <f t="shared" si="35"/>
        <v>147619.35376856124</v>
      </c>
      <c r="H211" s="6">
        <f t="shared" si="36"/>
        <v>139804.88939195365</v>
      </c>
      <c r="I211" s="6">
        <f t="shared" si="37"/>
        <v>287424.24316051492</v>
      </c>
      <c r="J211" s="6">
        <f t="shared" si="38"/>
        <v>110195.11060804463</v>
      </c>
    </row>
    <row r="212" spans="1:10" x14ac:dyDescent="0.25">
      <c r="A212">
        <f t="shared" si="30"/>
        <v>207</v>
      </c>
      <c r="B212" s="2">
        <f t="shared" ca="1" si="31"/>
        <v>48225</v>
      </c>
      <c r="C212" s="2" t="str">
        <f t="shared" ca="1" si="39"/>
        <v>styczeń</v>
      </c>
      <c r="D212" s="6">
        <f t="shared" si="32"/>
        <v>1395.2633163131788</v>
      </c>
      <c r="E212" s="6">
        <f t="shared" si="33"/>
        <v>416.90483513376893</v>
      </c>
      <c r="F212" s="6">
        <f t="shared" si="34"/>
        <v>978.35848117940986</v>
      </c>
      <c r="G212" s="6">
        <f t="shared" si="35"/>
        <v>148036.25860369499</v>
      </c>
      <c r="H212" s="6">
        <f t="shared" si="36"/>
        <v>140783.24787313305</v>
      </c>
      <c r="I212" s="6">
        <f t="shared" si="37"/>
        <v>288819.50647682807</v>
      </c>
      <c r="J212" s="6">
        <f t="shared" si="38"/>
        <v>109216.75212686522</v>
      </c>
    </row>
    <row r="213" spans="1:10" x14ac:dyDescent="0.25">
      <c r="A213">
        <f t="shared" si="30"/>
        <v>208</v>
      </c>
      <c r="B213" s="2">
        <f t="shared" ca="1" si="31"/>
        <v>48256</v>
      </c>
      <c r="C213" s="2" t="str">
        <f t="shared" ca="1" si="39"/>
        <v>luty</v>
      </c>
      <c r="D213" s="6">
        <f t="shared" si="32"/>
        <v>1395.2633163131788</v>
      </c>
      <c r="E213" s="6">
        <f t="shared" si="33"/>
        <v>413.2033788799734</v>
      </c>
      <c r="F213" s="6">
        <f t="shared" si="34"/>
        <v>982.0599374332055</v>
      </c>
      <c r="G213" s="6">
        <f t="shared" si="35"/>
        <v>148449.46198257495</v>
      </c>
      <c r="H213" s="6">
        <f t="shared" si="36"/>
        <v>141765.30781056624</v>
      </c>
      <c r="I213" s="6">
        <f t="shared" si="37"/>
        <v>290214.76979314123</v>
      </c>
      <c r="J213" s="6">
        <f t="shared" si="38"/>
        <v>108234.69218943203</v>
      </c>
    </row>
    <row r="214" spans="1:10" x14ac:dyDescent="0.25">
      <c r="A214">
        <f t="shared" si="30"/>
        <v>209</v>
      </c>
      <c r="B214" s="2">
        <f t="shared" ca="1" si="31"/>
        <v>48285</v>
      </c>
      <c r="C214" s="2" t="str">
        <f t="shared" ca="1" si="39"/>
        <v>marzec</v>
      </c>
      <c r="D214" s="6">
        <f t="shared" si="32"/>
        <v>1395.2633163131788</v>
      </c>
      <c r="E214" s="6">
        <f t="shared" si="33"/>
        <v>409.48791878335118</v>
      </c>
      <c r="F214" s="6">
        <f t="shared" si="34"/>
        <v>985.77539752982761</v>
      </c>
      <c r="G214" s="6">
        <f t="shared" si="35"/>
        <v>148858.94990135831</v>
      </c>
      <c r="H214" s="6">
        <f t="shared" si="36"/>
        <v>142751.08320809607</v>
      </c>
      <c r="I214" s="6">
        <f t="shared" si="37"/>
        <v>291610.03310945438</v>
      </c>
      <c r="J214" s="6">
        <f t="shared" si="38"/>
        <v>107248.9167919022</v>
      </c>
    </row>
    <row r="215" spans="1:10" x14ac:dyDescent="0.25">
      <c r="A215">
        <f t="shared" si="30"/>
        <v>210</v>
      </c>
      <c r="B215" s="2">
        <f t="shared" ca="1" si="31"/>
        <v>48316</v>
      </c>
      <c r="C215" s="2" t="str">
        <f t="shared" ca="1" si="39"/>
        <v>kwiecień</v>
      </c>
      <c r="D215" s="6">
        <f t="shared" si="32"/>
        <v>1395.2633163131788</v>
      </c>
      <c r="E215" s="6">
        <f t="shared" si="33"/>
        <v>405.7584018626967</v>
      </c>
      <c r="F215" s="6">
        <f t="shared" si="34"/>
        <v>989.50491445048215</v>
      </c>
      <c r="G215" s="6">
        <f t="shared" si="35"/>
        <v>149264.70830322101</v>
      </c>
      <c r="H215" s="6">
        <f t="shared" si="36"/>
        <v>143740.58812254656</v>
      </c>
      <c r="I215" s="6">
        <f t="shared" si="37"/>
        <v>293005.29642576753</v>
      </c>
      <c r="J215" s="6">
        <f t="shared" si="38"/>
        <v>106259.41187745167</v>
      </c>
    </row>
    <row r="216" spans="1:10" x14ac:dyDescent="0.25">
      <c r="A216">
        <f t="shared" si="30"/>
        <v>211</v>
      </c>
      <c r="B216" s="2">
        <f t="shared" ca="1" si="31"/>
        <v>48346</v>
      </c>
      <c r="C216" s="2" t="str">
        <f t="shared" ca="1" si="39"/>
        <v>maj</v>
      </c>
      <c r="D216" s="6">
        <f t="shared" si="32"/>
        <v>1395.2633163131788</v>
      </c>
      <c r="E216" s="6">
        <f t="shared" si="33"/>
        <v>402.01477493635883</v>
      </c>
      <c r="F216" s="6">
        <f t="shared" si="34"/>
        <v>993.24854137681996</v>
      </c>
      <c r="G216" s="6">
        <f t="shared" si="35"/>
        <v>149666.72307815737</v>
      </c>
      <c r="H216" s="6">
        <f t="shared" si="36"/>
        <v>144733.83666392337</v>
      </c>
      <c r="I216" s="6">
        <f t="shared" si="37"/>
        <v>294400.55974208069</v>
      </c>
      <c r="J216" s="6">
        <f t="shared" si="38"/>
        <v>105266.1633360749</v>
      </c>
    </row>
    <row r="217" spans="1:10" x14ac:dyDescent="0.25">
      <c r="A217">
        <f t="shared" si="30"/>
        <v>212</v>
      </c>
      <c r="B217" s="2">
        <f t="shared" ca="1" si="31"/>
        <v>48377</v>
      </c>
      <c r="C217" s="2" t="str">
        <f t="shared" ca="1" si="39"/>
        <v>czerwiec</v>
      </c>
      <c r="D217" s="6">
        <f t="shared" si="32"/>
        <v>1395.2633163131788</v>
      </c>
      <c r="E217" s="6">
        <f t="shared" si="33"/>
        <v>398.25698462148335</v>
      </c>
      <c r="F217" s="6">
        <f t="shared" si="34"/>
        <v>997.00633169169555</v>
      </c>
      <c r="G217" s="6">
        <f t="shared" si="35"/>
        <v>150064.98006277886</v>
      </c>
      <c r="H217" s="6">
        <f t="shared" si="36"/>
        <v>145730.84299561506</v>
      </c>
      <c r="I217" s="6">
        <f t="shared" si="37"/>
        <v>295795.82305839384</v>
      </c>
      <c r="J217" s="6">
        <f t="shared" si="38"/>
        <v>104269.15700438317</v>
      </c>
    </row>
    <row r="218" spans="1:10" x14ac:dyDescent="0.25">
      <c r="A218">
        <f t="shared" si="30"/>
        <v>213</v>
      </c>
      <c r="B218" s="2">
        <f t="shared" ca="1" si="31"/>
        <v>48407</v>
      </c>
      <c r="C218" s="2" t="str">
        <f t="shared" ca="1" si="39"/>
        <v>lipiec</v>
      </c>
      <c r="D218" s="6">
        <f t="shared" si="32"/>
        <v>1395.2633163131788</v>
      </c>
      <c r="E218" s="6">
        <f t="shared" si="33"/>
        <v>394.48497733324967</v>
      </c>
      <c r="F218" s="6">
        <f t="shared" si="34"/>
        <v>1000.7783389799292</v>
      </c>
      <c r="G218" s="6">
        <f t="shared" si="35"/>
        <v>150459.46504011212</v>
      </c>
      <c r="H218" s="6">
        <f t="shared" si="36"/>
        <v>146731.62133459499</v>
      </c>
      <c r="I218" s="6">
        <f t="shared" si="37"/>
        <v>297191.086374707</v>
      </c>
      <c r="J218" s="6">
        <f t="shared" si="38"/>
        <v>103268.37866540319</v>
      </c>
    </row>
    <row r="219" spans="1:10" x14ac:dyDescent="0.25">
      <c r="A219">
        <f t="shared" si="30"/>
        <v>214</v>
      </c>
      <c r="B219" s="2">
        <f t="shared" ca="1" si="31"/>
        <v>48438</v>
      </c>
      <c r="C219" s="2" t="str">
        <f t="shared" ca="1" si="39"/>
        <v>sierpień</v>
      </c>
      <c r="D219" s="6">
        <f t="shared" si="32"/>
        <v>1395.2633163131788</v>
      </c>
      <c r="E219" s="6">
        <f t="shared" si="33"/>
        <v>390.69869928410873</v>
      </c>
      <c r="F219" s="6">
        <f t="shared" si="34"/>
        <v>1004.5646170290702</v>
      </c>
      <c r="G219" s="6">
        <f t="shared" si="35"/>
        <v>150850.16373939623</v>
      </c>
      <c r="H219" s="6">
        <f t="shared" si="36"/>
        <v>147736.18595162407</v>
      </c>
      <c r="I219" s="6">
        <f t="shared" si="37"/>
        <v>298586.34969102015</v>
      </c>
      <c r="J219" s="6">
        <f t="shared" si="38"/>
        <v>102263.81404837423</v>
      </c>
    </row>
    <row r="220" spans="1:10" x14ac:dyDescent="0.25">
      <c r="A220">
        <f t="shared" si="30"/>
        <v>215</v>
      </c>
      <c r="B220" s="2">
        <f t="shared" ca="1" si="31"/>
        <v>48469</v>
      </c>
      <c r="C220" s="2" t="str">
        <f t="shared" ca="1" si="39"/>
        <v>wrzesień</v>
      </c>
      <c r="D220" s="6">
        <f t="shared" si="32"/>
        <v>1395.2633163131788</v>
      </c>
      <c r="E220" s="6">
        <f t="shared" si="33"/>
        <v>386.89809648301588</v>
      </c>
      <c r="F220" s="6">
        <f t="shared" si="34"/>
        <v>1008.3652198301629</v>
      </c>
      <c r="G220" s="6">
        <f t="shared" si="35"/>
        <v>151237.06183587926</v>
      </c>
      <c r="H220" s="6">
        <f t="shared" si="36"/>
        <v>148744.55117145422</v>
      </c>
      <c r="I220" s="6">
        <f t="shared" si="37"/>
        <v>299981.6130073333</v>
      </c>
      <c r="J220" s="6">
        <f t="shared" si="38"/>
        <v>101255.44882854402</v>
      </c>
    </row>
    <row r="221" spans="1:10" x14ac:dyDescent="0.25">
      <c r="A221">
        <f t="shared" si="30"/>
        <v>216</v>
      </c>
      <c r="B221" s="2">
        <f t="shared" ca="1" si="31"/>
        <v>48499</v>
      </c>
      <c r="C221" s="2" t="str">
        <f t="shared" ca="1" si="39"/>
        <v>październik</v>
      </c>
      <c r="D221" s="6">
        <f t="shared" si="32"/>
        <v>1395.2633163131788</v>
      </c>
      <c r="E221" s="6">
        <f t="shared" si="33"/>
        <v>383.08311473465824</v>
      </c>
      <c r="F221" s="6">
        <f t="shared" si="34"/>
        <v>1012.1802015785206</v>
      </c>
      <c r="G221" s="6">
        <f t="shared" si="35"/>
        <v>151620.1449506139</v>
      </c>
      <c r="H221" s="6">
        <f t="shared" si="36"/>
        <v>149756.73137303273</v>
      </c>
      <c r="I221" s="6">
        <f t="shared" si="37"/>
        <v>301376.87632364646</v>
      </c>
      <c r="J221" s="6">
        <f t="shared" si="38"/>
        <v>100243.26862696554</v>
      </c>
    </row>
    <row r="222" spans="1:10" x14ac:dyDescent="0.25">
      <c r="A222">
        <f t="shared" ref="A222:A285" si="40">IF($B$2&gt;A221,A221+1,"")</f>
        <v>217</v>
      </c>
      <c r="B222" s="2">
        <f t="shared" ref="B222:B285" ca="1" si="41">IF(A222&lt;&gt;"",DATE(YEAR(B221),MONTH(B221) + 1,DAY(B221)),"")</f>
        <v>48530</v>
      </c>
      <c r="C222" s="2" t="str">
        <f t="shared" ca="1" si="39"/>
        <v>listopad</v>
      </c>
      <c r="D222" s="6">
        <f t="shared" ref="D222:D285" si="42">IF(A222&lt;&gt;"",$F$4,"")</f>
        <v>1395.2633163131788</v>
      </c>
      <c r="E222" s="6">
        <f t="shared" ref="E222:E285" si="43">IF(A222&lt;&gt;"",J221*$B$3/12,"")</f>
        <v>379.25369963868633</v>
      </c>
      <c r="F222" s="6">
        <f t="shared" ref="F222:F285" si="44">IF(A222&lt;&gt;"",D222-E222,"")</f>
        <v>1016.0096166744925</v>
      </c>
      <c r="G222" s="6">
        <f t="shared" ref="G222:G285" si="45">IF(A222&lt;&gt;"",G221+E222,"")</f>
        <v>151999.39865025258</v>
      </c>
      <c r="H222" s="6">
        <f t="shared" ref="H222:H285" si="46">IF(A222&lt;&gt;"",H221+F222,"")</f>
        <v>150772.74098970724</v>
      </c>
      <c r="I222" s="6">
        <f t="shared" ref="I222:I285" si="47">IF(A222&lt;&gt;"",D222+I221,"")</f>
        <v>302772.13963995961</v>
      </c>
      <c r="J222" s="6">
        <f t="shared" ref="J222:J285" si="48">IF(A222&lt;&gt;"",$B$1*(($F$1^$B$2-$F$1^A222)/($F$1^$B$2-1)),"")</f>
        <v>99227.259010291033</v>
      </c>
    </row>
    <row r="223" spans="1:10" x14ac:dyDescent="0.25">
      <c r="A223">
        <f t="shared" si="40"/>
        <v>218</v>
      </c>
      <c r="B223" s="2">
        <f t="shared" ca="1" si="41"/>
        <v>48560</v>
      </c>
      <c r="C223" s="2" t="str">
        <f t="shared" ca="1" si="39"/>
        <v>grudzień</v>
      </c>
      <c r="D223" s="6">
        <f t="shared" si="42"/>
        <v>1395.2633163131788</v>
      </c>
      <c r="E223" s="6">
        <f t="shared" si="43"/>
        <v>375.4097965889344</v>
      </c>
      <c r="F223" s="6">
        <f t="shared" si="44"/>
        <v>1019.8535197242445</v>
      </c>
      <c r="G223" s="6">
        <f t="shared" si="45"/>
        <v>152374.80844684152</v>
      </c>
      <c r="H223" s="6">
        <f t="shared" si="46"/>
        <v>151792.59450943148</v>
      </c>
      <c r="I223" s="6">
        <f t="shared" si="47"/>
        <v>304167.40295627277</v>
      </c>
      <c r="J223" s="6">
        <f t="shared" si="48"/>
        <v>98207.405490566773</v>
      </c>
    </row>
    <row r="224" spans="1:10" x14ac:dyDescent="0.25">
      <c r="A224">
        <f t="shared" si="40"/>
        <v>219</v>
      </c>
      <c r="B224" s="2">
        <f t="shared" ca="1" si="41"/>
        <v>48591</v>
      </c>
      <c r="C224" s="2" t="str">
        <f t="shared" ca="1" si="39"/>
        <v>styczeń</v>
      </c>
      <c r="D224" s="6">
        <f t="shared" si="42"/>
        <v>1395.2633163131788</v>
      </c>
      <c r="E224" s="6">
        <f t="shared" si="43"/>
        <v>371.5513507726443</v>
      </c>
      <c r="F224" s="6">
        <f t="shared" si="44"/>
        <v>1023.7119655405345</v>
      </c>
      <c r="G224" s="6">
        <f t="shared" si="45"/>
        <v>152746.35979761416</v>
      </c>
      <c r="H224" s="6">
        <f t="shared" si="46"/>
        <v>152816.30647497202</v>
      </c>
      <c r="I224" s="6">
        <f t="shared" si="47"/>
        <v>305562.66627258592</v>
      </c>
      <c r="J224" s="6">
        <f t="shared" si="48"/>
        <v>97183.693525026189</v>
      </c>
    </row>
    <row r="225" spans="1:10" x14ac:dyDescent="0.25">
      <c r="A225">
        <f t="shared" si="40"/>
        <v>220</v>
      </c>
      <c r="B225" s="2">
        <f t="shared" ca="1" si="41"/>
        <v>48622</v>
      </c>
      <c r="C225" s="2" t="str">
        <f t="shared" ca="1" si="39"/>
        <v>luty</v>
      </c>
      <c r="D225" s="6">
        <f t="shared" si="42"/>
        <v>1395.2633163131788</v>
      </c>
      <c r="E225" s="6">
        <f t="shared" si="43"/>
        <v>367.67830716968245</v>
      </c>
      <c r="F225" s="6">
        <f t="shared" si="44"/>
        <v>1027.5850091434963</v>
      </c>
      <c r="G225" s="6">
        <f t="shared" si="45"/>
        <v>153114.03810478383</v>
      </c>
      <c r="H225" s="6">
        <f t="shared" si="46"/>
        <v>153843.89148411551</v>
      </c>
      <c r="I225" s="6">
        <f t="shared" si="47"/>
        <v>306957.92958889907</v>
      </c>
      <c r="J225" s="6">
        <f t="shared" si="48"/>
        <v>96156.108515882719</v>
      </c>
    </row>
    <row r="226" spans="1:10" x14ac:dyDescent="0.25">
      <c r="A226">
        <f t="shared" si="40"/>
        <v>221</v>
      </c>
      <c r="B226" s="2">
        <f t="shared" ca="1" si="41"/>
        <v>48650</v>
      </c>
      <c r="C226" s="2" t="str">
        <f t="shared" ca="1" si="39"/>
        <v>marzec</v>
      </c>
      <c r="D226" s="6">
        <f t="shared" si="42"/>
        <v>1395.2633163131788</v>
      </c>
      <c r="E226" s="6">
        <f t="shared" si="43"/>
        <v>363.79061055175634</v>
      </c>
      <c r="F226" s="6">
        <f t="shared" si="44"/>
        <v>1031.4727057614225</v>
      </c>
      <c r="G226" s="6">
        <f t="shared" si="45"/>
        <v>153477.82871533558</v>
      </c>
      <c r="H226" s="6">
        <f t="shared" si="46"/>
        <v>154875.36418987694</v>
      </c>
      <c r="I226" s="6">
        <f t="shared" si="47"/>
        <v>308353.19290521223</v>
      </c>
      <c r="J226" s="6">
        <f t="shared" si="48"/>
        <v>95124.635810121297</v>
      </c>
    </row>
    <row r="227" spans="1:10" x14ac:dyDescent="0.25">
      <c r="A227">
        <f t="shared" si="40"/>
        <v>222</v>
      </c>
      <c r="B227" s="2">
        <f t="shared" ca="1" si="41"/>
        <v>48681</v>
      </c>
      <c r="C227" s="2" t="str">
        <f t="shared" ca="1" si="39"/>
        <v>kwiecień</v>
      </c>
      <c r="D227" s="6">
        <f t="shared" si="42"/>
        <v>1395.2633163131788</v>
      </c>
      <c r="E227" s="6">
        <f t="shared" si="43"/>
        <v>359.88820548162562</v>
      </c>
      <c r="F227" s="6">
        <f t="shared" si="44"/>
        <v>1035.3751108315532</v>
      </c>
      <c r="G227" s="6">
        <f t="shared" si="45"/>
        <v>153837.71692081721</v>
      </c>
      <c r="H227" s="6">
        <f t="shared" si="46"/>
        <v>155910.73930070849</v>
      </c>
      <c r="I227" s="6">
        <f t="shared" si="47"/>
        <v>309748.45622152538</v>
      </c>
      <c r="J227" s="6">
        <f t="shared" si="48"/>
        <v>94089.260699289793</v>
      </c>
    </row>
    <row r="228" spans="1:10" x14ac:dyDescent="0.25">
      <c r="A228">
        <f t="shared" si="40"/>
        <v>223</v>
      </c>
      <c r="B228" s="2">
        <f t="shared" ca="1" si="41"/>
        <v>48711</v>
      </c>
      <c r="C228" s="2" t="str">
        <f t="shared" ca="1" si="39"/>
        <v>maj</v>
      </c>
      <c r="D228" s="6">
        <f t="shared" si="42"/>
        <v>1395.2633163131788</v>
      </c>
      <c r="E228" s="6">
        <f t="shared" si="43"/>
        <v>355.97103631231306</v>
      </c>
      <c r="F228" s="6">
        <f t="shared" si="44"/>
        <v>1039.2922800008657</v>
      </c>
      <c r="G228" s="6">
        <f t="shared" si="45"/>
        <v>154193.68795712953</v>
      </c>
      <c r="H228" s="6">
        <f t="shared" si="46"/>
        <v>156950.03158070936</v>
      </c>
      <c r="I228" s="6">
        <f t="shared" si="47"/>
        <v>311143.71953783854</v>
      </c>
      <c r="J228" s="6">
        <f t="shared" si="48"/>
        <v>93049.968419288882</v>
      </c>
    </row>
    <row r="229" spans="1:10" x14ac:dyDescent="0.25">
      <c r="A229">
        <f t="shared" si="40"/>
        <v>224</v>
      </c>
      <c r="B229" s="2">
        <f t="shared" ca="1" si="41"/>
        <v>48742</v>
      </c>
      <c r="C229" s="2" t="str">
        <f t="shared" ca="1" si="39"/>
        <v>czerwiec</v>
      </c>
      <c r="D229" s="6">
        <f t="shared" si="42"/>
        <v>1395.2633163131788</v>
      </c>
      <c r="E229" s="6">
        <f t="shared" si="43"/>
        <v>352.03904718630957</v>
      </c>
      <c r="F229" s="6">
        <f t="shared" si="44"/>
        <v>1043.2242691268693</v>
      </c>
      <c r="G229" s="6">
        <f t="shared" si="45"/>
        <v>154545.72700431585</v>
      </c>
      <c r="H229" s="6">
        <f t="shared" si="46"/>
        <v>157993.25584983622</v>
      </c>
      <c r="I229" s="6">
        <f t="shared" si="47"/>
        <v>312538.98285415169</v>
      </c>
      <c r="J229" s="6">
        <f t="shared" si="48"/>
        <v>92006.744150162034</v>
      </c>
    </row>
    <row r="230" spans="1:10" x14ac:dyDescent="0.25">
      <c r="A230">
        <f t="shared" si="40"/>
        <v>225</v>
      </c>
      <c r="B230" s="2">
        <f t="shared" ca="1" si="41"/>
        <v>48772</v>
      </c>
      <c r="C230" s="2" t="str">
        <f t="shared" ca="1" si="39"/>
        <v>lipiec</v>
      </c>
      <c r="D230" s="6">
        <f t="shared" si="42"/>
        <v>1395.2633163131788</v>
      </c>
      <c r="E230" s="6">
        <f t="shared" si="43"/>
        <v>348.09218203477968</v>
      </c>
      <c r="F230" s="6">
        <f t="shared" si="44"/>
        <v>1047.1711342783992</v>
      </c>
      <c r="G230" s="6">
        <f t="shared" si="45"/>
        <v>154893.81918635062</v>
      </c>
      <c r="H230" s="6">
        <f t="shared" si="46"/>
        <v>159040.42698411463</v>
      </c>
      <c r="I230" s="6">
        <f t="shared" si="47"/>
        <v>313934.24617046484</v>
      </c>
      <c r="J230" s="6">
        <f t="shared" si="48"/>
        <v>90959.573015883667</v>
      </c>
    </row>
    <row r="231" spans="1:10" x14ac:dyDescent="0.25">
      <c r="A231">
        <f t="shared" si="40"/>
        <v>226</v>
      </c>
      <c r="B231" s="2">
        <f t="shared" ca="1" si="41"/>
        <v>48803</v>
      </c>
      <c r="C231" s="2" t="str">
        <f t="shared" ca="1" si="39"/>
        <v>sierpień</v>
      </c>
      <c r="D231" s="6">
        <f t="shared" si="42"/>
        <v>1395.2633163131788</v>
      </c>
      <c r="E231" s="6">
        <f t="shared" si="43"/>
        <v>344.13038457675992</v>
      </c>
      <c r="F231" s="6">
        <f t="shared" si="44"/>
        <v>1051.1329317364189</v>
      </c>
      <c r="G231" s="6">
        <f t="shared" si="45"/>
        <v>155237.94957092739</v>
      </c>
      <c r="H231" s="6">
        <f t="shared" si="46"/>
        <v>160091.55991585104</v>
      </c>
      <c r="I231" s="6">
        <f t="shared" si="47"/>
        <v>315329.509486778</v>
      </c>
      <c r="J231" s="6">
        <f t="shared" si="48"/>
        <v>89908.440084147223</v>
      </c>
    </row>
    <row r="232" spans="1:10" x14ac:dyDescent="0.25">
      <c r="A232">
        <f t="shared" si="40"/>
        <v>227</v>
      </c>
      <c r="B232" s="2">
        <f t="shared" ca="1" si="41"/>
        <v>48834</v>
      </c>
      <c r="C232" s="2" t="str">
        <f t="shared" ca="1" si="39"/>
        <v>wrzesień</v>
      </c>
      <c r="D232" s="6">
        <f t="shared" si="42"/>
        <v>1395.2633163131788</v>
      </c>
      <c r="E232" s="6">
        <f t="shared" si="43"/>
        <v>340.15359831835701</v>
      </c>
      <c r="F232" s="6">
        <f t="shared" si="44"/>
        <v>1055.1097179948219</v>
      </c>
      <c r="G232" s="6">
        <f t="shared" si="45"/>
        <v>155578.10316924576</v>
      </c>
      <c r="H232" s="6">
        <f t="shared" si="46"/>
        <v>161146.66963384586</v>
      </c>
      <c r="I232" s="6">
        <f t="shared" si="47"/>
        <v>316724.77280309115</v>
      </c>
      <c r="J232" s="6">
        <f t="shared" si="48"/>
        <v>88853.330366152411</v>
      </c>
    </row>
    <row r="233" spans="1:10" x14ac:dyDescent="0.25">
      <c r="A233">
        <f t="shared" si="40"/>
        <v>228</v>
      </c>
      <c r="B233" s="2">
        <f t="shared" ca="1" si="41"/>
        <v>48864</v>
      </c>
      <c r="C233" s="2" t="str">
        <f t="shared" ca="1" si="39"/>
        <v>październik</v>
      </c>
      <c r="D233" s="6">
        <f t="shared" si="42"/>
        <v>1395.2633163131788</v>
      </c>
      <c r="E233" s="6">
        <f t="shared" si="43"/>
        <v>336.16176655194334</v>
      </c>
      <c r="F233" s="6">
        <f t="shared" si="44"/>
        <v>1059.1015497612354</v>
      </c>
      <c r="G233" s="6">
        <f t="shared" si="45"/>
        <v>155914.26493579769</v>
      </c>
      <c r="H233" s="6">
        <f t="shared" si="46"/>
        <v>162205.77118360708</v>
      </c>
      <c r="I233" s="6">
        <f t="shared" si="47"/>
        <v>318120.03611940431</v>
      </c>
      <c r="J233" s="6">
        <f t="shared" si="48"/>
        <v>87794.228816391187</v>
      </c>
    </row>
    <row r="234" spans="1:10" x14ac:dyDescent="0.25">
      <c r="A234">
        <f t="shared" si="40"/>
        <v>229</v>
      </c>
      <c r="B234" s="2">
        <f t="shared" ca="1" si="41"/>
        <v>48895</v>
      </c>
      <c r="C234" s="2" t="str">
        <f t="shared" ca="1" si="39"/>
        <v>listopad</v>
      </c>
      <c r="D234" s="6">
        <f t="shared" si="42"/>
        <v>1395.2633163131788</v>
      </c>
      <c r="E234" s="6">
        <f t="shared" si="43"/>
        <v>332.15483235534668</v>
      </c>
      <c r="F234" s="6">
        <f t="shared" si="44"/>
        <v>1063.108483957832</v>
      </c>
      <c r="G234" s="6">
        <f t="shared" si="45"/>
        <v>156246.41976815305</v>
      </c>
      <c r="H234" s="6">
        <f t="shared" si="46"/>
        <v>163268.87966756491</v>
      </c>
      <c r="I234" s="6">
        <f t="shared" si="47"/>
        <v>319515.29943571746</v>
      </c>
      <c r="J234" s="6">
        <f t="shared" si="48"/>
        <v>86731.120332433289</v>
      </c>
    </row>
    <row r="235" spans="1:10" x14ac:dyDescent="0.25">
      <c r="A235">
        <f t="shared" si="40"/>
        <v>230</v>
      </c>
      <c r="B235" s="2">
        <f t="shared" ca="1" si="41"/>
        <v>48925</v>
      </c>
      <c r="C235" s="2" t="str">
        <f t="shared" ca="1" si="39"/>
        <v>grudzień</v>
      </c>
      <c r="D235" s="6">
        <f t="shared" si="42"/>
        <v>1395.2633163131788</v>
      </c>
      <c r="E235" s="6">
        <f t="shared" si="43"/>
        <v>328.1327385910393</v>
      </c>
      <c r="F235" s="6">
        <f t="shared" si="44"/>
        <v>1067.1305777221396</v>
      </c>
      <c r="G235" s="6">
        <f t="shared" si="45"/>
        <v>156574.55250674408</v>
      </c>
      <c r="H235" s="6">
        <f t="shared" si="46"/>
        <v>164336.01024528703</v>
      </c>
      <c r="I235" s="6">
        <f t="shared" si="47"/>
        <v>320910.56275203062</v>
      </c>
      <c r="J235" s="6">
        <f t="shared" si="48"/>
        <v>85663.98975471122</v>
      </c>
    </row>
    <row r="236" spans="1:10" x14ac:dyDescent="0.25">
      <c r="A236">
        <f t="shared" si="40"/>
        <v>231</v>
      </c>
      <c r="B236" s="2">
        <f t="shared" ca="1" si="41"/>
        <v>48956</v>
      </c>
      <c r="C236" s="2" t="str">
        <f t="shared" ca="1" si="39"/>
        <v>styczeń</v>
      </c>
      <c r="D236" s="6">
        <f t="shared" si="42"/>
        <v>1395.2633163131788</v>
      </c>
      <c r="E236" s="6">
        <f t="shared" si="43"/>
        <v>324.09542790532413</v>
      </c>
      <c r="F236" s="6">
        <f t="shared" si="44"/>
        <v>1071.1678884078547</v>
      </c>
      <c r="G236" s="6">
        <f t="shared" si="45"/>
        <v>156898.6479346494</v>
      </c>
      <c r="H236" s="6">
        <f t="shared" si="46"/>
        <v>165407.17813369489</v>
      </c>
      <c r="I236" s="6">
        <f t="shared" si="47"/>
        <v>322305.82606834377</v>
      </c>
      <c r="J236" s="6">
        <f t="shared" si="48"/>
        <v>84592.821866303362</v>
      </c>
    </row>
    <row r="237" spans="1:10" x14ac:dyDescent="0.25">
      <c r="A237">
        <f t="shared" si="40"/>
        <v>232</v>
      </c>
      <c r="B237" s="2">
        <f t="shared" ca="1" si="41"/>
        <v>48987</v>
      </c>
      <c r="C237" s="2" t="str">
        <f t="shared" ca="1" si="39"/>
        <v>luty</v>
      </c>
      <c r="D237" s="6">
        <f t="shared" si="42"/>
        <v>1395.2633163131788</v>
      </c>
      <c r="E237" s="6">
        <f t="shared" si="43"/>
        <v>320.04284272751443</v>
      </c>
      <c r="F237" s="6">
        <f t="shared" si="44"/>
        <v>1075.2204735856644</v>
      </c>
      <c r="G237" s="6">
        <f t="shared" si="45"/>
        <v>157218.69077737691</v>
      </c>
      <c r="H237" s="6">
        <f t="shared" si="46"/>
        <v>166482.39860728054</v>
      </c>
      <c r="I237" s="6">
        <f t="shared" si="47"/>
        <v>323701.08938465692</v>
      </c>
      <c r="J237" s="6">
        <f t="shared" si="48"/>
        <v>83517.601392717697</v>
      </c>
    </row>
    <row r="238" spans="1:10" x14ac:dyDescent="0.25">
      <c r="A238">
        <f t="shared" si="40"/>
        <v>233</v>
      </c>
      <c r="B238" s="2">
        <f t="shared" ca="1" si="41"/>
        <v>49015</v>
      </c>
      <c r="C238" s="2" t="str">
        <f t="shared" ca="1" si="39"/>
        <v>marzec</v>
      </c>
      <c r="D238" s="6">
        <f t="shared" si="42"/>
        <v>1395.2633163131788</v>
      </c>
      <c r="E238" s="6">
        <f t="shared" si="43"/>
        <v>315.97492526911532</v>
      </c>
      <c r="F238" s="6">
        <f t="shared" si="44"/>
        <v>1079.2883910440635</v>
      </c>
      <c r="G238" s="6">
        <f t="shared" si="45"/>
        <v>157534.66570264602</v>
      </c>
      <c r="H238" s="6">
        <f t="shared" si="46"/>
        <v>167561.68699832461</v>
      </c>
      <c r="I238" s="6">
        <f t="shared" si="47"/>
        <v>325096.35270097008</v>
      </c>
      <c r="J238" s="6">
        <f t="shared" si="48"/>
        <v>82438.313001673654</v>
      </c>
    </row>
    <row r="239" spans="1:10" x14ac:dyDescent="0.25">
      <c r="A239">
        <f t="shared" si="40"/>
        <v>234</v>
      </c>
      <c r="B239" s="2">
        <f t="shared" ca="1" si="41"/>
        <v>49046</v>
      </c>
      <c r="C239" s="2" t="str">
        <f t="shared" ca="1" si="39"/>
        <v>kwiecień</v>
      </c>
      <c r="D239" s="6">
        <f t="shared" si="42"/>
        <v>1395.2633163131788</v>
      </c>
      <c r="E239" s="6">
        <f t="shared" si="43"/>
        <v>311.89161752299867</v>
      </c>
      <c r="F239" s="6">
        <f t="shared" si="44"/>
        <v>1083.3716987901803</v>
      </c>
      <c r="G239" s="6">
        <f t="shared" si="45"/>
        <v>157846.55732016903</v>
      </c>
      <c r="H239" s="6">
        <f t="shared" si="46"/>
        <v>168645.05869711479</v>
      </c>
      <c r="I239" s="6">
        <f t="shared" si="47"/>
        <v>326491.61601728323</v>
      </c>
      <c r="J239" s="6">
        <f t="shared" si="48"/>
        <v>81354.941302883453</v>
      </c>
    </row>
    <row r="240" spans="1:10" x14ac:dyDescent="0.25">
      <c r="A240">
        <f t="shared" si="40"/>
        <v>235</v>
      </c>
      <c r="B240" s="2">
        <f t="shared" ca="1" si="41"/>
        <v>49076</v>
      </c>
      <c r="C240" s="2" t="str">
        <f t="shared" ca="1" si="39"/>
        <v>maj</v>
      </c>
      <c r="D240" s="6">
        <f t="shared" si="42"/>
        <v>1395.2633163131788</v>
      </c>
      <c r="E240" s="6">
        <f t="shared" si="43"/>
        <v>307.79286126257574</v>
      </c>
      <c r="F240" s="6">
        <f t="shared" si="44"/>
        <v>1087.4704550506031</v>
      </c>
      <c r="G240" s="6">
        <f t="shared" si="45"/>
        <v>158154.3501814316</v>
      </c>
      <c r="H240" s="6">
        <f t="shared" si="46"/>
        <v>169732.5291521654</v>
      </c>
      <c r="I240" s="6">
        <f t="shared" si="47"/>
        <v>327886.87933359639</v>
      </c>
      <c r="J240" s="6">
        <f t="shared" si="48"/>
        <v>80267.470847832883</v>
      </c>
    </row>
    <row r="241" spans="1:10" x14ac:dyDescent="0.25">
      <c r="A241">
        <f t="shared" si="40"/>
        <v>236</v>
      </c>
      <c r="B241" s="2">
        <f t="shared" ca="1" si="41"/>
        <v>49107</v>
      </c>
      <c r="C241" s="2" t="str">
        <f t="shared" ca="1" si="39"/>
        <v>czerwiec</v>
      </c>
      <c r="D241" s="6">
        <f t="shared" si="42"/>
        <v>1395.2633163131788</v>
      </c>
      <c r="E241" s="6">
        <f t="shared" si="43"/>
        <v>303.67859804096776</v>
      </c>
      <c r="F241" s="6">
        <f t="shared" si="44"/>
        <v>1091.5847182722111</v>
      </c>
      <c r="G241" s="6">
        <f t="shared" si="45"/>
        <v>158458.02877947257</v>
      </c>
      <c r="H241" s="6">
        <f t="shared" si="46"/>
        <v>170824.11387043761</v>
      </c>
      <c r="I241" s="6">
        <f t="shared" si="47"/>
        <v>329282.14264990954</v>
      </c>
      <c r="J241" s="6">
        <f t="shared" si="48"/>
        <v>79175.886129560648</v>
      </c>
    </row>
    <row r="242" spans="1:10" x14ac:dyDescent="0.25">
      <c r="A242">
        <f t="shared" si="40"/>
        <v>237</v>
      </c>
      <c r="B242" s="2">
        <f t="shared" ca="1" si="41"/>
        <v>49137</v>
      </c>
      <c r="C242" s="2" t="str">
        <f t="shared" ca="1" si="39"/>
        <v>lipiec</v>
      </c>
      <c r="D242" s="6">
        <f t="shared" si="42"/>
        <v>1395.2633163131788</v>
      </c>
      <c r="E242" s="6">
        <f t="shared" si="43"/>
        <v>299.54876919017113</v>
      </c>
      <c r="F242" s="6">
        <f t="shared" si="44"/>
        <v>1095.7145471230078</v>
      </c>
      <c r="G242" s="6">
        <f t="shared" si="45"/>
        <v>158757.57754866275</v>
      </c>
      <c r="H242" s="6">
        <f t="shared" si="46"/>
        <v>171919.82841756061</v>
      </c>
      <c r="I242" s="6">
        <f t="shared" si="47"/>
        <v>330677.40596622269</v>
      </c>
      <c r="J242" s="6">
        <f t="shared" si="48"/>
        <v>78080.171582437673</v>
      </c>
    </row>
    <row r="243" spans="1:10" x14ac:dyDescent="0.25">
      <c r="A243">
        <f t="shared" si="40"/>
        <v>238</v>
      </c>
      <c r="B243" s="2">
        <f t="shared" ca="1" si="41"/>
        <v>49168</v>
      </c>
      <c r="C243" s="2" t="str">
        <f t="shared" ca="1" si="39"/>
        <v>sierpień</v>
      </c>
      <c r="D243" s="6">
        <f t="shared" si="42"/>
        <v>1395.2633163131788</v>
      </c>
      <c r="E243" s="6">
        <f t="shared" si="43"/>
        <v>295.40331582022253</v>
      </c>
      <c r="F243" s="6">
        <f t="shared" si="44"/>
        <v>1099.8600004929563</v>
      </c>
      <c r="G243" s="6">
        <f t="shared" si="45"/>
        <v>159052.98086448299</v>
      </c>
      <c r="H243" s="6">
        <f t="shared" si="46"/>
        <v>173019.68841805356</v>
      </c>
      <c r="I243" s="6">
        <f t="shared" si="47"/>
        <v>332072.66928253585</v>
      </c>
      <c r="J243" s="6">
        <f t="shared" si="48"/>
        <v>76980.311581944727</v>
      </c>
    </row>
    <row r="244" spans="1:10" x14ac:dyDescent="0.25">
      <c r="A244">
        <f t="shared" si="40"/>
        <v>239</v>
      </c>
      <c r="B244" s="2">
        <f t="shared" ca="1" si="41"/>
        <v>49199</v>
      </c>
      <c r="C244" s="2" t="str">
        <f t="shared" ca="1" si="39"/>
        <v>wrzesień</v>
      </c>
      <c r="D244" s="6">
        <f t="shared" si="42"/>
        <v>1395.2633163131788</v>
      </c>
      <c r="E244" s="6">
        <f t="shared" si="43"/>
        <v>291.24217881835756</v>
      </c>
      <c r="F244" s="6">
        <f t="shared" si="44"/>
        <v>1104.0211374948212</v>
      </c>
      <c r="G244" s="6">
        <f t="shared" si="45"/>
        <v>159344.22304330135</v>
      </c>
      <c r="H244" s="6">
        <f t="shared" si="46"/>
        <v>174123.70955554838</v>
      </c>
      <c r="I244" s="6">
        <f t="shared" si="47"/>
        <v>333467.932598849</v>
      </c>
      <c r="J244" s="6">
        <f t="shared" si="48"/>
        <v>75876.290444449856</v>
      </c>
    </row>
    <row r="245" spans="1:10" x14ac:dyDescent="0.25">
      <c r="A245">
        <f t="shared" si="40"/>
        <v>240</v>
      </c>
      <c r="B245" s="2">
        <f t="shared" ca="1" si="41"/>
        <v>49229</v>
      </c>
      <c r="C245" s="2" t="str">
        <f t="shared" ca="1" si="39"/>
        <v>październik</v>
      </c>
      <c r="D245" s="6">
        <f t="shared" si="42"/>
        <v>1395.2633163131788</v>
      </c>
      <c r="E245" s="6">
        <f t="shared" si="43"/>
        <v>287.06529884816865</v>
      </c>
      <c r="F245" s="6">
        <f t="shared" si="44"/>
        <v>1108.1980174650103</v>
      </c>
      <c r="G245" s="6">
        <f t="shared" si="45"/>
        <v>159631.28834214952</v>
      </c>
      <c r="H245" s="6">
        <f t="shared" si="46"/>
        <v>175231.90757301339</v>
      </c>
      <c r="I245" s="6">
        <f t="shared" si="47"/>
        <v>334863.19591516216</v>
      </c>
      <c r="J245" s="6">
        <f t="shared" si="48"/>
        <v>74768.092426984949</v>
      </c>
    </row>
    <row r="246" spans="1:10" x14ac:dyDescent="0.25">
      <c r="A246">
        <f t="shared" si="40"/>
        <v>241</v>
      </c>
      <c r="B246" s="2">
        <f t="shared" ca="1" si="41"/>
        <v>49260</v>
      </c>
      <c r="C246" s="2" t="str">
        <f t="shared" ca="1" si="39"/>
        <v>listopad</v>
      </c>
      <c r="D246" s="6">
        <f t="shared" si="42"/>
        <v>1395.2633163131788</v>
      </c>
      <c r="E246" s="6">
        <f t="shared" si="43"/>
        <v>282.87261634875978</v>
      </c>
      <c r="F246" s="6">
        <f t="shared" si="44"/>
        <v>1112.3906999644191</v>
      </c>
      <c r="G246" s="6">
        <f t="shared" si="45"/>
        <v>159914.16095849828</v>
      </c>
      <c r="H246" s="6">
        <f t="shared" si="46"/>
        <v>176344.29827297782</v>
      </c>
      <c r="I246" s="6">
        <f t="shared" si="47"/>
        <v>336258.45923147531</v>
      </c>
      <c r="J246" s="6">
        <f t="shared" si="48"/>
        <v>73655.70172702054</v>
      </c>
    </row>
    <row r="247" spans="1:10" x14ac:dyDescent="0.25">
      <c r="A247">
        <f t="shared" si="40"/>
        <v>242</v>
      </c>
      <c r="B247" s="2">
        <f t="shared" ca="1" si="41"/>
        <v>49290</v>
      </c>
      <c r="C247" s="2" t="str">
        <f t="shared" ca="1" si="39"/>
        <v>grudzień</v>
      </c>
      <c r="D247" s="6">
        <f t="shared" si="42"/>
        <v>1395.2633163131788</v>
      </c>
      <c r="E247" s="6">
        <f t="shared" si="43"/>
        <v>278.6640715338944</v>
      </c>
      <c r="F247" s="6">
        <f t="shared" si="44"/>
        <v>1116.5992447792844</v>
      </c>
      <c r="G247" s="6">
        <f t="shared" si="45"/>
        <v>160192.82503003217</v>
      </c>
      <c r="H247" s="6">
        <f t="shared" si="46"/>
        <v>177460.89751775711</v>
      </c>
      <c r="I247" s="6">
        <f t="shared" si="47"/>
        <v>337653.72254778846</v>
      </c>
      <c r="J247" s="6">
        <f t="shared" si="48"/>
        <v>72539.102482241171</v>
      </c>
    </row>
    <row r="248" spans="1:10" x14ac:dyDescent="0.25">
      <c r="A248">
        <f t="shared" si="40"/>
        <v>243</v>
      </c>
      <c r="B248" s="2">
        <f t="shared" ca="1" si="41"/>
        <v>49321</v>
      </c>
      <c r="C248" s="2" t="str">
        <f t="shared" ca="1" si="39"/>
        <v>styczeń</v>
      </c>
      <c r="D248" s="6">
        <f t="shared" si="42"/>
        <v>1395.2633163131788</v>
      </c>
      <c r="E248" s="6">
        <f t="shared" si="43"/>
        <v>274.43960439114579</v>
      </c>
      <c r="F248" s="6">
        <f t="shared" si="44"/>
        <v>1120.823711922033</v>
      </c>
      <c r="G248" s="6">
        <f t="shared" si="45"/>
        <v>160467.26463442331</v>
      </c>
      <c r="H248" s="6">
        <f t="shared" si="46"/>
        <v>178581.72122967915</v>
      </c>
      <c r="I248" s="6">
        <f t="shared" si="47"/>
        <v>339048.98586410162</v>
      </c>
      <c r="J248" s="6">
        <f t="shared" si="48"/>
        <v>71418.278770319201</v>
      </c>
    </row>
    <row r="249" spans="1:10" x14ac:dyDescent="0.25">
      <c r="A249">
        <f t="shared" si="40"/>
        <v>244</v>
      </c>
      <c r="B249" s="2">
        <f t="shared" ca="1" si="41"/>
        <v>49352</v>
      </c>
      <c r="C249" s="2" t="str">
        <f t="shared" ca="1" si="39"/>
        <v>luty</v>
      </c>
      <c r="D249" s="6">
        <f t="shared" si="42"/>
        <v>1395.2633163131788</v>
      </c>
      <c r="E249" s="6">
        <f t="shared" si="43"/>
        <v>270.19915468104097</v>
      </c>
      <c r="F249" s="6">
        <f t="shared" si="44"/>
        <v>1125.0641616321379</v>
      </c>
      <c r="G249" s="6">
        <f t="shared" si="45"/>
        <v>160737.46378910434</v>
      </c>
      <c r="H249" s="6">
        <f t="shared" si="46"/>
        <v>179706.78539131131</v>
      </c>
      <c r="I249" s="6">
        <f t="shared" si="47"/>
        <v>340444.24918041477</v>
      </c>
      <c r="J249" s="6">
        <f t="shared" si="48"/>
        <v>70293.214608687049</v>
      </c>
    </row>
    <row r="250" spans="1:10" x14ac:dyDescent="0.25">
      <c r="A250">
        <f t="shared" si="40"/>
        <v>245</v>
      </c>
      <c r="B250" s="2">
        <f t="shared" ca="1" si="41"/>
        <v>49380</v>
      </c>
      <c r="C250" s="2" t="str">
        <f t="shared" ca="1" si="39"/>
        <v>marzec</v>
      </c>
      <c r="D250" s="6">
        <f t="shared" si="42"/>
        <v>1395.2633163131788</v>
      </c>
      <c r="E250" s="6">
        <f t="shared" si="43"/>
        <v>265.94266193619939</v>
      </c>
      <c r="F250" s="6">
        <f t="shared" si="44"/>
        <v>1129.3206543769795</v>
      </c>
      <c r="G250" s="6">
        <f t="shared" si="45"/>
        <v>161003.40645104053</v>
      </c>
      <c r="H250" s="6">
        <f t="shared" si="46"/>
        <v>180836.1060456883</v>
      </c>
      <c r="I250" s="6">
        <f t="shared" si="47"/>
        <v>341839.51249672793</v>
      </c>
      <c r="J250" s="6">
        <f t="shared" si="48"/>
        <v>69163.893954310042</v>
      </c>
    </row>
    <row r="251" spans="1:10" x14ac:dyDescent="0.25">
      <c r="A251">
        <f t="shared" si="40"/>
        <v>246</v>
      </c>
      <c r="B251" s="2">
        <f t="shared" ca="1" si="41"/>
        <v>49411</v>
      </c>
      <c r="C251" s="2" t="str">
        <f t="shared" ca="1" si="39"/>
        <v>kwiecień</v>
      </c>
      <c r="D251" s="6">
        <f t="shared" si="42"/>
        <v>1395.2633163131788</v>
      </c>
      <c r="E251" s="6">
        <f t="shared" si="43"/>
        <v>261.67006546047304</v>
      </c>
      <c r="F251" s="6">
        <f t="shared" si="44"/>
        <v>1133.5932508527058</v>
      </c>
      <c r="G251" s="6">
        <f t="shared" si="45"/>
        <v>161265.07651650099</v>
      </c>
      <c r="H251" s="6">
        <f t="shared" si="46"/>
        <v>181969.69929654102</v>
      </c>
      <c r="I251" s="6">
        <f t="shared" si="47"/>
        <v>343234.77581304108</v>
      </c>
      <c r="J251" s="6">
        <f t="shared" si="48"/>
        <v>68030.300703457382</v>
      </c>
    </row>
    <row r="252" spans="1:10" x14ac:dyDescent="0.25">
      <c r="A252">
        <f t="shared" si="40"/>
        <v>247</v>
      </c>
      <c r="B252" s="2">
        <f t="shared" ca="1" si="41"/>
        <v>49441</v>
      </c>
      <c r="C252" s="2" t="str">
        <f t="shared" ca="1" si="39"/>
        <v>maj</v>
      </c>
      <c r="D252" s="6">
        <f t="shared" si="42"/>
        <v>1395.2633163131788</v>
      </c>
      <c r="E252" s="6">
        <f t="shared" si="43"/>
        <v>257.38130432808043</v>
      </c>
      <c r="F252" s="6">
        <f t="shared" si="44"/>
        <v>1137.8820119850984</v>
      </c>
      <c r="G252" s="6">
        <f t="shared" si="45"/>
        <v>161522.45782082906</v>
      </c>
      <c r="H252" s="6">
        <f t="shared" si="46"/>
        <v>183107.5813085261</v>
      </c>
      <c r="I252" s="6">
        <f t="shared" si="47"/>
        <v>344630.03912935423</v>
      </c>
      <c r="J252" s="6">
        <f t="shared" si="48"/>
        <v>66892.41869147231</v>
      </c>
    </row>
    <row r="253" spans="1:10" x14ac:dyDescent="0.25">
      <c r="A253">
        <f t="shared" si="40"/>
        <v>248</v>
      </c>
      <c r="B253" s="2">
        <f t="shared" ca="1" si="41"/>
        <v>49472</v>
      </c>
      <c r="C253" s="2" t="str">
        <f t="shared" ca="1" si="39"/>
        <v>czerwiec</v>
      </c>
      <c r="D253" s="6">
        <f t="shared" si="42"/>
        <v>1395.2633163131788</v>
      </c>
      <c r="E253" s="6">
        <f t="shared" si="43"/>
        <v>253.0763173827369</v>
      </c>
      <c r="F253" s="6">
        <f t="shared" si="44"/>
        <v>1142.1869989304419</v>
      </c>
      <c r="G253" s="6">
        <f t="shared" si="45"/>
        <v>161775.53413821181</v>
      </c>
      <c r="H253" s="6">
        <f t="shared" si="46"/>
        <v>184249.76830745654</v>
      </c>
      <c r="I253" s="6">
        <f t="shared" si="47"/>
        <v>346025.30244566739</v>
      </c>
      <c r="J253" s="6">
        <f t="shared" si="48"/>
        <v>65750.231692541871</v>
      </c>
    </row>
    <row r="254" spans="1:10" x14ac:dyDescent="0.25">
      <c r="A254">
        <f t="shared" si="40"/>
        <v>249</v>
      </c>
      <c r="B254" s="2">
        <f t="shared" ca="1" si="41"/>
        <v>49502</v>
      </c>
      <c r="C254" s="2" t="str">
        <f t="shared" ca="1" si="39"/>
        <v>lipiec</v>
      </c>
      <c r="D254" s="6">
        <f t="shared" si="42"/>
        <v>1395.2633163131788</v>
      </c>
      <c r="E254" s="6">
        <f t="shared" si="43"/>
        <v>248.75504323678342</v>
      </c>
      <c r="F254" s="6">
        <f t="shared" si="44"/>
        <v>1146.5082730763954</v>
      </c>
      <c r="G254" s="6">
        <f t="shared" si="45"/>
        <v>162024.28918144858</v>
      </c>
      <c r="H254" s="6">
        <f t="shared" si="46"/>
        <v>185396.27658053293</v>
      </c>
      <c r="I254" s="6">
        <f t="shared" si="47"/>
        <v>347420.56576198054</v>
      </c>
      <c r="J254" s="6">
        <f t="shared" si="48"/>
        <v>64603.723419465488</v>
      </c>
    </row>
    <row r="255" spans="1:10" x14ac:dyDescent="0.25">
      <c r="A255">
        <f t="shared" si="40"/>
        <v>250</v>
      </c>
      <c r="B255" s="2">
        <f t="shared" ca="1" si="41"/>
        <v>49533</v>
      </c>
      <c r="C255" s="2" t="str">
        <f t="shared" ca="1" si="39"/>
        <v>sierpień</v>
      </c>
      <c r="D255" s="6">
        <f t="shared" si="42"/>
        <v>1395.2633163131788</v>
      </c>
      <c r="E255" s="6">
        <f t="shared" si="43"/>
        <v>244.41742027031111</v>
      </c>
      <c r="F255" s="6">
        <f t="shared" si="44"/>
        <v>1150.8458960428677</v>
      </c>
      <c r="G255" s="6">
        <f t="shared" si="45"/>
        <v>162268.70660171888</v>
      </c>
      <c r="H255" s="6">
        <f t="shared" si="46"/>
        <v>186547.12247657578</v>
      </c>
      <c r="I255" s="6">
        <f t="shared" si="47"/>
        <v>348815.8290782937</v>
      </c>
      <c r="J255" s="6">
        <f t="shared" si="48"/>
        <v>63452.87752342259</v>
      </c>
    </row>
    <row r="256" spans="1:10" x14ac:dyDescent="0.25">
      <c r="A256">
        <f t="shared" si="40"/>
        <v>251</v>
      </c>
      <c r="B256" s="2">
        <f t="shared" ca="1" si="41"/>
        <v>49564</v>
      </c>
      <c r="C256" s="2" t="str">
        <f t="shared" ca="1" si="39"/>
        <v>wrzesień</v>
      </c>
      <c r="D256" s="6">
        <f t="shared" si="42"/>
        <v>1395.2633163131788</v>
      </c>
      <c r="E256" s="6">
        <f t="shared" si="43"/>
        <v>240.06338663028214</v>
      </c>
      <c r="F256" s="6">
        <f t="shared" si="44"/>
        <v>1155.1999296828967</v>
      </c>
      <c r="G256" s="6">
        <f t="shared" si="45"/>
        <v>162508.76998834917</v>
      </c>
      <c r="H256" s="6">
        <f t="shared" si="46"/>
        <v>187702.32240625867</v>
      </c>
      <c r="I256" s="6">
        <f t="shared" si="47"/>
        <v>350211.09239460685</v>
      </c>
      <c r="J256" s="6">
        <f t="shared" si="48"/>
        <v>62297.677593739732</v>
      </c>
    </row>
    <row r="257" spans="1:10" x14ac:dyDescent="0.25">
      <c r="A257">
        <f t="shared" si="40"/>
        <v>252</v>
      </c>
      <c r="B257" s="2">
        <f t="shared" ca="1" si="41"/>
        <v>49594</v>
      </c>
      <c r="C257" s="2" t="str">
        <f t="shared" ca="1" si="39"/>
        <v>październik</v>
      </c>
      <c r="D257" s="6">
        <f t="shared" si="42"/>
        <v>1395.2633163131788</v>
      </c>
      <c r="E257" s="6">
        <f t="shared" si="43"/>
        <v>235.69288022964869</v>
      </c>
      <c r="F257" s="6">
        <f t="shared" si="44"/>
        <v>1159.5704360835302</v>
      </c>
      <c r="G257" s="6">
        <f t="shared" si="45"/>
        <v>162744.46286857882</v>
      </c>
      <c r="H257" s="6">
        <f t="shared" si="46"/>
        <v>188861.8928423422</v>
      </c>
      <c r="I257" s="6">
        <f t="shared" si="47"/>
        <v>351606.35571092</v>
      </c>
      <c r="J257" s="6">
        <f t="shared" si="48"/>
        <v>61138.107157656188</v>
      </c>
    </row>
    <row r="258" spans="1:10" x14ac:dyDescent="0.25">
      <c r="A258">
        <f t="shared" si="40"/>
        <v>253</v>
      </c>
      <c r="B258" s="2">
        <f t="shared" ca="1" si="41"/>
        <v>49625</v>
      </c>
      <c r="C258" s="2" t="str">
        <f t="shared" ca="1" si="39"/>
        <v>listopad</v>
      </c>
      <c r="D258" s="6">
        <f t="shared" si="42"/>
        <v>1395.2633163131788</v>
      </c>
      <c r="E258" s="6">
        <f t="shared" si="43"/>
        <v>231.30583874646592</v>
      </c>
      <c r="F258" s="6">
        <f t="shared" si="44"/>
        <v>1163.9574775667129</v>
      </c>
      <c r="G258" s="6">
        <f t="shared" si="45"/>
        <v>162975.76870732527</v>
      </c>
      <c r="H258" s="6">
        <f t="shared" si="46"/>
        <v>190025.8503199089</v>
      </c>
      <c r="I258" s="6">
        <f t="shared" si="47"/>
        <v>353001.61902723316</v>
      </c>
      <c r="J258" s="6">
        <f t="shared" si="48"/>
        <v>59974.149680089446</v>
      </c>
    </row>
    <row r="259" spans="1:10" x14ac:dyDescent="0.25">
      <c r="A259">
        <f t="shared" si="40"/>
        <v>254</v>
      </c>
      <c r="B259" s="2">
        <f t="shared" ca="1" si="41"/>
        <v>49655</v>
      </c>
      <c r="C259" s="2" t="str">
        <f t="shared" ca="1" si="39"/>
        <v>grudzień</v>
      </c>
      <c r="D259" s="6">
        <f t="shared" si="42"/>
        <v>1395.2633163131788</v>
      </c>
      <c r="E259" s="6">
        <f t="shared" si="43"/>
        <v>226.90219962300509</v>
      </c>
      <c r="F259" s="6">
        <f t="shared" si="44"/>
        <v>1168.3611166901737</v>
      </c>
      <c r="G259" s="6">
        <f t="shared" si="45"/>
        <v>163202.67090694827</v>
      </c>
      <c r="H259" s="6">
        <f t="shared" si="46"/>
        <v>191194.21143659909</v>
      </c>
      <c r="I259" s="6">
        <f t="shared" si="47"/>
        <v>354396.88234354631</v>
      </c>
      <c r="J259" s="6">
        <f t="shared" si="48"/>
        <v>58805.78856339927</v>
      </c>
    </row>
    <row r="260" spans="1:10" x14ac:dyDescent="0.25">
      <c r="A260">
        <f t="shared" si="40"/>
        <v>255</v>
      </c>
      <c r="B260" s="2">
        <f t="shared" ca="1" si="41"/>
        <v>49686</v>
      </c>
      <c r="C260" s="2" t="str">
        <f t="shared" ca="1" si="39"/>
        <v>styczeń</v>
      </c>
      <c r="D260" s="6">
        <f t="shared" si="42"/>
        <v>1395.2633163131788</v>
      </c>
      <c r="E260" s="6">
        <f t="shared" si="43"/>
        <v>222.48190006486058</v>
      </c>
      <c r="F260" s="6">
        <f t="shared" si="44"/>
        <v>1172.7814162483182</v>
      </c>
      <c r="G260" s="6">
        <f t="shared" si="45"/>
        <v>163425.15280701313</v>
      </c>
      <c r="H260" s="6">
        <f t="shared" si="46"/>
        <v>192366.99285284741</v>
      </c>
      <c r="I260" s="6">
        <f t="shared" si="47"/>
        <v>355792.14565985947</v>
      </c>
      <c r="J260" s="6">
        <f t="shared" si="48"/>
        <v>57633.007147151009</v>
      </c>
    </row>
    <row r="261" spans="1:10" x14ac:dyDescent="0.25">
      <c r="A261">
        <f t="shared" si="40"/>
        <v>256</v>
      </c>
      <c r="B261" s="2">
        <f t="shared" ca="1" si="41"/>
        <v>49717</v>
      </c>
      <c r="C261" s="2" t="str">
        <f t="shared" ca="1" si="39"/>
        <v>luty</v>
      </c>
      <c r="D261" s="6">
        <f t="shared" si="42"/>
        <v>1395.2633163131788</v>
      </c>
      <c r="E261" s="6">
        <f t="shared" si="43"/>
        <v>218.04487704005467</v>
      </c>
      <c r="F261" s="6">
        <f t="shared" si="44"/>
        <v>1177.2184392731242</v>
      </c>
      <c r="G261" s="6">
        <f t="shared" si="45"/>
        <v>163643.19768405319</v>
      </c>
      <c r="H261" s="6">
        <f t="shared" si="46"/>
        <v>193544.21129212054</v>
      </c>
      <c r="I261" s="6">
        <f t="shared" si="47"/>
        <v>357187.40897617262</v>
      </c>
      <c r="J261" s="6">
        <f t="shared" si="48"/>
        <v>56455.788707877909</v>
      </c>
    </row>
    <row r="262" spans="1:10" x14ac:dyDescent="0.25">
      <c r="A262">
        <f t="shared" si="40"/>
        <v>257</v>
      </c>
      <c r="B262" s="2">
        <f t="shared" ca="1" si="41"/>
        <v>49746</v>
      </c>
      <c r="C262" s="2" t="str">
        <f t="shared" ca="1" si="39"/>
        <v>marzec</v>
      </c>
      <c r="D262" s="6">
        <f t="shared" si="42"/>
        <v>1395.2633163131788</v>
      </c>
      <c r="E262" s="6">
        <f t="shared" si="43"/>
        <v>213.5910672781381</v>
      </c>
      <c r="F262" s="6">
        <f t="shared" si="44"/>
        <v>1181.6722490350407</v>
      </c>
      <c r="G262" s="6">
        <f t="shared" si="45"/>
        <v>163856.78875133133</v>
      </c>
      <c r="H262" s="6">
        <f t="shared" si="46"/>
        <v>194725.88354115558</v>
      </c>
      <c r="I262" s="6">
        <f t="shared" si="47"/>
        <v>358582.67229248577</v>
      </c>
      <c r="J262" s="6">
        <f t="shared" si="48"/>
        <v>55274.116458842873</v>
      </c>
    </row>
    <row r="263" spans="1:10" x14ac:dyDescent="0.25">
      <c r="A263">
        <f t="shared" si="40"/>
        <v>258</v>
      </c>
      <c r="B263" s="2">
        <f t="shared" ca="1" si="41"/>
        <v>49777</v>
      </c>
      <c r="C263" s="2" t="str">
        <f t="shared" ref="C263:C326" ca="1" si="49">TEXT(B263,"mmmm")</f>
        <v>kwiecień</v>
      </c>
      <c r="D263" s="6">
        <f t="shared" si="42"/>
        <v>1395.2633163131788</v>
      </c>
      <c r="E263" s="6">
        <f t="shared" si="43"/>
        <v>209.12040726928888</v>
      </c>
      <c r="F263" s="6">
        <f t="shared" si="44"/>
        <v>1186.1429090438901</v>
      </c>
      <c r="G263" s="6">
        <f t="shared" si="45"/>
        <v>164065.90915860061</v>
      </c>
      <c r="H263" s="6">
        <f t="shared" si="46"/>
        <v>195912.02645019945</v>
      </c>
      <c r="I263" s="6">
        <f t="shared" si="47"/>
        <v>359977.93560879893</v>
      </c>
      <c r="J263" s="6">
        <f t="shared" si="48"/>
        <v>54087.973549798968</v>
      </c>
    </row>
    <row r="264" spans="1:10" x14ac:dyDescent="0.25">
      <c r="A264">
        <f t="shared" si="40"/>
        <v>259</v>
      </c>
      <c r="B264" s="2">
        <f t="shared" ca="1" si="41"/>
        <v>49807</v>
      </c>
      <c r="C264" s="2" t="str">
        <f t="shared" ca="1" si="49"/>
        <v>maj</v>
      </c>
      <c r="D264" s="6">
        <f t="shared" si="42"/>
        <v>1395.2633163131788</v>
      </c>
      <c r="E264" s="6">
        <f t="shared" si="43"/>
        <v>204.63283326340613</v>
      </c>
      <c r="F264" s="6">
        <f t="shared" si="44"/>
        <v>1190.6304830497727</v>
      </c>
      <c r="G264" s="6">
        <f t="shared" si="45"/>
        <v>164270.54199186401</v>
      </c>
      <c r="H264" s="6">
        <f t="shared" si="46"/>
        <v>197102.65693324924</v>
      </c>
      <c r="I264" s="6">
        <f t="shared" si="47"/>
        <v>361373.19892511208</v>
      </c>
      <c r="J264" s="6">
        <f t="shared" si="48"/>
        <v>52897.343066749221</v>
      </c>
    </row>
    <row r="265" spans="1:10" x14ac:dyDescent="0.25">
      <c r="A265">
        <f t="shared" si="40"/>
        <v>260</v>
      </c>
      <c r="B265" s="2">
        <f t="shared" ca="1" si="41"/>
        <v>49838</v>
      </c>
      <c r="C265" s="2" t="str">
        <f t="shared" ca="1" si="49"/>
        <v>czerwiec</v>
      </c>
      <c r="D265" s="6">
        <f t="shared" si="42"/>
        <v>1395.2633163131788</v>
      </c>
      <c r="E265" s="6">
        <f t="shared" si="43"/>
        <v>200.12828126920124</v>
      </c>
      <c r="F265" s="6">
        <f t="shared" si="44"/>
        <v>1195.1350350439775</v>
      </c>
      <c r="G265" s="6">
        <f t="shared" si="45"/>
        <v>164470.6702731332</v>
      </c>
      <c r="H265" s="6">
        <f t="shared" si="46"/>
        <v>198297.79196829323</v>
      </c>
      <c r="I265" s="6">
        <f t="shared" si="47"/>
        <v>362768.46224142524</v>
      </c>
      <c r="J265" s="6">
        <f t="shared" si="48"/>
        <v>51702.208031705224</v>
      </c>
    </row>
    <row r="266" spans="1:10" x14ac:dyDescent="0.25">
      <c r="A266">
        <f t="shared" si="40"/>
        <v>261</v>
      </c>
      <c r="B266" s="2">
        <f t="shared" ca="1" si="41"/>
        <v>49868</v>
      </c>
      <c r="C266" s="2" t="str">
        <f t="shared" ca="1" si="49"/>
        <v>lipiec</v>
      </c>
      <c r="D266" s="6">
        <f t="shared" si="42"/>
        <v>1395.2633163131788</v>
      </c>
      <c r="E266" s="6">
        <f t="shared" si="43"/>
        <v>195.60668705328476</v>
      </c>
      <c r="F266" s="6">
        <f t="shared" si="44"/>
        <v>1199.6566292598941</v>
      </c>
      <c r="G266" s="6">
        <f t="shared" si="45"/>
        <v>164666.27696018649</v>
      </c>
      <c r="H266" s="6">
        <f t="shared" si="46"/>
        <v>199497.44859755313</v>
      </c>
      <c r="I266" s="6">
        <f t="shared" si="47"/>
        <v>364163.72555773839</v>
      </c>
      <c r="J266" s="6">
        <f t="shared" si="48"/>
        <v>50502.551402445315</v>
      </c>
    </row>
    <row r="267" spans="1:10" x14ac:dyDescent="0.25">
      <c r="A267">
        <f t="shared" si="40"/>
        <v>262</v>
      </c>
      <c r="B267" s="2">
        <f t="shared" ca="1" si="41"/>
        <v>49899</v>
      </c>
      <c r="C267" s="2" t="str">
        <f t="shared" ca="1" si="49"/>
        <v>sierpień</v>
      </c>
      <c r="D267" s="6">
        <f t="shared" si="42"/>
        <v>1395.2633163131788</v>
      </c>
      <c r="E267" s="6">
        <f t="shared" si="43"/>
        <v>191.06798613925147</v>
      </c>
      <c r="F267" s="6">
        <f t="shared" si="44"/>
        <v>1204.1953301739275</v>
      </c>
      <c r="G267" s="6">
        <f t="shared" si="45"/>
        <v>164857.34494632573</v>
      </c>
      <c r="H267" s="6">
        <f t="shared" si="46"/>
        <v>200701.64392772707</v>
      </c>
      <c r="I267" s="6">
        <f t="shared" si="47"/>
        <v>365558.98887405155</v>
      </c>
      <c r="J267" s="6">
        <f t="shared" si="48"/>
        <v>49298.356072271403</v>
      </c>
    </row>
    <row r="268" spans="1:10" x14ac:dyDescent="0.25">
      <c r="A268">
        <f t="shared" si="40"/>
        <v>263</v>
      </c>
      <c r="B268" s="2">
        <f t="shared" ca="1" si="41"/>
        <v>49930</v>
      </c>
      <c r="C268" s="2" t="str">
        <f t="shared" ca="1" si="49"/>
        <v>wrzesień</v>
      </c>
      <c r="D268" s="6">
        <f t="shared" si="42"/>
        <v>1395.2633163131788</v>
      </c>
      <c r="E268" s="6">
        <f t="shared" si="43"/>
        <v>186.51211380676014</v>
      </c>
      <c r="F268" s="6">
        <f t="shared" si="44"/>
        <v>1208.7512025064186</v>
      </c>
      <c r="G268" s="6">
        <f t="shared" si="45"/>
        <v>165043.85706013249</v>
      </c>
      <c r="H268" s="6">
        <f t="shared" si="46"/>
        <v>201910.39513023349</v>
      </c>
      <c r="I268" s="6">
        <f t="shared" si="47"/>
        <v>366954.2521903647</v>
      </c>
      <c r="J268" s="6">
        <f t="shared" si="48"/>
        <v>48089.60486976504</v>
      </c>
    </row>
    <row r="269" spans="1:10" x14ac:dyDescent="0.25">
      <c r="A269">
        <f t="shared" si="40"/>
        <v>264</v>
      </c>
      <c r="B269" s="2">
        <f t="shared" ca="1" si="41"/>
        <v>49960</v>
      </c>
      <c r="C269" s="2" t="str">
        <f t="shared" ca="1" si="49"/>
        <v>październik</v>
      </c>
      <c r="D269" s="6">
        <f t="shared" si="42"/>
        <v>1395.2633163131788</v>
      </c>
      <c r="E269" s="6">
        <f t="shared" si="43"/>
        <v>181.93900509061109</v>
      </c>
      <c r="F269" s="6">
        <f t="shared" si="44"/>
        <v>1213.3243112225678</v>
      </c>
      <c r="G269" s="6">
        <f t="shared" si="45"/>
        <v>165225.79606522311</v>
      </c>
      <c r="H269" s="6">
        <f t="shared" si="46"/>
        <v>203123.71944145605</v>
      </c>
      <c r="I269" s="6">
        <f t="shared" si="47"/>
        <v>368349.51550667785</v>
      </c>
      <c r="J269" s="6">
        <f t="shared" si="48"/>
        <v>46876.280558542465</v>
      </c>
    </row>
    <row r="270" spans="1:10" x14ac:dyDescent="0.25">
      <c r="A270">
        <f t="shared" si="40"/>
        <v>265</v>
      </c>
      <c r="B270" s="2">
        <f t="shared" ca="1" si="41"/>
        <v>49991</v>
      </c>
      <c r="C270" s="2" t="str">
        <f t="shared" ca="1" si="49"/>
        <v>listopad</v>
      </c>
      <c r="D270" s="6">
        <f t="shared" si="42"/>
        <v>1395.2633163131788</v>
      </c>
      <c r="E270" s="6">
        <f t="shared" si="43"/>
        <v>177.348594779819</v>
      </c>
      <c r="F270" s="6">
        <f t="shared" si="44"/>
        <v>1217.9147215333599</v>
      </c>
      <c r="G270" s="6">
        <f t="shared" si="45"/>
        <v>165403.14466000293</v>
      </c>
      <c r="H270" s="6">
        <f t="shared" si="46"/>
        <v>204341.63416298942</v>
      </c>
      <c r="I270" s="6">
        <f t="shared" si="47"/>
        <v>369744.77882299101</v>
      </c>
      <c r="J270" s="6">
        <f t="shared" si="48"/>
        <v>45658.36583700918</v>
      </c>
    </row>
    <row r="271" spans="1:10" x14ac:dyDescent="0.25">
      <c r="A271">
        <f t="shared" si="40"/>
        <v>266</v>
      </c>
      <c r="B271" s="2">
        <f t="shared" ca="1" si="41"/>
        <v>50021</v>
      </c>
      <c r="C271" s="2" t="str">
        <f t="shared" ca="1" si="49"/>
        <v>grudzień</v>
      </c>
      <c r="D271" s="6">
        <f t="shared" si="42"/>
        <v>1395.2633163131788</v>
      </c>
      <c r="E271" s="6">
        <f t="shared" si="43"/>
        <v>172.74081741668473</v>
      </c>
      <c r="F271" s="6">
        <f t="shared" si="44"/>
        <v>1222.5224988964942</v>
      </c>
      <c r="G271" s="6">
        <f t="shared" si="45"/>
        <v>165575.88547741962</v>
      </c>
      <c r="H271" s="6">
        <f t="shared" si="46"/>
        <v>205564.15666188591</v>
      </c>
      <c r="I271" s="6">
        <f t="shared" si="47"/>
        <v>371140.04213930416</v>
      </c>
      <c r="J271" s="6">
        <f t="shared" si="48"/>
        <v>44435.843338112623</v>
      </c>
    </row>
    <row r="272" spans="1:10" x14ac:dyDescent="0.25">
      <c r="A272">
        <f t="shared" si="40"/>
        <v>267</v>
      </c>
      <c r="B272" s="2">
        <f t="shared" ca="1" si="41"/>
        <v>50052</v>
      </c>
      <c r="C272" s="2" t="str">
        <f t="shared" ca="1" si="49"/>
        <v>styczeń</v>
      </c>
      <c r="D272" s="6">
        <f t="shared" si="42"/>
        <v>1395.2633163131788</v>
      </c>
      <c r="E272" s="6">
        <f t="shared" si="43"/>
        <v>168.11560729585943</v>
      </c>
      <c r="F272" s="6">
        <f t="shared" si="44"/>
        <v>1227.1477090173194</v>
      </c>
      <c r="G272" s="6">
        <f t="shared" si="45"/>
        <v>165744.00108471548</v>
      </c>
      <c r="H272" s="6">
        <f t="shared" si="46"/>
        <v>206791.30437090324</v>
      </c>
      <c r="I272" s="6">
        <f t="shared" si="47"/>
        <v>372535.30545561732</v>
      </c>
      <c r="J272" s="6">
        <f t="shared" si="48"/>
        <v>43208.695629095317</v>
      </c>
    </row>
    <row r="273" spans="1:10" x14ac:dyDescent="0.25">
      <c r="A273">
        <f t="shared" si="40"/>
        <v>268</v>
      </c>
      <c r="B273" s="2">
        <f t="shared" ca="1" si="41"/>
        <v>50083</v>
      </c>
      <c r="C273" s="2" t="str">
        <f t="shared" ca="1" si="49"/>
        <v>luty</v>
      </c>
      <c r="D273" s="6">
        <f t="shared" si="42"/>
        <v>1395.2633163131788</v>
      </c>
      <c r="E273" s="6">
        <f t="shared" si="43"/>
        <v>163.47289846341064</v>
      </c>
      <c r="F273" s="6">
        <f t="shared" si="44"/>
        <v>1231.7904178497681</v>
      </c>
      <c r="G273" s="6">
        <f t="shared" si="45"/>
        <v>165907.47398317888</v>
      </c>
      <c r="H273" s="6">
        <f t="shared" si="46"/>
        <v>208023.09478875299</v>
      </c>
      <c r="I273" s="6">
        <f t="shared" si="47"/>
        <v>373930.56877193047</v>
      </c>
      <c r="J273" s="6">
        <f t="shared" si="48"/>
        <v>41976.905211245525</v>
      </c>
    </row>
    <row r="274" spans="1:10" x14ac:dyDescent="0.25">
      <c r="A274">
        <f t="shared" si="40"/>
        <v>269</v>
      </c>
      <c r="B274" s="2">
        <f t="shared" ca="1" si="41"/>
        <v>50111</v>
      </c>
      <c r="C274" s="2" t="str">
        <f t="shared" ca="1" si="49"/>
        <v>marzec</v>
      </c>
      <c r="D274" s="6">
        <f t="shared" si="42"/>
        <v>1395.2633163131788</v>
      </c>
      <c r="E274" s="6">
        <f t="shared" si="43"/>
        <v>158.81262471587891</v>
      </c>
      <c r="F274" s="6">
        <f t="shared" si="44"/>
        <v>1236.4506915973</v>
      </c>
      <c r="G274" s="6">
        <f t="shared" si="45"/>
        <v>166066.28660789476</v>
      </c>
      <c r="H274" s="6">
        <f t="shared" si="46"/>
        <v>209259.54548035029</v>
      </c>
      <c r="I274" s="6">
        <f t="shared" si="47"/>
        <v>375325.83208824362</v>
      </c>
      <c r="J274" s="6">
        <f t="shared" si="48"/>
        <v>40740.454519648229</v>
      </c>
    </row>
    <row r="275" spans="1:10" x14ac:dyDescent="0.25">
      <c r="A275">
        <f t="shared" si="40"/>
        <v>270</v>
      </c>
      <c r="B275" s="2">
        <f t="shared" ca="1" si="41"/>
        <v>50142</v>
      </c>
      <c r="C275" s="2" t="str">
        <f t="shared" ca="1" si="49"/>
        <v>kwiecień</v>
      </c>
      <c r="D275" s="6">
        <f t="shared" si="42"/>
        <v>1395.2633163131788</v>
      </c>
      <c r="E275" s="6">
        <f t="shared" si="43"/>
        <v>154.1347195993358</v>
      </c>
      <c r="F275" s="6">
        <f t="shared" si="44"/>
        <v>1241.1285967138431</v>
      </c>
      <c r="G275" s="6">
        <f t="shared" si="45"/>
        <v>166220.42132749408</v>
      </c>
      <c r="H275" s="6">
        <f t="shared" si="46"/>
        <v>210500.67407706415</v>
      </c>
      <c r="I275" s="6">
        <f t="shared" si="47"/>
        <v>376721.09540455678</v>
      </c>
      <c r="J275" s="6">
        <f t="shared" si="48"/>
        <v>39499.325922934484</v>
      </c>
    </row>
    <row r="276" spans="1:10" x14ac:dyDescent="0.25">
      <c r="A276">
        <f t="shared" si="40"/>
        <v>271</v>
      </c>
      <c r="B276" s="2">
        <f t="shared" ca="1" si="41"/>
        <v>50172</v>
      </c>
      <c r="C276" s="2" t="str">
        <f t="shared" ca="1" si="49"/>
        <v>maj</v>
      </c>
      <c r="D276" s="6">
        <f t="shared" si="42"/>
        <v>1395.2633163131788</v>
      </c>
      <c r="E276" s="6">
        <f t="shared" si="43"/>
        <v>149.43911640843547</v>
      </c>
      <c r="F276" s="6">
        <f t="shared" si="44"/>
        <v>1245.8241999047434</v>
      </c>
      <c r="G276" s="6">
        <f t="shared" si="45"/>
        <v>166369.86044390252</v>
      </c>
      <c r="H276" s="6">
        <f t="shared" si="46"/>
        <v>211746.49827696889</v>
      </c>
      <c r="I276" s="6">
        <f t="shared" si="47"/>
        <v>378116.35872086993</v>
      </c>
      <c r="J276" s="6">
        <f t="shared" si="48"/>
        <v>38253.501723029724</v>
      </c>
    </row>
    <row r="277" spans="1:10" x14ac:dyDescent="0.25">
      <c r="A277">
        <f t="shared" si="40"/>
        <v>272</v>
      </c>
      <c r="B277" s="2">
        <f t="shared" ca="1" si="41"/>
        <v>50203</v>
      </c>
      <c r="C277" s="2" t="str">
        <f t="shared" ca="1" si="49"/>
        <v>czerwiec</v>
      </c>
      <c r="D277" s="6">
        <f t="shared" si="42"/>
        <v>1395.2633163131788</v>
      </c>
      <c r="E277" s="6">
        <f t="shared" si="43"/>
        <v>144.72574818546246</v>
      </c>
      <c r="F277" s="6">
        <f t="shared" si="44"/>
        <v>1250.5375681277164</v>
      </c>
      <c r="G277" s="6">
        <f t="shared" si="45"/>
        <v>166514.586192088</v>
      </c>
      <c r="H277" s="6">
        <f t="shared" si="46"/>
        <v>212997.0358450966</v>
      </c>
      <c r="I277" s="6">
        <f t="shared" si="47"/>
        <v>379511.62203718309</v>
      </c>
      <c r="J277" s="6">
        <f t="shared" si="48"/>
        <v>37002.964154902031</v>
      </c>
    </row>
    <row r="278" spans="1:10" x14ac:dyDescent="0.25">
      <c r="A278">
        <f t="shared" si="40"/>
        <v>273</v>
      </c>
      <c r="B278" s="2">
        <f t="shared" ca="1" si="41"/>
        <v>50233</v>
      </c>
      <c r="C278" s="2" t="str">
        <f t="shared" ca="1" si="49"/>
        <v>lipiec</v>
      </c>
      <c r="D278" s="6">
        <f t="shared" si="42"/>
        <v>1395.2633163131788</v>
      </c>
      <c r="E278" s="6">
        <f t="shared" si="43"/>
        <v>139.99454771937937</v>
      </c>
      <c r="F278" s="6">
        <f t="shared" si="44"/>
        <v>1255.2687685937995</v>
      </c>
      <c r="G278" s="6">
        <f t="shared" si="45"/>
        <v>166654.58073980737</v>
      </c>
      <c r="H278" s="6">
        <f t="shared" si="46"/>
        <v>214252.30461369039</v>
      </c>
      <c r="I278" s="6">
        <f t="shared" si="47"/>
        <v>380906.88535349624</v>
      </c>
      <c r="J278" s="6">
        <f t="shared" si="48"/>
        <v>35747.695386308267</v>
      </c>
    </row>
    <row r="279" spans="1:10" x14ac:dyDescent="0.25">
      <c r="A279">
        <f t="shared" si="40"/>
        <v>274</v>
      </c>
      <c r="B279" s="2">
        <f t="shared" ca="1" si="41"/>
        <v>50264</v>
      </c>
      <c r="C279" s="2" t="str">
        <f t="shared" ca="1" si="49"/>
        <v>sierpień</v>
      </c>
      <c r="D279" s="6">
        <f t="shared" si="42"/>
        <v>1395.2633163131788</v>
      </c>
      <c r="E279" s="6">
        <f t="shared" si="43"/>
        <v>135.24544754486629</v>
      </c>
      <c r="F279" s="6">
        <f t="shared" si="44"/>
        <v>1260.0178687683126</v>
      </c>
      <c r="G279" s="6">
        <f t="shared" si="45"/>
        <v>166789.82618735224</v>
      </c>
      <c r="H279" s="6">
        <f t="shared" si="46"/>
        <v>215512.32248245869</v>
      </c>
      <c r="I279" s="6">
        <f t="shared" si="47"/>
        <v>382302.14866980939</v>
      </c>
      <c r="J279" s="6">
        <f t="shared" si="48"/>
        <v>34487.677517539902</v>
      </c>
    </row>
    <row r="280" spans="1:10" x14ac:dyDescent="0.25">
      <c r="A280">
        <f t="shared" si="40"/>
        <v>275</v>
      </c>
      <c r="B280" s="2">
        <f t="shared" ca="1" si="41"/>
        <v>50295</v>
      </c>
      <c r="C280" s="2" t="str">
        <f t="shared" ca="1" si="49"/>
        <v>wrzesień</v>
      </c>
      <c r="D280" s="6">
        <f t="shared" si="42"/>
        <v>1395.2633163131788</v>
      </c>
      <c r="E280" s="6">
        <f t="shared" si="43"/>
        <v>130.47837994135929</v>
      </c>
      <c r="F280" s="6">
        <f t="shared" si="44"/>
        <v>1264.7849363718196</v>
      </c>
      <c r="G280" s="6">
        <f t="shared" si="45"/>
        <v>166920.30456729361</v>
      </c>
      <c r="H280" s="6">
        <f t="shared" si="46"/>
        <v>216777.10741883051</v>
      </c>
      <c r="I280" s="6">
        <f t="shared" si="47"/>
        <v>383697.41198612255</v>
      </c>
      <c r="J280" s="6">
        <f t="shared" si="48"/>
        <v>33222.892581168126</v>
      </c>
    </row>
    <row r="281" spans="1:10" x14ac:dyDescent="0.25">
      <c r="A281">
        <f t="shared" si="40"/>
        <v>276</v>
      </c>
      <c r="B281" s="2">
        <f t="shared" ca="1" si="41"/>
        <v>50325</v>
      </c>
      <c r="C281" s="2" t="str">
        <f t="shared" ca="1" si="49"/>
        <v>październik</v>
      </c>
      <c r="D281" s="6">
        <f t="shared" si="42"/>
        <v>1395.2633163131788</v>
      </c>
      <c r="E281" s="6">
        <f t="shared" si="43"/>
        <v>125.69327693208608</v>
      </c>
      <c r="F281" s="6">
        <f t="shared" si="44"/>
        <v>1269.5700393810928</v>
      </c>
      <c r="G281" s="6">
        <f t="shared" si="45"/>
        <v>167045.9978442257</v>
      </c>
      <c r="H281" s="6">
        <f t="shared" si="46"/>
        <v>218046.6774582116</v>
      </c>
      <c r="I281" s="6">
        <f t="shared" si="47"/>
        <v>385092.6753024357</v>
      </c>
      <c r="J281" s="6">
        <f t="shared" si="48"/>
        <v>31953.322541787024</v>
      </c>
    </row>
    <row r="282" spans="1:10" x14ac:dyDescent="0.25">
      <c r="A282">
        <f t="shared" si="40"/>
        <v>277</v>
      </c>
      <c r="B282" s="2">
        <f t="shared" ca="1" si="41"/>
        <v>50356</v>
      </c>
      <c r="C282" s="2" t="str">
        <f t="shared" ca="1" si="49"/>
        <v>listopad</v>
      </c>
      <c r="D282" s="6">
        <f t="shared" si="42"/>
        <v>1395.2633163131788</v>
      </c>
      <c r="E282" s="6">
        <f t="shared" si="43"/>
        <v>120.89007028309425</v>
      </c>
      <c r="F282" s="6">
        <f t="shared" si="44"/>
        <v>1274.3732460300846</v>
      </c>
      <c r="G282" s="6">
        <f t="shared" si="45"/>
        <v>167166.88791450878</v>
      </c>
      <c r="H282" s="6">
        <f t="shared" si="46"/>
        <v>219321.0507042417</v>
      </c>
      <c r="I282" s="6">
        <f t="shared" si="47"/>
        <v>386487.93861874886</v>
      </c>
      <c r="J282" s="6">
        <f t="shared" si="48"/>
        <v>30678.949295756869</v>
      </c>
    </row>
    <row r="283" spans="1:10" x14ac:dyDescent="0.25">
      <c r="A283">
        <f t="shared" si="40"/>
        <v>278</v>
      </c>
      <c r="B283" s="2">
        <f t="shared" ca="1" si="41"/>
        <v>50386</v>
      </c>
      <c r="C283" s="2" t="str">
        <f t="shared" ca="1" si="49"/>
        <v>grudzień</v>
      </c>
      <c r="D283" s="6">
        <f t="shared" si="42"/>
        <v>1395.2633163131788</v>
      </c>
      <c r="E283" s="6">
        <f t="shared" si="43"/>
        <v>116.06869150228016</v>
      </c>
      <c r="F283" s="6">
        <f t="shared" si="44"/>
        <v>1279.1946248108986</v>
      </c>
      <c r="G283" s="6">
        <f t="shared" si="45"/>
        <v>167282.95660601105</v>
      </c>
      <c r="H283" s="6">
        <f t="shared" si="46"/>
        <v>220600.24532905259</v>
      </c>
      <c r="I283" s="6">
        <f t="shared" si="47"/>
        <v>387883.20193506201</v>
      </c>
      <c r="J283" s="6">
        <f t="shared" si="48"/>
        <v>29399.754670946073</v>
      </c>
    </row>
    <row r="284" spans="1:10" x14ac:dyDescent="0.25">
      <c r="A284">
        <f t="shared" si="40"/>
        <v>279</v>
      </c>
      <c r="B284" s="2">
        <f t="shared" ca="1" si="41"/>
        <v>50417</v>
      </c>
      <c r="C284" s="2" t="str">
        <f t="shared" ca="1" si="49"/>
        <v>styczeń</v>
      </c>
      <c r="D284" s="6">
        <f t="shared" si="42"/>
        <v>1395.2633163131788</v>
      </c>
      <c r="E284" s="6">
        <f t="shared" si="43"/>
        <v>111.22907183841265</v>
      </c>
      <c r="F284" s="6">
        <f t="shared" si="44"/>
        <v>1284.0342444747662</v>
      </c>
      <c r="G284" s="6">
        <f t="shared" si="45"/>
        <v>167394.18567784945</v>
      </c>
      <c r="H284" s="6">
        <f t="shared" si="46"/>
        <v>221884.27957352737</v>
      </c>
      <c r="I284" s="6">
        <f t="shared" si="47"/>
        <v>389278.46525137516</v>
      </c>
      <c r="J284" s="6">
        <f t="shared" si="48"/>
        <v>28115.72042647134</v>
      </c>
    </row>
    <row r="285" spans="1:10" x14ac:dyDescent="0.25">
      <c r="A285">
        <f t="shared" si="40"/>
        <v>280</v>
      </c>
      <c r="B285" s="2">
        <f t="shared" ca="1" si="41"/>
        <v>50448</v>
      </c>
      <c r="C285" s="2" t="str">
        <f t="shared" ca="1" si="49"/>
        <v>luty</v>
      </c>
      <c r="D285" s="6">
        <f t="shared" si="42"/>
        <v>1395.2633163131788</v>
      </c>
      <c r="E285" s="6">
        <f t="shared" si="43"/>
        <v>106.37114228014991</v>
      </c>
      <c r="F285" s="6">
        <f t="shared" si="44"/>
        <v>1288.8921740330288</v>
      </c>
      <c r="G285" s="6">
        <f t="shared" si="45"/>
        <v>167500.5568201296</v>
      </c>
      <c r="H285" s="6">
        <f t="shared" si="46"/>
        <v>223173.17174756041</v>
      </c>
      <c r="I285" s="6">
        <f t="shared" si="47"/>
        <v>390673.72856768832</v>
      </c>
      <c r="J285" s="6">
        <f t="shared" si="48"/>
        <v>26826.82825243835</v>
      </c>
    </row>
    <row r="286" spans="1:10" x14ac:dyDescent="0.25">
      <c r="A286">
        <f t="shared" ref="A286:A349" si="50">IF($B$2&gt;A285,A285+1,"")</f>
        <v>281</v>
      </c>
      <c r="B286" s="2">
        <f t="shared" ref="B286:B349" ca="1" si="51">IF(A286&lt;&gt;"",DATE(YEAR(B285),MONTH(B285) + 1,DAY(B285)),"")</f>
        <v>50476</v>
      </c>
      <c r="C286" s="2" t="str">
        <f t="shared" ca="1" si="49"/>
        <v>marzec</v>
      </c>
      <c r="D286" s="6">
        <f t="shared" ref="D286:D349" si="52">IF(A286&lt;&gt;"",$F$4,"")</f>
        <v>1395.2633163131788</v>
      </c>
      <c r="E286" s="6">
        <f t="shared" ref="E286:E349" si="53">IF(A286&lt;&gt;"",J285*$B$3/12,"")</f>
        <v>101.49483355505843</v>
      </c>
      <c r="F286" s="6">
        <f t="shared" ref="F286:F349" si="54">IF(A286&lt;&gt;"",D286-E286,"")</f>
        <v>1293.7684827581204</v>
      </c>
      <c r="G286" s="6">
        <f t="shared" ref="G286:G349" si="55">IF(A286&lt;&gt;"",G285+E286,"")</f>
        <v>167602.05165368467</v>
      </c>
      <c r="H286" s="6">
        <f t="shared" ref="H286:H349" si="56">IF(A286&lt;&gt;"",H285+F286,"")</f>
        <v>224466.94023031852</v>
      </c>
      <c r="I286" s="6">
        <f t="shared" ref="I286:I349" si="57">IF(A286&lt;&gt;"",D286+I285,"")</f>
        <v>392068.99188400147</v>
      </c>
      <c r="J286" s="6">
        <f t="shared" ref="J286:J349" si="58">IF(A286&lt;&gt;"",$B$1*(($F$1^$B$2-$F$1^A286)/($F$1^$B$2-1)),"")</f>
        <v>25533.059769680251</v>
      </c>
    </row>
    <row r="287" spans="1:10" x14ac:dyDescent="0.25">
      <c r="A287">
        <f t="shared" si="50"/>
        <v>282</v>
      </c>
      <c r="B287" s="2">
        <f t="shared" ca="1" si="51"/>
        <v>50507</v>
      </c>
      <c r="C287" s="2" t="str">
        <f t="shared" ca="1" si="49"/>
        <v>kwiecień</v>
      </c>
      <c r="D287" s="6">
        <f t="shared" si="52"/>
        <v>1395.2633163131788</v>
      </c>
      <c r="E287" s="6">
        <f t="shared" si="53"/>
        <v>96.600076128623627</v>
      </c>
      <c r="F287" s="6">
        <f t="shared" si="54"/>
        <v>1298.6632401845552</v>
      </c>
      <c r="G287" s="6">
        <f t="shared" si="55"/>
        <v>167698.65172981328</v>
      </c>
      <c r="H287" s="6">
        <f t="shared" si="56"/>
        <v>225765.60347050306</v>
      </c>
      <c r="I287" s="6">
        <f t="shared" si="57"/>
        <v>393464.25520031463</v>
      </c>
      <c r="J287" s="6">
        <f t="shared" si="58"/>
        <v>24234.396529495611</v>
      </c>
    </row>
    <row r="288" spans="1:10" x14ac:dyDescent="0.25">
      <c r="A288">
        <f t="shared" si="50"/>
        <v>283</v>
      </c>
      <c r="B288" s="2">
        <f t="shared" ca="1" si="51"/>
        <v>50537</v>
      </c>
      <c r="C288" s="2" t="str">
        <f t="shared" ca="1" si="49"/>
        <v>maj</v>
      </c>
      <c r="D288" s="6">
        <f t="shared" si="52"/>
        <v>1395.2633163131788</v>
      </c>
      <c r="E288" s="6">
        <f t="shared" si="53"/>
        <v>91.686800203258386</v>
      </c>
      <c r="F288" s="6">
        <f t="shared" si="54"/>
        <v>1303.5765161099205</v>
      </c>
      <c r="G288" s="6">
        <f t="shared" si="55"/>
        <v>167790.33853001654</v>
      </c>
      <c r="H288" s="6">
        <f t="shared" si="56"/>
        <v>227069.17998661299</v>
      </c>
      <c r="I288" s="6">
        <f t="shared" si="57"/>
        <v>394859.51851662778</v>
      </c>
      <c r="J288" s="6">
        <f t="shared" si="58"/>
        <v>22930.820013385739</v>
      </c>
    </row>
    <row r="289" spans="1:10" x14ac:dyDescent="0.25">
      <c r="A289">
        <f t="shared" si="50"/>
        <v>284</v>
      </c>
      <c r="B289" s="2">
        <f t="shared" ca="1" si="51"/>
        <v>50568</v>
      </c>
      <c r="C289" s="2" t="str">
        <f t="shared" ca="1" si="49"/>
        <v>czerwiec</v>
      </c>
      <c r="D289" s="6">
        <f t="shared" si="52"/>
        <v>1395.2633163131788</v>
      </c>
      <c r="E289" s="6">
        <f t="shared" si="53"/>
        <v>86.75493571730938</v>
      </c>
      <c r="F289" s="6">
        <f t="shared" si="54"/>
        <v>1308.5083805958695</v>
      </c>
      <c r="G289" s="6">
        <f t="shared" si="55"/>
        <v>167877.09346573384</v>
      </c>
      <c r="H289" s="6">
        <f t="shared" si="56"/>
        <v>228377.68836720884</v>
      </c>
      <c r="I289" s="6">
        <f t="shared" si="57"/>
        <v>396254.78183294093</v>
      </c>
      <c r="J289" s="6">
        <f t="shared" si="58"/>
        <v>21622.311632789868</v>
      </c>
    </row>
    <row r="290" spans="1:10" x14ac:dyDescent="0.25">
      <c r="A290">
        <f t="shared" si="50"/>
        <v>285</v>
      </c>
      <c r="B290" s="2">
        <f t="shared" ca="1" si="51"/>
        <v>50598</v>
      </c>
      <c r="C290" s="2" t="str">
        <f t="shared" ca="1" si="49"/>
        <v>lipiec</v>
      </c>
      <c r="D290" s="6">
        <f t="shared" si="52"/>
        <v>1395.2633163131788</v>
      </c>
      <c r="E290" s="6">
        <f t="shared" si="53"/>
        <v>81.804412344055009</v>
      </c>
      <c r="F290" s="6">
        <f t="shared" si="54"/>
        <v>1313.4589039691239</v>
      </c>
      <c r="G290" s="6">
        <f t="shared" si="55"/>
        <v>167958.8978780779</v>
      </c>
      <c r="H290" s="6">
        <f t="shared" si="56"/>
        <v>229691.14727117796</v>
      </c>
      <c r="I290" s="6">
        <f t="shared" si="57"/>
        <v>397650.04514925409</v>
      </c>
      <c r="J290" s="6">
        <f t="shared" si="58"/>
        <v>20308.852728820781</v>
      </c>
    </row>
    <row r="291" spans="1:10" x14ac:dyDescent="0.25">
      <c r="A291">
        <f t="shared" si="50"/>
        <v>286</v>
      </c>
      <c r="B291" s="2">
        <f t="shared" ca="1" si="51"/>
        <v>50629</v>
      </c>
      <c r="C291" s="2" t="str">
        <f t="shared" ca="1" si="49"/>
        <v>sierpień</v>
      </c>
      <c r="D291" s="6">
        <f t="shared" si="52"/>
        <v>1395.2633163131788</v>
      </c>
      <c r="E291" s="6">
        <f t="shared" si="53"/>
        <v>76.835159490705294</v>
      </c>
      <c r="F291" s="6">
        <f t="shared" si="54"/>
        <v>1318.4281568224735</v>
      </c>
      <c r="G291" s="6">
        <f t="shared" si="55"/>
        <v>168035.7330375686</v>
      </c>
      <c r="H291" s="6">
        <f t="shared" si="56"/>
        <v>231009.57542800045</v>
      </c>
      <c r="I291" s="6">
        <f t="shared" si="57"/>
        <v>399045.30846556724</v>
      </c>
      <c r="J291" s="6">
        <f t="shared" si="58"/>
        <v>18990.424571998283</v>
      </c>
    </row>
    <row r="292" spans="1:10" x14ac:dyDescent="0.25">
      <c r="A292">
        <f t="shared" si="50"/>
        <v>287</v>
      </c>
      <c r="B292" s="2">
        <f t="shared" ca="1" si="51"/>
        <v>50660</v>
      </c>
      <c r="C292" s="2" t="str">
        <f t="shared" ca="1" si="49"/>
        <v>wrzesień</v>
      </c>
      <c r="D292" s="6">
        <f t="shared" si="52"/>
        <v>1395.2633163131788</v>
      </c>
      <c r="E292" s="6">
        <f t="shared" si="53"/>
        <v>71.847106297393509</v>
      </c>
      <c r="F292" s="6">
        <f t="shared" si="54"/>
        <v>1323.4162100157853</v>
      </c>
      <c r="G292" s="6">
        <f t="shared" si="55"/>
        <v>168107.58014386598</v>
      </c>
      <c r="H292" s="6">
        <f t="shared" si="56"/>
        <v>232332.99163801625</v>
      </c>
      <c r="I292" s="6">
        <f t="shared" si="57"/>
        <v>400440.5717818804</v>
      </c>
      <c r="J292" s="6">
        <f t="shared" si="58"/>
        <v>17667.008361982538</v>
      </c>
    </row>
    <row r="293" spans="1:10" x14ac:dyDescent="0.25">
      <c r="A293">
        <f t="shared" si="50"/>
        <v>288</v>
      </c>
      <c r="B293" s="2">
        <f t="shared" ca="1" si="51"/>
        <v>50690</v>
      </c>
      <c r="C293" s="2" t="str">
        <f t="shared" ca="1" si="49"/>
        <v>październik</v>
      </c>
      <c r="D293" s="6">
        <f t="shared" si="52"/>
        <v>1395.2633163131788</v>
      </c>
      <c r="E293" s="6">
        <f t="shared" si="53"/>
        <v>66.840181636167273</v>
      </c>
      <c r="F293" s="6">
        <f t="shared" si="54"/>
        <v>1328.4231346770116</v>
      </c>
      <c r="G293" s="6">
        <f t="shared" si="55"/>
        <v>168174.42032550214</v>
      </c>
      <c r="H293" s="6">
        <f t="shared" si="56"/>
        <v>233661.41477269327</v>
      </c>
      <c r="I293" s="6">
        <f t="shared" si="57"/>
        <v>401835.83509819355</v>
      </c>
      <c r="J293" s="6">
        <f t="shared" si="58"/>
        <v>16338.585227305535</v>
      </c>
    </row>
    <row r="294" spans="1:10" x14ac:dyDescent="0.25">
      <c r="A294">
        <f t="shared" si="50"/>
        <v>289</v>
      </c>
      <c r="B294" s="2">
        <f t="shared" ca="1" si="51"/>
        <v>50721</v>
      </c>
      <c r="C294" s="2" t="str">
        <f t="shared" ca="1" si="49"/>
        <v>listopad</v>
      </c>
      <c r="D294" s="6">
        <f t="shared" si="52"/>
        <v>1395.2633163131788</v>
      </c>
      <c r="E294" s="6">
        <f t="shared" si="53"/>
        <v>61.814314109972607</v>
      </c>
      <c r="F294" s="6">
        <f t="shared" si="54"/>
        <v>1333.4490022032062</v>
      </c>
      <c r="G294" s="6">
        <f t="shared" si="55"/>
        <v>168236.23463961211</v>
      </c>
      <c r="H294" s="6">
        <f t="shared" si="56"/>
        <v>234994.86377489648</v>
      </c>
      <c r="I294" s="6">
        <f t="shared" si="57"/>
        <v>403231.09841450671</v>
      </c>
      <c r="J294" s="6">
        <f t="shared" si="58"/>
        <v>15005.136225102322</v>
      </c>
    </row>
    <row r="295" spans="1:10" x14ac:dyDescent="0.25">
      <c r="A295">
        <f t="shared" si="50"/>
        <v>290</v>
      </c>
      <c r="B295" s="2">
        <f t="shared" ca="1" si="51"/>
        <v>50751</v>
      </c>
      <c r="C295" s="2" t="str">
        <f t="shared" ca="1" si="49"/>
        <v>grudzień</v>
      </c>
      <c r="D295" s="6">
        <f t="shared" si="52"/>
        <v>1395.2633163131788</v>
      </c>
      <c r="E295" s="6">
        <f t="shared" si="53"/>
        <v>56.769432051637125</v>
      </c>
      <c r="F295" s="6">
        <f t="shared" si="54"/>
        <v>1338.4938842615418</v>
      </c>
      <c r="G295" s="6">
        <f t="shared" si="55"/>
        <v>168293.00407166374</v>
      </c>
      <c r="H295" s="6">
        <f t="shared" si="56"/>
        <v>236333.35765915803</v>
      </c>
      <c r="I295" s="6">
        <f t="shared" si="57"/>
        <v>404626.36173081986</v>
      </c>
      <c r="J295" s="6">
        <f t="shared" si="58"/>
        <v>13666.642340840834</v>
      </c>
    </row>
    <row r="296" spans="1:10" x14ac:dyDescent="0.25">
      <c r="A296">
        <f t="shared" si="50"/>
        <v>291</v>
      </c>
      <c r="B296" s="2">
        <f t="shared" ca="1" si="51"/>
        <v>50782</v>
      </c>
      <c r="C296" s="2" t="str">
        <f t="shared" ca="1" si="49"/>
        <v>styczeń</v>
      </c>
      <c r="D296" s="6">
        <f t="shared" si="52"/>
        <v>1395.2633163131788</v>
      </c>
      <c r="E296" s="6">
        <f t="shared" si="53"/>
        <v>51.705463522847822</v>
      </c>
      <c r="F296" s="6">
        <f t="shared" si="54"/>
        <v>1343.557852790331</v>
      </c>
      <c r="G296" s="6">
        <f t="shared" si="55"/>
        <v>168344.70953518659</v>
      </c>
      <c r="H296" s="6">
        <f t="shared" si="56"/>
        <v>237676.91551194838</v>
      </c>
      <c r="I296" s="6">
        <f t="shared" si="57"/>
        <v>406021.62504713301</v>
      </c>
      <c r="J296" s="6">
        <f t="shared" si="58"/>
        <v>12323.084488050486</v>
      </c>
    </row>
    <row r="297" spans="1:10" x14ac:dyDescent="0.25">
      <c r="A297">
        <f t="shared" si="50"/>
        <v>292</v>
      </c>
      <c r="B297" s="2">
        <f t="shared" ca="1" si="51"/>
        <v>50813</v>
      </c>
      <c r="C297" s="2" t="str">
        <f t="shared" ca="1" si="49"/>
        <v>luty</v>
      </c>
      <c r="D297" s="6">
        <f t="shared" si="52"/>
        <v>1395.2633163131788</v>
      </c>
      <c r="E297" s="6">
        <f t="shared" si="53"/>
        <v>46.622336313124343</v>
      </c>
      <c r="F297" s="6">
        <f t="shared" si="54"/>
        <v>1348.6409800000545</v>
      </c>
      <c r="G297" s="6">
        <f t="shared" si="55"/>
        <v>168391.33187149971</v>
      </c>
      <c r="H297" s="6">
        <f t="shared" si="56"/>
        <v>239025.55649194843</v>
      </c>
      <c r="I297" s="6">
        <f t="shared" si="57"/>
        <v>407416.88836344617</v>
      </c>
      <c r="J297" s="6">
        <f t="shared" si="58"/>
        <v>10974.44350805043</v>
      </c>
    </row>
    <row r="298" spans="1:10" x14ac:dyDescent="0.25">
      <c r="A298">
        <f t="shared" si="50"/>
        <v>293</v>
      </c>
      <c r="B298" s="2">
        <f t="shared" ca="1" si="51"/>
        <v>50841</v>
      </c>
      <c r="C298" s="2" t="str">
        <f t="shared" ca="1" si="49"/>
        <v>marzec</v>
      </c>
      <c r="D298" s="6">
        <f t="shared" si="52"/>
        <v>1395.2633163131788</v>
      </c>
      <c r="E298" s="6">
        <f t="shared" si="53"/>
        <v>41.519977938790795</v>
      </c>
      <c r="F298" s="6">
        <f t="shared" si="54"/>
        <v>1353.743338374388</v>
      </c>
      <c r="G298" s="6">
        <f t="shared" si="55"/>
        <v>168432.85184943851</v>
      </c>
      <c r="H298" s="6">
        <f t="shared" si="56"/>
        <v>240379.29983032282</v>
      </c>
      <c r="I298" s="6">
        <f t="shared" si="57"/>
        <v>408812.15167975932</v>
      </c>
      <c r="J298" s="6">
        <f t="shared" si="58"/>
        <v>9620.7001696759726</v>
      </c>
    </row>
    <row r="299" spans="1:10" x14ac:dyDescent="0.25">
      <c r="A299">
        <f t="shared" si="50"/>
        <v>294</v>
      </c>
      <c r="B299" s="2">
        <f t="shared" ca="1" si="51"/>
        <v>50872</v>
      </c>
      <c r="C299" s="2" t="str">
        <f t="shared" ca="1" si="49"/>
        <v>kwiecień</v>
      </c>
      <c r="D299" s="6">
        <f t="shared" si="52"/>
        <v>1395.2633163131788</v>
      </c>
      <c r="E299" s="6">
        <f t="shared" si="53"/>
        <v>36.398315641940762</v>
      </c>
      <c r="F299" s="6">
        <f t="shared" si="54"/>
        <v>1358.865000671238</v>
      </c>
      <c r="G299" s="6">
        <f t="shared" si="55"/>
        <v>168469.25016508045</v>
      </c>
      <c r="H299" s="6">
        <f t="shared" si="56"/>
        <v>241738.16483099406</v>
      </c>
      <c r="I299" s="6">
        <f t="shared" si="57"/>
        <v>410207.41499607248</v>
      </c>
      <c r="J299" s="6">
        <f t="shared" si="58"/>
        <v>8261.8351690048312</v>
      </c>
    </row>
    <row r="300" spans="1:10" x14ac:dyDescent="0.25">
      <c r="A300">
        <f t="shared" si="50"/>
        <v>295</v>
      </c>
      <c r="B300" s="2">
        <f t="shared" ca="1" si="51"/>
        <v>50902</v>
      </c>
      <c r="C300" s="2" t="str">
        <f t="shared" ca="1" si="49"/>
        <v>maj</v>
      </c>
      <c r="D300" s="6">
        <f t="shared" si="52"/>
        <v>1395.2633163131788</v>
      </c>
      <c r="E300" s="6">
        <f t="shared" si="53"/>
        <v>31.257276389401614</v>
      </c>
      <c r="F300" s="6">
        <f t="shared" si="54"/>
        <v>1364.0060399237773</v>
      </c>
      <c r="G300" s="6">
        <f t="shared" si="55"/>
        <v>168500.50744146985</v>
      </c>
      <c r="H300" s="6">
        <f t="shared" si="56"/>
        <v>243102.17087091785</v>
      </c>
      <c r="I300" s="6">
        <f t="shared" si="57"/>
        <v>411602.67831238563</v>
      </c>
      <c r="J300" s="6">
        <f t="shared" si="58"/>
        <v>6897.8291290811267</v>
      </c>
    </row>
    <row r="301" spans="1:10" x14ac:dyDescent="0.25">
      <c r="A301">
        <f t="shared" si="50"/>
        <v>296</v>
      </c>
      <c r="B301" s="2">
        <f t="shared" ca="1" si="51"/>
        <v>50933</v>
      </c>
      <c r="C301" s="2" t="str">
        <f t="shared" ca="1" si="49"/>
        <v>czerwiec</v>
      </c>
      <c r="D301" s="6">
        <f t="shared" si="52"/>
        <v>1395.2633163131788</v>
      </c>
      <c r="E301" s="6">
        <f t="shared" si="53"/>
        <v>26.096786871690266</v>
      </c>
      <c r="F301" s="6">
        <f t="shared" si="54"/>
        <v>1369.1665294414886</v>
      </c>
      <c r="G301" s="6">
        <f t="shared" si="55"/>
        <v>168526.60422834154</v>
      </c>
      <c r="H301" s="6">
        <f t="shared" si="56"/>
        <v>244471.33740035933</v>
      </c>
      <c r="I301" s="6">
        <f t="shared" si="57"/>
        <v>412997.94162869878</v>
      </c>
      <c r="J301" s="6">
        <f t="shared" si="58"/>
        <v>5528.6625996395796</v>
      </c>
    </row>
    <row r="302" spans="1:10" x14ac:dyDescent="0.25">
      <c r="A302">
        <f t="shared" si="50"/>
        <v>297</v>
      </c>
      <c r="B302" s="2">
        <f t="shared" ca="1" si="51"/>
        <v>50963</v>
      </c>
      <c r="C302" s="2" t="str">
        <f t="shared" ca="1" si="49"/>
        <v>lipiec</v>
      </c>
      <c r="D302" s="6">
        <f t="shared" si="52"/>
        <v>1395.2633163131788</v>
      </c>
      <c r="E302" s="6">
        <f t="shared" si="53"/>
        <v>20.916773501969743</v>
      </c>
      <c r="F302" s="6">
        <f t="shared" si="54"/>
        <v>1374.346542811209</v>
      </c>
      <c r="G302" s="6">
        <f t="shared" si="55"/>
        <v>168547.5210018435</v>
      </c>
      <c r="H302" s="6">
        <f t="shared" si="56"/>
        <v>245845.68394317053</v>
      </c>
      <c r="I302" s="6">
        <f t="shared" si="57"/>
        <v>414393.20494501194</v>
      </c>
      <c r="J302" s="6">
        <f t="shared" si="58"/>
        <v>4154.3160568284502</v>
      </c>
    </row>
    <row r="303" spans="1:10" x14ac:dyDescent="0.25">
      <c r="A303">
        <f t="shared" si="50"/>
        <v>298</v>
      </c>
      <c r="B303" s="2">
        <f t="shared" ca="1" si="51"/>
        <v>50994</v>
      </c>
      <c r="C303" s="2" t="str">
        <f t="shared" ca="1" si="49"/>
        <v>sierpień</v>
      </c>
      <c r="D303" s="6">
        <f t="shared" si="52"/>
        <v>1395.2633163131788</v>
      </c>
      <c r="E303" s="6">
        <f t="shared" si="53"/>
        <v>15.717162415000971</v>
      </c>
      <c r="F303" s="6">
        <f t="shared" si="54"/>
        <v>1379.5461538981779</v>
      </c>
      <c r="G303" s="6">
        <f t="shared" si="55"/>
        <v>168563.23816425851</v>
      </c>
      <c r="H303" s="6">
        <f t="shared" si="56"/>
        <v>247225.23009706871</v>
      </c>
      <c r="I303" s="6">
        <f t="shared" si="57"/>
        <v>415788.46826132509</v>
      </c>
      <c r="J303" s="6">
        <f t="shared" si="58"/>
        <v>2774.7699029302535</v>
      </c>
    </row>
    <row r="304" spans="1:10" x14ac:dyDescent="0.25">
      <c r="A304">
        <f t="shared" si="50"/>
        <v>299</v>
      </c>
      <c r="B304" s="2">
        <f t="shared" ca="1" si="51"/>
        <v>51025</v>
      </c>
      <c r="C304" s="2" t="str">
        <f t="shared" ca="1" si="49"/>
        <v>wrzesień</v>
      </c>
      <c r="D304" s="6">
        <f t="shared" si="52"/>
        <v>1395.2633163131788</v>
      </c>
      <c r="E304" s="6">
        <f t="shared" si="53"/>
        <v>10.497879466086127</v>
      </c>
      <c r="F304" s="6">
        <f t="shared" si="54"/>
        <v>1384.7654368470928</v>
      </c>
      <c r="G304" s="6">
        <f t="shared" si="55"/>
        <v>168573.73604372461</v>
      </c>
      <c r="H304" s="6">
        <f t="shared" si="56"/>
        <v>248609.99553391579</v>
      </c>
      <c r="I304" s="6">
        <f t="shared" si="57"/>
        <v>417183.73157763825</v>
      </c>
      <c r="J304" s="6">
        <f t="shared" si="58"/>
        <v>1390.0044660831657</v>
      </c>
    </row>
    <row r="305" spans="1:10" x14ac:dyDescent="0.25">
      <c r="A305">
        <f t="shared" si="50"/>
        <v>300</v>
      </c>
      <c r="B305" s="2">
        <f t="shared" ca="1" si="51"/>
        <v>51055</v>
      </c>
      <c r="C305" s="2" t="str">
        <f t="shared" ca="1" si="49"/>
        <v>październik</v>
      </c>
      <c r="D305" s="6">
        <f t="shared" si="52"/>
        <v>1395.2633163131788</v>
      </c>
      <c r="E305" s="6">
        <f t="shared" si="53"/>
        <v>5.2588502300146436</v>
      </c>
      <c r="F305" s="6">
        <f t="shared" si="54"/>
        <v>1390.0044660831643</v>
      </c>
      <c r="G305" s="6">
        <f t="shared" si="55"/>
        <v>168578.99489395463</v>
      </c>
      <c r="H305" s="6">
        <f t="shared" si="56"/>
        <v>249999.99999999895</v>
      </c>
      <c r="I305" s="6">
        <f t="shared" si="57"/>
        <v>418578.9948939514</v>
      </c>
      <c r="J305" s="6">
        <f t="shared" si="58"/>
        <v>0</v>
      </c>
    </row>
    <row r="306" spans="1:10" x14ac:dyDescent="0.25">
      <c r="A306" t="str">
        <f t="shared" si="50"/>
        <v/>
      </c>
      <c r="B306" s="2" t="str">
        <f t="shared" si="51"/>
        <v/>
      </c>
      <c r="C306" s="2" t="str">
        <f t="shared" si="49"/>
        <v/>
      </c>
      <c r="D306" s="6" t="str">
        <f t="shared" si="52"/>
        <v/>
      </c>
      <c r="E306" s="6" t="str">
        <f t="shared" si="53"/>
        <v/>
      </c>
      <c r="F306" s="6" t="str">
        <f t="shared" si="54"/>
        <v/>
      </c>
      <c r="G306" s="6" t="str">
        <f t="shared" si="55"/>
        <v/>
      </c>
      <c r="H306" s="6" t="str">
        <f t="shared" si="56"/>
        <v/>
      </c>
      <c r="I306" s="6" t="str">
        <f t="shared" si="57"/>
        <v/>
      </c>
      <c r="J306" s="6" t="str">
        <f t="shared" si="58"/>
        <v/>
      </c>
    </row>
    <row r="307" spans="1:10" x14ac:dyDescent="0.25">
      <c r="A307" t="str">
        <f t="shared" si="50"/>
        <v/>
      </c>
      <c r="B307" s="2" t="str">
        <f t="shared" si="51"/>
        <v/>
      </c>
      <c r="C307" s="2" t="str">
        <f t="shared" si="49"/>
        <v/>
      </c>
      <c r="D307" s="6" t="str">
        <f t="shared" si="52"/>
        <v/>
      </c>
      <c r="E307" s="6" t="str">
        <f t="shared" si="53"/>
        <v/>
      </c>
      <c r="F307" s="6" t="str">
        <f t="shared" si="54"/>
        <v/>
      </c>
      <c r="G307" s="6" t="str">
        <f t="shared" si="55"/>
        <v/>
      </c>
      <c r="H307" s="6" t="str">
        <f t="shared" si="56"/>
        <v/>
      </c>
      <c r="I307" s="6" t="str">
        <f t="shared" si="57"/>
        <v/>
      </c>
      <c r="J307" s="6" t="str">
        <f t="shared" si="58"/>
        <v/>
      </c>
    </row>
    <row r="308" spans="1:10" x14ac:dyDescent="0.25">
      <c r="A308" t="str">
        <f t="shared" si="50"/>
        <v/>
      </c>
      <c r="B308" s="2" t="str">
        <f t="shared" si="51"/>
        <v/>
      </c>
      <c r="C308" s="2" t="str">
        <f t="shared" si="49"/>
        <v/>
      </c>
      <c r="D308" s="6" t="str">
        <f t="shared" si="52"/>
        <v/>
      </c>
      <c r="E308" s="6" t="str">
        <f t="shared" si="53"/>
        <v/>
      </c>
      <c r="F308" s="6" t="str">
        <f t="shared" si="54"/>
        <v/>
      </c>
      <c r="G308" s="6" t="str">
        <f t="shared" si="55"/>
        <v/>
      </c>
      <c r="H308" s="6" t="str">
        <f t="shared" si="56"/>
        <v/>
      </c>
      <c r="I308" s="6" t="str">
        <f t="shared" si="57"/>
        <v/>
      </c>
      <c r="J308" s="6" t="str">
        <f t="shared" si="58"/>
        <v/>
      </c>
    </row>
    <row r="309" spans="1:10" x14ac:dyDescent="0.25">
      <c r="A309" t="str">
        <f t="shared" si="50"/>
        <v/>
      </c>
      <c r="B309" s="2" t="str">
        <f t="shared" si="51"/>
        <v/>
      </c>
      <c r="C309" s="2" t="str">
        <f t="shared" si="49"/>
        <v/>
      </c>
      <c r="D309" s="6" t="str">
        <f t="shared" si="52"/>
        <v/>
      </c>
      <c r="E309" s="6" t="str">
        <f t="shared" si="53"/>
        <v/>
      </c>
      <c r="F309" s="6" t="str">
        <f t="shared" si="54"/>
        <v/>
      </c>
      <c r="G309" s="6" t="str">
        <f t="shared" si="55"/>
        <v/>
      </c>
      <c r="H309" s="6" t="str">
        <f t="shared" si="56"/>
        <v/>
      </c>
      <c r="I309" s="6" t="str">
        <f t="shared" si="57"/>
        <v/>
      </c>
      <c r="J309" s="6" t="str">
        <f t="shared" si="58"/>
        <v/>
      </c>
    </row>
    <row r="310" spans="1:10" x14ac:dyDescent="0.25">
      <c r="A310" t="str">
        <f t="shared" si="50"/>
        <v/>
      </c>
      <c r="B310" s="2" t="str">
        <f t="shared" si="51"/>
        <v/>
      </c>
      <c r="C310" s="2" t="str">
        <f t="shared" si="49"/>
        <v/>
      </c>
      <c r="D310" s="6" t="str">
        <f t="shared" si="52"/>
        <v/>
      </c>
      <c r="E310" s="6" t="str">
        <f t="shared" si="53"/>
        <v/>
      </c>
      <c r="F310" s="6" t="str">
        <f t="shared" si="54"/>
        <v/>
      </c>
      <c r="G310" s="6" t="str">
        <f t="shared" si="55"/>
        <v/>
      </c>
      <c r="H310" s="6" t="str">
        <f t="shared" si="56"/>
        <v/>
      </c>
      <c r="I310" s="6" t="str">
        <f t="shared" si="57"/>
        <v/>
      </c>
      <c r="J310" s="6" t="str">
        <f t="shared" si="58"/>
        <v/>
      </c>
    </row>
    <row r="311" spans="1:10" x14ac:dyDescent="0.25">
      <c r="A311" t="str">
        <f t="shared" si="50"/>
        <v/>
      </c>
      <c r="B311" s="2" t="str">
        <f t="shared" si="51"/>
        <v/>
      </c>
      <c r="C311" s="2" t="str">
        <f t="shared" si="49"/>
        <v/>
      </c>
      <c r="D311" s="6" t="str">
        <f t="shared" si="52"/>
        <v/>
      </c>
      <c r="E311" s="6" t="str">
        <f t="shared" si="53"/>
        <v/>
      </c>
      <c r="F311" s="6" t="str">
        <f t="shared" si="54"/>
        <v/>
      </c>
      <c r="G311" s="6" t="str">
        <f t="shared" si="55"/>
        <v/>
      </c>
      <c r="H311" s="6" t="str">
        <f t="shared" si="56"/>
        <v/>
      </c>
      <c r="I311" s="6" t="str">
        <f t="shared" si="57"/>
        <v/>
      </c>
      <c r="J311" s="6" t="str">
        <f t="shared" si="58"/>
        <v/>
      </c>
    </row>
    <row r="312" spans="1:10" x14ac:dyDescent="0.25">
      <c r="A312" t="str">
        <f t="shared" si="50"/>
        <v/>
      </c>
      <c r="B312" s="2" t="str">
        <f t="shared" si="51"/>
        <v/>
      </c>
      <c r="C312" s="2" t="str">
        <f t="shared" si="49"/>
        <v/>
      </c>
      <c r="D312" s="6" t="str">
        <f t="shared" si="52"/>
        <v/>
      </c>
      <c r="E312" s="6" t="str">
        <f t="shared" si="53"/>
        <v/>
      </c>
      <c r="F312" s="6" t="str">
        <f t="shared" si="54"/>
        <v/>
      </c>
      <c r="G312" s="6" t="str">
        <f t="shared" si="55"/>
        <v/>
      </c>
      <c r="H312" s="6" t="str">
        <f t="shared" si="56"/>
        <v/>
      </c>
      <c r="I312" s="6" t="str">
        <f t="shared" si="57"/>
        <v/>
      </c>
      <c r="J312" s="6" t="str">
        <f t="shared" si="58"/>
        <v/>
      </c>
    </row>
    <row r="313" spans="1:10" x14ac:dyDescent="0.25">
      <c r="A313" t="str">
        <f t="shared" si="50"/>
        <v/>
      </c>
      <c r="B313" s="2" t="str">
        <f t="shared" si="51"/>
        <v/>
      </c>
      <c r="C313" s="2" t="str">
        <f t="shared" si="49"/>
        <v/>
      </c>
      <c r="D313" s="6" t="str">
        <f t="shared" si="52"/>
        <v/>
      </c>
      <c r="E313" s="6" t="str">
        <f t="shared" si="53"/>
        <v/>
      </c>
      <c r="F313" s="6" t="str">
        <f t="shared" si="54"/>
        <v/>
      </c>
      <c r="G313" s="6" t="str">
        <f t="shared" si="55"/>
        <v/>
      </c>
      <c r="H313" s="6" t="str">
        <f t="shared" si="56"/>
        <v/>
      </c>
      <c r="I313" s="6" t="str">
        <f t="shared" si="57"/>
        <v/>
      </c>
      <c r="J313" s="6" t="str">
        <f t="shared" si="58"/>
        <v/>
      </c>
    </row>
    <row r="314" spans="1:10" x14ac:dyDescent="0.25">
      <c r="A314" t="str">
        <f t="shared" si="50"/>
        <v/>
      </c>
      <c r="B314" s="2" t="str">
        <f t="shared" si="51"/>
        <v/>
      </c>
      <c r="C314" s="2" t="str">
        <f t="shared" si="49"/>
        <v/>
      </c>
      <c r="D314" s="6" t="str">
        <f t="shared" si="52"/>
        <v/>
      </c>
      <c r="E314" s="6" t="str">
        <f t="shared" si="53"/>
        <v/>
      </c>
      <c r="F314" s="6" t="str">
        <f t="shared" si="54"/>
        <v/>
      </c>
      <c r="G314" s="6" t="str">
        <f t="shared" si="55"/>
        <v/>
      </c>
      <c r="H314" s="6" t="str">
        <f t="shared" si="56"/>
        <v/>
      </c>
      <c r="I314" s="6" t="str">
        <f t="shared" si="57"/>
        <v/>
      </c>
      <c r="J314" s="6" t="str">
        <f t="shared" si="58"/>
        <v/>
      </c>
    </row>
    <row r="315" spans="1:10" x14ac:dyDescent="0.25">
      <c r="A315" t="str">
        <f t="shared" si="50"/>
        <v/>
      </c>
      <c r="B315" s="2" t="str">
        <f t="shared" si="51"/>
        <v/>
      </c>
      <c r="C315" s="2" t="str">
        <f t="shared" si="49"/>
        <v/>
      </c>
      <c r="D315" s="6" t="str">
        <f t="shared" si="52"/>
        <v/>
      </c>
      <c r="E315" s="6" t="str">
        <f t="shared" si="53"/>
        <v/>
      </c>
      <c r="F315" s="6" t="str">
        <f t="shared" si="54"/>
        <v/>
      </c>
      <c r="G315" s="6" t="str">
        <f t="shared" si="55"/>
        <v/>
      </c>
      <c r="H315" s="6" t="str">
        <f t="shared" si="56"/>
        <v/>
      </c>
      <c r="I315" s="6" t="str">
        <f t="shared" si="57"/>
        <v/>
      </c>
      <c r="J315" s="6" t="str">
        <f t="shared" si="58"/>
        <v/>
      </c>
    </row>
    <row r="316" spans="1:10" x14ac:dyDescent="0.25">
      <c r="A316" t="str">
        <f t="shared" si="50"/>
        <v/>
      </c>
      <c r="B316" s="2" t="str">
        <f t="shared" si="51"/>
        <v/>
      </c>
      <c r="C316" s="2" t="str">
        <f t="shared" si="49"/>
        <v/>
      </c>
      <c r="D316" s="6" t="str">
        <f t="shared" si="52"/>
        <v/>
      </c>
      <c r="E316" s="6" t="str">
        <f t="shared" si="53"/>
        <v/>
      </c>
      <c r="F316" s="6" t="str">
        <f t="shared" si="54"/>
        <v/>
      </c>
      <c r="G316" s="6" t="str">
        <f t="shared" si="55"/>
        <v/>
      </c>
      <c r="H316" s="6" t="str">
        <f t="shared" si="56"/>
        <v/>
      </c>
      <c r="I316" s="6" t="str">
        <f t="shared" si="57"/>
        <v/>
      </c>
      <c r="J316" s="6" t="str">
        <f t="shared" si="58"/>
        <v/>
      </c>
    </row>
    <row r="317" spans="1:10" x14ac:dyDescent="0.25">
      <c r="A317" t="str">
        <f t="shared" si="50"/>
        <v/>
      </c>
      <c r="B317" s="2" t="str">
        <f t="shared" si="51"/>
        <v/>
      </c>
      <c r="C317" s="2" t="str">
        <f t="shared" si="49"/>
        <v/>
      </c>
      <c r="D317" s="6" t="str">
        <f t="shared" si="52"/>
        <v/>
      </c>
      <c r="E317" s="6" t="str">
        <f t="shared" si="53"/>
        <v/>
      </c>
      <c r="F317" s="6" t="str">
        <f t="shared" si="54"/>
        <v/>
      </c>
      <c r="G317" s="6" t="str">
        <f t="shared" si="55"/>
        <v/>
      </c>
      <c r="H317" s="6" t="str">
        <f t="shared" si="56"/>
        <v/>
      </c>
      <c r="I317" s="6" t="str">
        <f t="shared" si="57"/>
        <v/>
      </c>
      <c r="J317" s="6" t="str">
        <f t="shared" si="58"/>
        <v/>
      </c>
    </row>
    <row r="318" spans="1:10" x14ac:dyDescent="0.25">
      <c r="A318" t="str">
        <f t="shared" si="50"/>
        <v/>
      </c>
      <c r="B318" s="2" t="str">
        <f t="shared" si="51"/>
        <v/>
      </c>
      <c r="C318" s="2" t="str">
        <f t="shared" si="49"/>
        <v/>
      </c>
      <c r="D318" s="6" t="str">
        <f t="shared" si="52"/>
        <v/>
      </c>
      <c r="E318" s="6" t="str">
        <f t="shared" si="53"/>
        <v/>
      </c>
      <c r="F318" s="6" t="str">
        <f t="shared" si="54"/>
        <v/>
      </c>
      <c r="G318" s="6" t="str">
        <f t="shared" si="55"/>
        <v/>
      </c>
      <c r="H318" s="6" t="str">
        <f t="shared" si="56"/>
        <v/>
      </c>
      <c r="I318" s="6" t="str">
        <f t="shared" si="57"/>
        <v/>
      </c>
      <c r="J318" s="6" t="str">
        <f t="shared" si="58"/>
        <v/>
      </c>
    </row>
    <row r="319" spans="1:10" x14ac:dyDescent="0.25">
      <c r="A319" t="str">
        <f t="shared" si="50"/>
        <v/>
      </c>
      <c r="B319" s="2" t="str">
        <f t="shared" si="51"/>
        <v/>
      </c>
      <c r="C319" s="2" t="str">
        <f t="shared" si="49"/>
        <v/>
      </c>
      <c r="D319" s="6" t="str">
        <f t="shared" si="52"/>
        <v/>
      </c>
      <c r="E319" s="6" t="str">
        <f t="shared" si="53"/>
        <v/>
      </c>
      <c r="F319" s="6" t="str">
        <f t="shared" si="54"/>
        <v/>
      </c>
      <c r="G319" s="6" t="str">
        <f t="shared" si="55"/>
        <v/>
      </c>
      <c r="H319" s="6" t="str">
        <f t="shared" si="56"/>
        <v/>
      </c>
      <c r="I319" s="6" t="str">
        <f t="shared" si="57"/>
        <v/>
      </c>
      <c r="J319" s="6" t="str">
        <f t="shared" si="58"/>
        <v/>
      </c>
    </row>
    <row r="320" spans="1:10" x14ac:dyDescent="0.25">
      <c r="A320" t="str">
        <f t="shared" si="50"/>
        <v/>
      </c>
      <c r="B320" s="2" t="str">
        <f t="shared" si="51"/>
        <v/>
      </c>
      <c r="C320" s="2" t="str">
        <f t="shared" si="49"/>
        <v/>
      </c>
      <c r="D320" s="6" t="str">
        <f t="shared" si="52"/>
        <v/>
      </c>
      <c r="E320" s="6" t="str">
        <f t="shared" si="53"/>
        <v/>
      </c>
      <c r="F320" s="6" t="str">
        <f t="shared" si="54"/>
        <v/>
      </c>
      <c r="G320" s="6" t="str">
        <f t="shared" si="55"/>
        <v/>
      </c>
      <c r="H320" s="6" t="str">
        <f t="shared" si="56"/>
        <v/>
      </c>
      <c r="I320" s="6" t="str">
        <f t="shared" si="57"/>
        <v/>
      </c>
      <c r="J320" s="6" t="str">
        <f t="shared" si="58"/>
        <v/>
      </c>
    </row>
    <row r="321" spans="1:10" x14ac:dyDescent="0.25">
      <c r="A321" t="str">
        <f t="shared" si="50"/>
        <v/>
      </c>
      <c r="B321" s="2" t="str">
        <f t="shared" si="51"/>
        <v/>
      </c>
      <c r="C321" s="2" t="str">
        <f t="shared" si="49"/>
        <v/>
      </c>
      <c r="D321" s="6" t="str">
        <f t="shared" si="52"/>
        <v/>
      </c>
      <c r="E321" s="6" t="str">
        <f t="shared" si="53"/>
        <v/>
      </c>
      <c r="F321" s="6" t="str">
        <f t="shared" si="54"/>
        <v/>
      </c>
      <c r="G321" s="6" t="str">
        <f t="shared" si="55"/>
        <v/>
      </c>
      <c r="H321" s="6" t="str">
        <f t="shared" si="56"/>
        <v/>
      </c>
      <c r="I321" s="6" t="str">
        <f t="shared" si="57"/>
        <v/>
      </c>
      <c r="J321" s="6" t="str">
        <f t="shared" si="58"/>
        <v/>
      </c>
    </row>
    <row r="322" spans="1:10" x14ac:dyDescent="0.25">
      <c r="A322" t="str">
        <f t="shared" si="50"/>
        <v/>
      </c>
      <c r="B322" s="2" t="str">
        <f t="shared" si="51"/>
        <v/>
      </c>
      <c r="C322" s="2" t="str">
        <f t="shared" si="49"/>
        <v/>
      </c>
      <c r="D322" s="6" t="str">
        <f t="shared" si="52"/>
        <v/>
      </c>
      <c r="E322" s="6" t="str">
        <f t="shared" si="53"/>
        <v/>
      </c>
      <c r="F322" s="6" t="str">
        <f t="shared" si="54"/>
        <v/>
      </c>
      <c r="G322" s="6" t="str">
        <f t="shared" si="55"/>
        <v/>
      </c>
      <c r="H322" s="6" t="str">
        <f t="shared" si="56"/>
        <v/>
      </c>
      <c r="I322" s="6" t="str">
        <f t="shared" si="57"/>
        <v/>
      </c>
      <c r="J322" s="6" t="str">
        <f t="shared" si="58"/>
        <v/>
      </c>
    </row>
    <row r="323" spans="1:10" x14ac:dyDescent="0.25">
      <c r="A323" t="str">
        <f t="shared" si="50"/>
        <v/>
      </c>
      <c r="B323" s="2" t="str">
        <f t="shared" si="51"/>
        <v/>
      </c>
      <c r="C323" s="2" t="str">
        <f t="shared" si="49"/>
        <v/>
      </c>
      <c r="D323" s="6" t="str">
        <f t="shared" si="52"/>
        <v/>
      </c>
      <c r="E323" s="6" t="str">
        <f t="shared" si="53"/>
        <v/>
      </c>
      <c r="F323" s="6" t="str">
        <f t="shared" si="54"/>
        <v/>
      </c>
      <c r="G323" s="6" t="str">
        <f t="shared" si="55"/>
        <v/>
      </c>
      <c r="H323" s="6" t="str">
        <f t="shared" si="56"/>
        <v/>
      </c>
      <c r="I323" s="6" t="str">
        <f t="shared" si="57"/>
        <v/>
      </c>
      <c r="J323" s="6" t="str">
        <f t="shared" si="58"/>
        <v/>
      </c>
    </row>
    <row r="324" spans="1:10" x14ac:dyDescent="0.25">
      <c r="A324" t="str">
        <f t="shared" si="50"/>
        <v/>
      </c>
      <c r="B324" s="2" t="str">
        <f t="shared" si="51"/>
        <v/>
      </c>
      <c r="C324" s="2" t="str">
        <f t="shared" si="49"/>
        <v/>
      </c>
      <c r="D324" s="6" t="str">
        <f t="shared" si="52"/>
        <v/>
      </c>
      <c r="E324" s="6" t="str">
        <f t="shared" si="53"/>
        <v/>
      </c>
      <c r="F324" s="6" t="str">
        <f t="shared" si="54"/>
        <v/>
      </c>
      <c r="G324" s="6" t="str">
        <f t="shared" si="55"/>
        <v/>
      </c>
      <c r="H324" s="6" t="str">
        <f t="shared" si="56"/>
        <v/>
      </c>
      <c r="I324" s="6" t="str">
        <f t="shared" si="57"/>
        <v/>
      </c>
      <c r="J324" s="6" t="str">
        <f t="shared" si="58"/>
        <v/>
      </c>
    </row>
    <row r="325" spans="1:10" x14ac:dyDescent="0.25">
      <c r="A325" t="str">
        <f t="shared" si="50"/>
        <v/>
      </c>
      <c r="B325" s="2" t="str">
        <f t="shared" si="51"/>
        <v/>
      </c>
      <c r="C325" s="2" t="str">
        <f t="shared" si="49"/>
        <v/>
      </c>
      <c r="D325" s="6" t="str">
        <f t="shared" si="52"/>
        <v/>
      </c>
      <c r="E325" s="6" t="str">
        <f t="shared" si="53"/>
        <v/>
      </c>
      <c r="F325" s="6" t="str">
        <f t="shared" si="54"/>
        <v/>
      </c>
      <c r="G325" s="6" t="str">
        <f t="shared" si="55"/>
        <v/>
      </c>
      <c r="H325" s="6" t="str">
        <f t="shared" si="56"/>
        <v/>
      </c>
      <c r="I325" s="6" t="str">
        <f t="shared" si="57"/>
        <v/>
      </c>
      <c r="J325" s="6" t="str">
        <f t="shared" si="58"/>
        <v/>
      </c>
    </row>
    <row r="326" spans="1:10" x14ac:dyDescent="0.25">
      <c r="A326" t="str">
        <f t="shared" si="50"/>
        <v/>
      </c>
      <c r="B326" s="2" t="str">
        <f t="shared" si="51"/>
        <v/>
      </c>
      <c r="C326" s="2" t="str">
        <f t="shared" si="49"/>
        <v/>
      </c>
      <c r="D326" s="6" t="str">
        <f t="shared" si="52"/>
        <v/>
      </c>
      <c r="E326" s="6" t="str">
        <f t="shared" si="53"/>
        <v/>
      </c>
      <c r="F326" s="6" t="str">
        <f t="shared" si="54"/>
        <v/>
      </c>
      <c r="G326" s="6" t="str">
        <f t="shared" si="55"/>
        <v/>
      </c>
      <c r="H326" s="6" t="str">
        <f t="shared" si="56"/>
        <v/>
      </c>
      <c r="I326" s="6" t="str">
        <f t="shared" si="57"/>
        <v/>
      </c>
      <c r="J326" s="6" t="str">
        <f t="shared" si="58"/>
        <v/>
      </c>
    </row>
    <row r="327" spans="1:10" x14ac:dyDescent="0.25">
      <c r="A327" t="str">
        <f t="shared" si="50"/>
        <v/>
      </c>
      <c r="B327" s="2" t="str">
        <f t="shared" si="51"/>
        <v/>
      </c>
      <c r="C327" s="2" t="str">
        <f t="shared" ref="C327:C365" si="59">TEXT(B327,"mmmm")</f>
        <v/>
      </c>
      <c r="D327" s="6" t="str">
        <f t="shared" si="52"/>
        <v/>
      </c>
      <c r="E327" s="6" t="str">
        <f t="shared" si="53"/>
        <v/>
      </c>
      <c r="F327" s="6" t="str">
        <f t="shared" si="54"/>
        <v/>
      </c>
      <c r="G327" s="6" t="str">
        <f t="shared" si="55"/>
        <v/>
      </c>
      <c r="H327" s="6" t="str">
        <f t="shared" si="56"/>
        <v/>
      </c>
      <c r="I327" s="6" t="str">
        <f t="shared" si="57"/>
        <v/>
      </c>
      <c r="J327" s="6" t="str">
        <f t="shared" si="58"/>
        <v/>
      </c>
    </row>
    <row r="328" spans="1:10" x14ac:dyDescent="0.25">
      <c r="A328" t="str">
        <f t="shared" si="50"/>
        <v/>
      </c>
      <c r="B328" s="2" t="str">
        <f t="shared" si="51"/>
        <v/>
      </c>
      <c r="C328" s="2" t="str">
        <f t="shared" si="59"/>
        <v/>
      </c>
      <c r="D328" s="6" t="str">
        <f t="shared" si="52"/>
        <v/>
      </c>
      <c r="E328" s="6" t="str">
        <f t="shared" si="53"/>
        <v/>
      </c>
      <c r="F328" s="6" t="str">
        <f t="shared" si="54"/>
        <v/>
      </c>
      <c r="G328" s="6" t="str">
        <f t="shared" si="55"/>
        <v/>
      </c>
      <c r="H328" s="6" t="str">
        <f t="shared" si="56"/>
        <v/>
      </c>
      <c r="I328" s="6" t="str">
        <f t="shared" si="57"/>
        <v/>
      </c>
      <c r="J328" s="6" t="str">
        <f t="shared" si="58"/>
        <v/>
      </c>
    </row>
    <row r="329" spans="1:10" x14ac:dyDescent="0.25">
      <c r="A329" t="str">
        <f t="shared" si="50"/>
        <v/>
      </c>
      <c r="B329" s="2" t="str">
        <f t="shared" si="51"/>
        <v/>
      </c>
      <c r="C329" s="2" t="str">
        <f t="shared" si="59"/>
        <v/>
      </c>
      <c r="D329" s="6" t="str">
        <f t="shared" si="52"/>
        <v/>
      </c>
      <c r="E329" s="6" t="str">
        <f t="shared" si="53"/>
        <v/>
      </c>
      <c r="F329" s="6" t="str">
        <f t="shared" si="54"/>
        <v/>
      </c>
      <c r="G329" s="6" t="str">
        <f t="shared" si="55"/>
        <v/>
      </c>
      <c r="H329" s="6" t="str">
        <f t="shared" si="56"/>
        <v/>
      </c>
      <c r="I329" s="6" t="str">
        <f t="shared" si="57"/>
        <v/>
      </c>
      <c r="J329" s="6" t="str">
        <f t="shared" si="58"/>
        <v/>
      </c>
    </row>
    <row r="330" spans="1:10" x14ac:dyDescent="0.25">
      <c r="A330" t="str">
        <f t="shared" si="50"/>
        <v/>
      </c>
      <c r="B330" s="2" t="str">
        <f t="shared" si="51"/>
        <v/>
      </c>
      <c r="C330" s="2" t="str">
        <f t="shared" si="59"/>
        <v/>
      </c>
      <c r="D330" s="6" t="str">
        <f t="shared" si="52"/>
        <v/>
      </c>
      <c r="E330" s="6" t="str">
        <f t="shared" si="53"/>
        <v/>
      </c>
      <c r="F330" s="6" t="str">
        <f t="shared" si="54"/>
        <v/>
      </c>
      <c r="G330" s="6" t="str">
        <f t="shared" si="55"/>
        <v/>
      </c>
      <c r="H330" s="6" t="str">
        <f t="shared" si="56"/>
        <v/>
      </c>
      <c r="I330" s="6" t="str">
        <f t="shared" si="57"/>
        <v/>
      </c>
      <c r="J330" s="6" t="str">
        <f t="shared" si="58"/>
        <v/>
      </c>
    </row>
    <row r="331" spans="1:10" x14ac:dyDescent="0.25">
      <c r="A331" t="str">
        <f t="shared" si="50"/>
        <v/>
      </c>
      <c r="B331" s="2" t="str">
        <f t="shared" si="51"/>
        <v/>
      </c>
      <c r="C331" s="2" t="str">
        <f t="shared" si="59"/>
        <v/>
      </c>
      <c r="D331" s="6" t="str">
        <f t="shared" si="52"/>
        <v/>
      </c>
      <c r="E331" s="6" t="str">
        <f t="shared" si="53"/>
        <v/>
      </c>
      <c r="F331" s="6" t="str">
        <f t="shared" si="54"/>
        <v/>
      </c>
      <c r="G331" s="6" t="str">
        <f t="shared" si="55"/>
        <v/>
      </c>
      <c r="H331" s="6" t="str">
        <f t="shared" si="56"/>
        <v/>
      </c>
      <c r="I331" s="6" t="str">
        <f t="shared" si="57"/>
        <v/>
      </c>
      <c r="J331" s="6" t="str">
        <f t="shared" si="58"/>
        <v/>
      </c>
    </row>
    <row r="332" spans="1:10" x14ac:dyDescent="0.25">
      <c r="A332" t="str">
        <f t="shared" si="50"/>
        <v/>
      </c>
      <c r="B332" s="2" t="str">
        <f t="shared" si="51"/>
        <v/>
      </c>
      <c r="C332" s="2" t="str">
        <f t="shared" si="59"/>
        <v/>
      </c>
      <c r="D332" s="6" t="str">
        <f t="shared" si="52"/>
        <v/>
      </c>
      <c r="E332" s="6" t="str">
        <f t="shared" si="53"/>
        <v/>
      </c>
      <c r="F332" s="6" t="str">
        <f t="shared" si="54"/>
        <v/>
      </c>
      <c r="G332" s="6" t="str">
        <f t="shared" si="55"/>
        <v/>
      </c>
      <c r="H332" s="6" t="str">
        <f t="shared" si="56"/>
        <v/>
      </c>
      <c r="I332" s="6" t="str">
        <f t="shared" si="57"/>
        <v/>
      </c>
      <c r="J332" s="6" t="str">
        <f t="shared" si="58"/>
        <v/>
      </c>
    </row>
    <row r="333" spans="1:10" x14ac:dyDescent="0.25">
      <c r="A333" t="str">
        <f t="shared" si="50"/>
        <v/>
      </c>
      <c r="B333" s="2" t="str">
        <f t="shared" si="51"/>
        <v/>
      </c>
      <c r="C333" s="2" t="str">
        <f t="shared" si="59"/>
        <v/>
      </c>
      <c r="D333" s="6" t="str">
        <f t="shared" si="52"/>
        <v/>
      </c>
      <c r="E333" s="6" t="str">
        <f t="shared" si="53"/>
        <v/>
      </c>
      <c r="F333" s="6" t="str">
        <f t="shared" si="54"/>
        <v/>
      </c>
      <c r="G333" s="6" t="str">
        <f t="shared" si="55"/>
        <v/>
      </c>
      <c r="H333" s="6" t="str">
        <f t="shared" si="56"/>
        <v/>
      </c>
      <c r="I333" s="6" t="str">
        <f t="shared" si="57"/>
        <v/>
      </c>
      <c r="J333" s="6" t="str">
        <f t="shared" si="58"/>
        <v/>
      </c>
    </row>
    <row r="334" spans="1:10" x14ac:dyDescent="0.25">
      <c r="A334" t="str">
        <f t="shared" si="50"/>
        <v/>
      </c>
      <c r="B334" s="2" t="str">
        <f t="shared" si="51"/>
        <v/>
      </c>
      <c r="C334" s="2" t="str">
        <f t="shared" si="59"/>
        <v/>
      </c>
      <c r="D334" s="6" t="str">
        <f t="shared" si="52"/>
        <v/>
      </c>
      <c r="E334" s="6" t="str">
        <f t="shared" si="53"/>
        <v/>
      </c>
      <c r="F334" s="6" t="str">
        <f t="shared" si="54"/>
        <v/>
      </c>
      <c r="G334" s="6" t="str">
        <f t="shared" si="55"/>
        <v/>
      </c>
      <c r="H334" s="6" t="str">
        <f t="shared" si="56"/>
        <v/>
      </c>
      <c r="I334" s="6" t="str">
        <f t="shared" si="57"/>
        <v/>
      </c>
      <c r="J334" s="6" t="str">
        <f t="shared" si="58"/>
        <v/>
      </c>
    </row>
    <row r="335" spans="1:10" x14ac:dyDescent="0.25">
      <c r="A335" t="str">
        <f t="shared" si="50"/>
        <v/>
      </c>
      <c r="B335" s="2" t="str">
        <f t="shared" si="51"/>
        <v/>
      </c>
      <c r="C335" s="2" t="str">
        <f t="shared" si="59"/>
        <v/>
      </c>
      <c r="D335" s="6" t="str">
        <f t="shared" si="52"/>
        <v/>
      </c>
      <c r="E335" s="6" t="str">
        <f t="shared" si="53"/>
        <v/>
      </c>
      <c r="F335" s="6" t="str">
        <f t="shared" si="54"/>
        <v/>
      </c>
      <c r="G335" s="6" t="str">
        <f t="shared" si="55"/>
        <v/>
      </c>
      <c r="H335" s="6" t="str">
        <f t="shared" si="56"/>
        <v/>
      </c>
      <c r="I335" s="6" t="str">
        <f t="shared" si="57"/>
        <v/>
      </c>
      <c r="J335" s="6" t="str">
        <f t="shared" si="58"/>
        <v/>
      </c>
    </row>
    <row r="336" spans="1:10" x14ac:dyDescent="0.25">
      <c r="A336" t="str">
        <f t="shared" si="50"/>
        <v/>
      </c>
      <c r="B336" s="2" t="str">
        <f t="shared" si="51"/>
        <v/>
      </c>
      <c r="C336" s="2" t="str">
        <f t="shared" si="59"/>
        <v/>
      </c>
      <c r="D336" s="6" t="str">
        <f t="shared" si="52"/>
        <v/>
      </c>
      <c r="E336" s="6" t="str">
        <f t="shared" si="53"/>
        <v/>
      </c>
      <c r="F336" s="6" t="str">
        <f t="shared" si="54"/>
        <v/>
      </c>
      <c r="G336" s="6" t="str">
        <f t="shared" si="55"/>
        <v/>
      </c>
      <c r="H336" s="6" t="str">
        <f t="shared" si="56"/>
        <v/>
      </c>
      <c r="I336" s="6" t="str">
        <f t="shared" si="57"/>
        <v/>
      </c>
      <c r="J336" s="6" t="str">
        <f t="shared" si="58"/>
        <v/>
      </c>
    </row>
    <row r="337" spans="1:10" x14ac:dyDescent="0.25">
      <c r="A337" t="str">
        <f t="shared" si="50"/>
        <v/>
      </c>
      <c r="B337" s="2" t="str">
        <f t="shared" si="51"/>
        <v/>
      </c>
      <c r="C337" s="2" t="str">
        <f t="shared" si="59"/>
        <v/>
      </c>
      <c r="D337" s="6" t="str">
        <f t="shared" si="52"/>
        <v/>
      </c>
      <c r="E337" s="6" t="str">
        <f t="shared" si="53"/>
        <v/>
      </c>
      <c r="F337" s="6" t="str">
        <f t="shared" si="54"/>
        <v/>
      </c>
      <c r="G337" s="6" t="str">
        <f t="shared" si="55"/>
        <v/>
      </c>
      <c r="H337" s="6" t="str">
        <f t="shared" si="56"/>
        <v/>
      </c>
      <c r="I337" s="6" t="str">
        <f t="shared" si="57"/>
        <v/>
      </c>
      <c r="J337" s="6" t="str">
        <f t="shared" si="58"/>
        <v/>
      </c>
    </row>
    <row r="338" spans="1:10" x14ac:dyDescent="0.25">
      <c r="A338" t="str">
        <f t="shared" si="50"/>
        <v/>
      </c>
      <c r="B338" s="2" t="str">
        <f t="shared" si="51"/>
        <v/>
      </c>
      <c r="C338" s="2" t="str">
        <f t="shared" si="59"/>
        <v/>
      </c>
      <c r="D338" s="6" t="str">
        <f t="shared" si="52"/>
        <v/>
      </c>
      <c r="E338" s="6" t="str">
        <f t="shared" si="53"/>
        <v/>
      </c>
      <c r="F338" s="6" t="str">
        <f t="shared" si="54"/>
        <v/>
      </c>
      <c r="G338" s="6" t="str">
        <f t="shared" si="55"/>
        <v/>
      </c>
      <c r="H338" s="6" t="str">
        <f t="shared" si="56"/>
        <v/>
      </c>
      <c r="I338" s="6" t="str">
        <f t="shared" si="57"/>
        <v/>
      </c>
      <c r="J338" s="6" t="str">
        <f t="shared" si="58"/>
        <v/>
      </c>
    </row>
    <row r="339" spans="1:10" x14ac:dyDescent="0.25">
      <c r="A339" t="str">
        <f t="shared" si="50"/>
        <v/>
      </c>
      <c r="B339" s="2" t="str">
        <f t="shared" si="51"/>
        <v/>
      </c>
      <c r="C339" s="2" t="str">
        <f t="shared" si="59"/>
        <v/>
      </c>
      <c r="D339" s="6" t="str">
        <f t="shared" si="52"/>
        <v/>
      </c>
      <c r="E339" s="6" t="str">
        <f t="shared" si="53"/>
        <v/>
      </c>
      <c r="F339" s="6" t="str">
        <f t="shared" si="54"/>
        <v/>
      </c>
      <c r="G339" s="6" t="str">
        <f t="shared" si="55"/>
        <v/>
      </c>
      <c r="H339" s="6" t="str">
        <f t="shared" si="56"/>
        <v/>
      </c>
      <c r="I339" s="6" t="str">
        <f t="shared" si="57"/>
        <v/>
      </c>
      <c r="J339" s="6" t="str">
        <f t="shared" si="58"/>
        <v/>
      </c>
    </row>
    <row r="340" spans="1:10" x14ac:dyDescent="0.25">
      <c r="A340" t="str">
        <f t="shared" si="50"/>
        <v/>
      </c>
      <c r="B340" s="2" t="str">
        <f t="shared" si="51"/>
        <v/>
      </c>
      <c r="C340" s="2" t="str">
        <f t="shared" si="59"/>
        <v/>
      </c>
      <c r="D340" s="6" t="str">
        <f t="shared" si="52"/>
        <v/>
      </c>
      <c r="E340" s="6" t="str">
        <f t="shared" si="53"/>
        <v/>
      </c>
      <c r="F340" s="6" t="str">
        <f t="shared" si="54"/>
        <v/>
      </c>
      <c r="G340" s="6" t="str">
        <f t="shared" si="55"/>
        <v/>
      </c>
      <c r="H340" s="6" t="str">
        <f t="shared" si="56"/>
        <v/>
      </c>
      <c r="I340" s="6" t="str">
        <f t="shared" si="57"/>
        <v/>
      </c>
      <c r="J340" s="6" t="str">
        <f t="shared" si="58"/>
        <v/>
      </c>
    </row>
    <row r="341" spans="1:10" x14ac:dyDescent="0.25">
      <c r="A341" t="str">
        <f t="shared" si="50"/>
        <v/>
      </c>
      <c r="B341" s="2" t="str">
        <f t="shared" si="51"/>
        <v/>
      </c>
      <c r="C341" s="2" t="str">
        <f t="shared" si="59"/>
        <v/>
      </c>
      <c r="D341" s="6" t="str">
        <f t="shared" si="52"/>
        <v/>
      </c>
      <c r="E341" s="6" t="str">
        <f t="shared" si="53"/>
        <v/>
      </c>
      <c r="F341" s="6" t="str">
        <f t="shared" si="54"/>
        <v/>
      </c>
      <c r="G341" s="6" t="str">
        <f t="shared" si="55"/>
        <v/>
      </c>
      <c r="H341" s="6" t="str">
        <f t="shared" si="56"/>
        <v/>
      </c>
      <c r="I341" s="6" t="str">
        <f t="shared" si="57"/>
        <v/>
      </c>
      <c r="J341" s="6" t="str">
        <f t="shared" si="58"/>
        <v/>
      </c>
    </row>
    <row r="342" spans="1:10" x14ac:dyDescent="0.25">
      <c r="A342" t="str">
        <f t="shared" si="50"/>
        <v/>
      </c>
      <c r="B342" s="2" t="str">
        <f t="shared" si="51"/>
        <v/>
      </c>
      <c r="C342" s="2" t="str">
        <f t="shared" si="59"/>
        <v/>
      </c>
      <c r="D342" s="6" t="str">
        <f t="shared" si="52"/>
        <v/>
      </c>
      <c r="E342" s="6" t="str">
        <f t="shared" si="53"/>
        <v/>
      </c>
      <c r="F342" s="6" t="str">
        <f t="shared" si="54"/>
        <v/>
      </c>
      <c r="G342" s="6" t="str">
        <f t="shared" si="55"/>
        <v/>
      </c>
      <c r="H342" s="6" t="str">
        <f t="shared" si="56"/>
        <v/>
      </c>
      <c r="I342" s="6" t="str">
        <f t="shared" si="57"/>
        <v/>
      </c>
      <c r="J342" s="6" t="str">
        <f t="shared" si="58"/>
        <v/>
      </c>
    </row>
    <row r="343" spans="1:10" x14ac:dyDescent="0.25">
      <c r="A343" t="str">
        <f t="shared" si="50"/>
        <v/>
      </c>
      <c r="B343" s="2" t="str">
        <f t="shared" si="51"/>
        <v/>
      </c>
      <c r="C343" s="2" t="str">
        <f t="shared" si="59"/>
        <v/>
      </c>
      <c r="D343" s="6" t="str">
        <f t="shared" si="52"/>
        <v/>
      </c>
      <c r="E343" s="6" t="str">
        <f t="shared" si="53"/>
        <v/>
      </c>
      <c r="F343" s="6" t="str">
        <f t="shared" si="54"/>
        <v/>
      </c>
      <c r="G343" s="6" t="str">
        <f t="shared" si="55"/>
        <v/>
      </c>
      <c r="H343" s="6" t="str">
        <f t="shared" si="56"/>
        <v/>
      </c>
      <c r="I343" s="6" t="str">
        <f t="shared" si="57"/>
        <v/>
      </c>
      <c r="J343" s="6" t="str">
        <f t="shared" si="58"/>
        <v/>
      </c>
    </row>
    <row r="344" spans="1:10" x14ac:dyDescent="0.25">
      <c r="A344" t="str">
        <f t="shared" si="50"/>
        <v/>
      </c>
      <c r="B344" s="2" t="str">
        <f t="shared" si="51"/>
        <v/>
      </c>
      <c r="C344" s="2" t="str">
        <f t="shared" si="59"/>
        <v/>
      </c>
      <c r="D344" s="6" t="str">
        <f t="shared" si="52"/>
        <v/>
      </c>
      <c r="E344" s="6" t="str">
        <f t="shared" si="53"/>
        <v/>
      </c>
      <c r="F344" s="6" t="str">
        <f t="shared" si="54"/>
        <v/>
      </c>
      <c r="G344" s="6" t="str">
        <f t="shared" si="55"/>
        <v/>
      </c>
      <c r="H344" s="6" t="str">
        <f t="shared" si="56"/>
        <v/>
      </c>
      <c r="I344" s="6" t="str">
        <f t="shared" si="57"/>
        <v/>
      </c>
      <c r="J344" s="6" t="str">
        <f t="shared" si="58"/>
        <v/>
      </c>
    </row>
    <row r="345" spans="1:10" x14ac:dyDescent="0.25">
      <c r="A345" t="str">
        <f t="shared" si="50"/>
        <v/>
      </c>
      <c r="B345" s="2" t="str">
        <f t="shared" si="51"/>
        <v/>
      </c>
      <c r="C345" s="2" t="str">
        <f t="shared" si="59"/>
        <v/>
      </c>
      <c r="D345" s="6" t="str">
        <f t="shared" si="52"/>
        <v/>
      </c>
      <c r="E345" s="6" t="str">
        <f t="shared" si="53"/>
        <v/>
      </c>
      <c r="F345" s="6" t="str">
        <f t="shared" si="54"/>
        <v/>
      </c>
      <c r="G345" s="6" t="str">
        <f t="shared" si="55"/>
        <v/>
      </c>
      <c r="H345" s="6" t="str">
        <f t="shared" si="56"/>
        <v/>
      </c>
      <c r="I345" s="6" t="str">
        <f t="shared" si="57"/>
        <v/>
      </c>
      <c r="J345" s="6" t="str">
        <f t="shared" si="58"/>
        <v/>
      </c>
    </row>
    <row r="346" spans="1:10" x14ac:dyDescent="0.25">
      <c r="A346" t="str">
        <f t="shared" si="50"/>
        <v/>
      </c>
      <c r="B346" s="2" t="str">
        <f t="shared" si="51"/>
        <v/>
      </c>
      <c r="C346" s="2" t="str">
        <f t="shared" si="59"/>
        <v/>
      </c>
      <c r="D346" s="6" t="str">
        <f t="shared" si="52"/>
        <v/>
      </c>
      <c r="E346" s="6" t="str">
        <f t="shared" si="53"/>
        <v/>
      </c>
      <c r="F346" s="6" t="str">
        <f t="shared" si="54"/>
        <v/>
      </c>
      <c r="G346" s="6" t="str">
        <f t="shared" si="55"/>
        <v/>
      </c>
      <c r="H346" s="6" t="str">
        <f t="shared" si="56"/>
        <v/>
      </c>
      <c r="I346" s="6" t="str">
        <f t="shared" si="57"/>
        <v/>
      </c>
      <c r="J346" s="6" t="str">
        <f t="shared" si="58"/>
        <v/>
      </c>
    </row>
    <row r="347" spans="1:10" x14ac:dyDescent="0.25">
      <c r="A347" t="str">
        <f t="shared" si="50"/>
        <v/>
      </c>
      <c r="B347" s="2" t="str">
        <f t="shared" si="51"/>
        <v/>
      </c>
      <c r="C347" s="2" t="str">
        <f t="shared" si="59"/>
        <v/>
      </c>
      <c r="D347" s="6" t="str">
        <f t="shared" si="52"/>
        <v/>
      </c>
      <c r="E347" s="6" t="str">
        <f t="shared" si="53"/>
        <v/>
      </c>
      <c r="F347" s="6" t="str">
        <f t="shared" si="54"/>
        <v/>
      </c>
      <c r="G347" s="6" t="str">
        <f t="shared" si="55"/>
        <v/>
      </c>
      <c r="H347" s="6" t="str">
        <f t="shared" si="56"/>
        <v/>
      </c>
      <c r="I347" s="6" t="str">
        <f t="shared" si="57"/>
        <v/>
      </c>
      <c r="J347" s="6" t="str">
        <f t="shared" si="58"/>
        <v/>
      </c>
    </row>
    <row r="348" spans="1:10" x14ac:dyDescent="0.25">
      <c r="A348" t="str">
        <f t="shared" si="50"/>
        <v/>
      </c>
      <c r="B348" s="2" t="str">
        <f t="shared" si="51"/>
        <v/>
      </c>
      <c r="C348" s="2" t="str">
        <f t="shared" si="59"/>
        <v/>
      </c>
      <c r="D348" s="6" t="str">
        <f t="shared" si="52"/>
        <v/>
      </c>
      <c r="E348" s="6" t="str">
        <f t="shared" si="53"/>
        <v/>
      </c>
      <c r="F348" s="6" t="str">
        <f t="shared" si="54"/>
        <v/>
      </c>
      <c r="G348" s="6" t="str">
        <f t="shared" si="55"/>
        <v/>
      </c>
      <c r="H348" s="6" t="str">
        <f t="shared" si="56"/>
        <v/>
      </c>
      <c r="I348" s="6" t="str">
        <f t="shared" si="57"/>
        <v/>
      </c>
      <c r="J348" s="6" t="str">
        <f t="shared" si="58"/>
        <v/>
      </c>
    </row>
    <row r="349" spans="1:10" x14ac:dyDescent="0.25">
      <c r="A349" t="str">
        <f t="shared" si="50"/>
        <v/>
      </c>
      <c r="B349" s="2" t="str">
        <f t="shared" si="51"/>
        <v/>
      </c>
      <c r="C349" s="2" t="str">
        <f t="shared" si="59"/>
        <v/>
      </c>
      <c r="D349" s="6" t="str">
        <f t="shared" si="52"/>
        <v/>
      </c>
      <c r="E349" s="6" t="str">
        <f t="shared" si="53"/>
        <v/>
      </c>
      <c r="F349" s="6" t="str">
        <f t="shared" si="54"/>
        <v/>
      </c>
      <c r="G349" s="6" t="str">
        <f t="shared" si="55"/>
        <v/>
      </c>
      <c r="H349" s="6" t="str">
        <f t="shared" si="56"/>
        <v/>
      </c>
      <c r="I349" s="6" t="str">
        <f t="shared" si="57"/>
        <v/>
      </c>
      <c r="J349" s="6" t="str">
        <f t="shared" si="58"/>
        <v/>
      </c>
    </row>
    <row r="350" spans="1:10" x14ac:dyDescent="0.25">
      <c r="A350" t="str">
        <f t="shared" ref="A350:A365" si="60">IF($B$2&gt;A349,A349+1,"")</f>
        <v/>
      </c>
      <c r="B350" s="2" t="str">
        <f t="shared" ref="B350:B365" si="61">IF(A350&lt;&gt;"",DATE(YEAR(B349),MONTH(B349) + 1,DAY(B349)),"")</f>
        <v/>
      </c>
      <c r="C350" s="2" t="str">
        <f t="shared" si="59"/>
        <v/>
      </c>
      <c r="D350" s="6" t="str">
        <f t="shared" ref="D350:D365" si="62">IF(A350&lt;&gt;"",$F$4,"")</f>
        <v/>
      </c>
      <c r="E350" s="6" t="str">
        <f t="shared" ref="E350:E365" si="63">IF(A350&lt;&gt;"",J349*$B$3/12,"")</f>
        <v/>
      </c>
      <c r="F350" s="6" t="str">
        <f t="shared" ref="F350:F365" si="64">IF(A350&lt;&gt;"",D350-E350,"")</f>
        <v/>
      </c>
      <c r="G350" s="6" t="str">
        <f t="shared" ref="G350:G365" si="65">IF(A350&lt;&gt;"",G349+E350,"")</f>
        <v/>
      </c>
      <c r="H350" s="6" t="str">
        <f t="shared" ref="H350:H365" si="66">IF(A350&lt;&gt;"",H349+F350,"")</f>
        <v/>
      </c>
      <c r="I350" s="6" t="str">
        <f t="shared" ref="I350:I365" si="67">IF(A350&lt;&gt;"",D350+I349,"")</f>
        <v/>
      </c>
      <c r="J350" s="6" t="str">
        <f t="shared" ref="J350:J365" si="68">IF(A350&lt;&gt;"",$B$1*(($F$1^$B$2-$F$1^A350)/($F$1^$B$2-1)),"")</f>
        <v/>
      </c>
    </row>
    <row r="351" spans="1:10" x14ac:dyDescent="0.25">
      <c r="A351" t="str">
        <f t="shared" si="60"/>
        <v/>
      </c>
      <c r="B351" s="2" t="str">
        <f t="shared" si="61"/>
        <v/>
      </c>
      <c r="C351" s="2" t="str">
        <f t="shared" si="59"/>
        <v/>
      </c>
      <c r="D351" s="6" t="str">
        <f t="shared" si="62"/>
        <v/>
      </c>
      <c r="E351" s="6" t="str">
        <f t="shared" si="63"/>
        <v/>
      </c>
      <c r="F351" s="6" t="str">
        <f t="shared" si="64"/>
        <v/>
      </c>
      <c r="G351" s="6" t="str">
        <f t="shared" si="65"/>
        <v/>
      </c>
      <c r="H351" s="6" t="str">
        <f t="shared" si="66"/>
        <v/>
      </c>
      <c r="I351" s="6" t="str">
        <f t="shared" si="67"/>
        <v/>
      </c>
      <c r="J351" s="6" t="str">
        <f t="shared" si="68"/>
        <v/>
      </c>
    </row>
    <row r="352" spans="1:10" x14ac:dyDescent="0.25">
      <c r="A352" t="str">
        <f t="shared" si="60"/>
        <v/>
      </c>
      <c r="B352" s="2" t="str">
        <f t="shared" si="61"/>
        <v/>
      </c>
      <c r="C352" s="2" t="str">
        <f t="shared" si="59"/>
        <v/>
      </c>
      <c r="D352" s="6" t="str">
        <f t="shared" si="62"/>
        <v/>
      </c>
      <c r="E352" s="6" t="str">
        <f t="shared" si="63"/>
        <v/>
      </c>
      <c r="F352" s="6" t="str">
        <f t="shared" si="64"/>
        <v/>
      </c>
      <c r="G352" s="6" t="str">
        <f t="shared" si="65"/>
        <v/>
      </c>
      <c r="H352" s="6" t="str">
        <f t="shared" si="66"/>
        <v/>
      </c>
      <c r="I352" s="6" t="str">
        <f t="shared" si="67"/>
        <v/>
      </c>
      <c r="J352" s="6" t="str">
        <f t="shared" si="68"/>
        <v/>
      </c>
    </row>
    <row r="353" spans="1:10" x14ac:dyDescent="0.25">
      <c r="A353" t="str">
        <f t="shared" si="60"/>
        <v/>
      </c>
      <c r="B353" s="2" t="str">
        <f t="shared" si="61"/>
        <v/>
      </c>
      <c r="C353" s="2" t="str">
        <f t="shared" si="59"/>
        <v/>
      </c>
      <c r="D353" s="6" t="str">
        <f t="shared" si="62"/>
        <v/>
      </c>
      <c r="E353" s="6" t="str">
        <f t="shared" si="63"/>
        <v/>
      </c>
      <c r="F353" s="6" t="str">
        <f t="shared" si="64"/>
        <v/>
      </c>
      <c r="G353" s="6" t="str">
        <f t="shared" si="65"/>
        <v/>
      </c>
      <c r="H353" s="6" t="str">
        <f t="shared" si="66"/>
        <v/>
      </c>
      <c r="I353" s="6" t="str">
        <f t="shared" si="67"/>
        <v/>
      </c>
      <c r="J353" s="6" t="str">
        <f t="shared" si="68"/>
        <v/>
      </c>
    </row>
    <row r="354" spans="1:10" x14ac:dyDescent="0.25">
      <c r="A354" t="str">
        <f t="shared" si="60"/>
        <v/>
      </c>
      <c r="B354" s="2" t="str">
        <f t="shared" si="61"/>
        <v/>
      </c>
      <c r="C354" s="2" t="str">
        <f t="shared" si="59"/>
        <v/>
      </c>
      <c r="D354" s="6" t="str">
        <f t="shared" si="62"/>
        <v/>
      </c>
      <c r="E354" s="6" t="str">
        <f t="shared" si="63"/>
        <v/>
      </c>
      <c r="F354" s="6" t="str">
        <f t="shared" si="64"/>
        <v/>
      </c>
      <c r="G354" s="6" t="str">
        <f t="shared" si="65"/>
        <v/>
      </c>
      <c r="H354" s="6" t="str">
        <f t="shared" si="66"/>
        <v/>
      </c>
      <c r="I354" s="6" t="str">
        <f t="shared" si="67"/>
        <v/>
      </c>
      <c r="J354" s="6" t="str">
        <f t="shared" si="68"/>
        <v/>
      </c>
    </row>
    <row r="355" spans="1:10" x14ac:dyDescent="0.25">
      <c r="A355" t="str">
        <f t="shared" si="60"/>
        <v/>
      </c>
      <c r="B355" s="2" t="str">
        <f t="shared" si="61"/>
        <v/>
      </c>
      <c r="C355" s="2" t="str">
        <f t="shared" si="59"/>
        <v/>
      </c>
      <c r="D355" s="6" t="str">
        <f t="shared" si="62"/>
        <v/>
      </c>
      <c r="E355" s="6" t="str">
        <f t="shared" si="63"/>
        <v/>
      </c>
      <c r="F355" s="6" t="str">
        <f t="shared" si="64"/>
        <v/>
      </c>
      <c r="G355" s="6" t="str">
        <f t="shared" si="65"/>
        <v/>
      </c>
      <c r="H355" s="6" t="str">
        <f t="shared" si="66"/>
        <v/>
      </c>
      <c r="I355" s="6" t="str">
        <f t="shared" si="67"/>
        <v/>
      </c>
      <c r="J355" s="6" t="str">
        <f t="shared" si="68"/>
        <v/>
      </c>
    </row>
    <row r="356" spans="1:10" x14ac:dyDescent="0.25">
      <c r="A356" t="str">
        <f t="shared" si="60"/>
        <v/>
      </c>
      <c r="B356" s="2" t="str">
        <f t="shared" si="61"/>
        <v/>
      </c>
      <c r="C356" s="2" t="str">
        <f t="shared" si="59"/>
        <v/>
      </c>
      <c r="D356" s="6" t="str">
        <f t="shared" si="62"/>
        <v/>
      </c>
      <c r="E356" s="6" t="str">
        <f t="shared" si="63"/>
        <v/>
      </c>
      <c r="F356" s="6" t="str">
        <f t="shared" si="64"/>
        <v/>
      </c>
      <c r="G356" s="6" t="str">
        <f t="shared" si="65"/>
        <v/>
      </c>
      <c r="H356" s="6" t="str">
        <f t="shared" si="66"/>
        <v/>
      </c>
      <c r="I356" s="6" t="str">
        <f t="shared" si="67"/>
        <v/>
      </c>
      <c r="J356" s="6" t="str">
        <f t="shared" si="68"/>
        <v/>
      </c>
    </row>
    <row r="357" spans="1:10" x14ac:dyDescent="0.25">
      <c r="A357" t="str">
        <f t="shared" si="60"/>
        <v/>
      </c>
      <c r="B357" s="2" t="str">
        <f t="shared" si="61"/>
        <v/>
      </c>
      <c r="C357" s="2" t="str">
        <f t="shared" si="59"/>
        <v/>
      </c>
      <c r="D357" s="6" t="str">
        <f t="shared" si="62"/>
        <v/>
      </c>
      <c r="E357" s="6" t="str">
        <f t="shared" si="63"/>
        <v/>
      </c>
      <c r="F357" s="6" t="str">
        <f t="shared" si="64"/>
        <v/>
      </c>
      <c r="G357" s="6" t="str">
        <f t="shared" si="65"/>
        <v/>
      </c>
      <c r="H357" s="6" t="str">
        <f t="shared" si="66"/>
        <v/>
      </c>
      <c r="I357" s="6" t="str">
        <f t="shared" si="67"/>
        <v/>
      </c>
      <c r="J357" s="6" t="str">
        <f t="shared" si="68"/>
        <v/>
      </c>
    </row>
    <row r="358" spans="1:10" x14ac:dyDescent="0.25">
      <c r="A358" t="str">
        <f t="shared" si="60"/>
        <v/>
      </c>
      <c r="B358" s="2" t="str">
        <f t="shared" si="61"/>
        <v/>
      </c>
      <c r="C358" s="2" t="str">
        <f t="shared" si="59"/>
        <v/>
      </c>
      <c r="D358" s="6" t="str">
        <f t="shared" si="62"/>
        <v/>
      </c>
      <c r="E358" s="6" t="str">
        <f t="shared" si="63"/>
        <v/>
      </c>
      <c r="F358" s="6" t="str">
        <f t="shared" si="64"/>
        <v/>
      </c>
      <c r="G358" s="6" t="str">
        <f t="shared" si="65"/>
        <v/>
      </c>
      <c r="H358" s="6" t="str">
        <f t="shared" si="66"/>
        <v/>
      </c>
      <c r="I358" s="6" t="str">
        <f t="shared" si="67"/>
        <v/>
      </c>
      <c r="J358" s="6" t="str">
        <f t="shared" si="68"/>
        <v/>
      </c>
    </row>
    <row r="359" spans="1:10" x14ac:dyDescent="0.25">
      <c r="A359" t="str">
        <f t="shared" si="60"/>
        <v/>
      </c>
      <c r="B359" s="2" t="str">
        <f t="shared" si="61"/>
        <v/>
      </c>
      <c r="C359" s="2" t="str">
        <f t="shared" si="59"/>
        <v/>
      </c>
      <c r="D359" s="6" t="str">
        <f t="shared" si="62"/>
        <v/>
      </c>
      <c r="E359" s="6" t="str">
        <f t="shared" si="63"/>
        <v/>
      </c>
      <c r="F359" s="6" t="str">
        <f t="shared" si="64"/>
        <v/>
      </c>
      <c r="G359" s="6" t="str">
        <f t="shared" si="65"/>
        <v/>
      </c>
      <c r="H359" s="6" t="str">
        <f t="shared" si="66"/>
        <v/>
      </c>
      <c r="I359" s="6" t="str">
        <f t="shared" si="67"/>
        <v/>
      </c>
      <c r="J359" s="6" t="str">
        <f t="shared" si="68"/>
        <v/>
      </c>
    </row>
    <row r="360" spans="1:10" x14ac:dyDescent="0.25">
      <c r="A360" t="str">
        <f t="shared" si="60"/>
        <v/>
      </c>
      <c r="B360" s="2" t="str">
        <f t="shared" si="61"/>
        <v/>
      </c>
      <c r="C360" s="2" t="str">
        <f t="shared" si="59"/>
        <v/>
      </c>
      <c r="D360" s="6" t="str">
        <f t="shared" si="62"/>
        <v/>
      </c>
      <c r="E360" s="6" t="str">
        <f t="shared" si="63"/>
        <v/>
      </c>
      <c r="F360" s="6" t="str">
        <f t="shared" si="64"/>
        <v/>
      </c>
      <c r="G360" s="6" t="str">
        <f t="shared" si="65"/>
        <v/>
      </c>
      <c r="H360" s="6" t="str">
        <f t="shared" si="66"/>
        <v/>
      </c>
      <c r="I360" s="6" t="str">
        <f t="shared" si="67"/>
        <v/>
      </c>
      <c r="J360" s="6" t="str">
        <f t="shared" si="68"/>
        <v/>
      </c>
    </row>
    <row r="361" spans="1:10" x14ac:dyDescent="0.25">
      <c r="A361" t="str">
        <f t="shared" si="60"/>
        <v/>
      </c>
      <c r="B361" s="2" t="str">
        <f t="shared" si="61"/>
        <v/>
      </c>
      <c r="C361" s="2" t="str">
        <f t="shared" si="59"/>
        <v/>
      </c>
      <c r="D361" s="6" t="str">
        <f t="shared" si="62"/>
        <v/>
      </c>
      <c r="E361" s="6" t="str">
        <f t="shared" si="63"/>
        <v/>
      </c>
      <c r="F361" s="6" t="str">
        <f t="shared" si="64"/>
        <v/>
      </c>
      <c r="G361" s="6" t="str">
        <f t="shared" si="65"/>
        <v/>
      </c>
      <c r="H361" s="6" t="str">
        <f t="shared" si="66"/>
        <v/>
      </c>
      <c r="I361" s="6" t="str">
        <f t="shared" si="67"/>
        <v/>
      </c>
      <c r="J361" s="6" t="str">
        <f t="shared" si="68"/>
        <v/>
      </c>
    </row>
    <row r="362" spans="1:10" x14ac:dyDescent="0.25">
      <c r="A362" t="str">
        <f t="shared" si="60"/>
        <v/>
      </c>
      <c r="B362" s="2" t="str">
        <f t="shared" si="61"/>
        <v/>
      </c>
      <c r="C362" s="2" t="str">
        <f t="shared" si="59"/>
        <v/>
      </c>
      <c r="D362" s="6" t="str">
        <f t="shared" si="62"/>
        <v/>
      </c>
      <c r="E362" s="6" t="str">
        <f t="shared" si="63"/>
        <v/>
      </c>
      <c r="F362" s="6" t="str">
        <f t="shared" si="64"/>
        <v/>
      </c>
      <c r="G362" s="6" t="str">
        <f t="shared" si="65"/>
        <v/>
      </c>
      <c r="H362" s="6" t="str">
        <f t="shared" si="66"/>
        <v/>
      </c>
      <c r="I362" s="6" t="str">
        <f t="shared" si="67"/>
        <v/>
      </c>
      <c r="J362" s="6" t="str">
        <f t="shared" si="68"/>
        <v/>
      </c>
    </row>
    <row r="363" spans="1:10" x14ac:dyDescent="0.25">
      <c r="A363" t="str">
        <f t="shared" si="60"/>
        <v/>
      </c>
      <c r="B363" s="2" t="str">
        <f t="shared" si="61"/>
        <v/>
      </c>
      <c r="C363" s="2" t="str">
        <f t="shared" si="59"/>
        <v/>
      </c>
      <c r="D363" s="6" t="str">
        <f t="shared" si="62"/>
        <v/>
      </c>
      <c r="E363" s="6" t="str">
        <f t="shared" si="63"/>
        <v/>
      </c>
      <c r="F363" s="6" t="str">
        <f t="shared" si="64"/>
        <v/>
      </c>
      <c r="G363" s="6" t="str">
        <f t="shared" si="65"/>
        <v/>
      </c>
      <c r="H363" s="6" t="str">
        <f t="shared" si="66"/>
        <v/>
      </c>
      <c r="I363" s="6" t="str">
        <f t="shared" si="67"/>
        <v/>
      </c>
      <c r="J363" s="6" t="str">
        <f t="shared" si="68"/>
        <v/>
      </c>
    </row>
    <row r="364" spans="1:10" x14ac:dyDescent="0.25">
      <c r="A364" t="str">
        <f t="shared" si="60"/>
        <v/>
      </c>
      <c r="B364" s="2" t="str">
        <f t="shared" si="61"/>
        <v/>
      </c>
      <c r="C364" s="2" t="str">
        <f t="shared" si="59"/>
        <v/>
      </c>
      <c r="D364" s="6" t="str">
        <f t="shared" si="62"/>
        <v/>
      </c>
      <c r="E364" s="6" t="str">
        <f t="shared" si="63"/>
        <v/>
      </c>
      <c r="F364" s="6" t="str">
        <f t="shared" si="64"/>
        <v/>
      </c>
      <c r="G364" s="6" t="str">
        <f t="shared" si="65"/>
        <v/>
      </c>
      <c r="H364" s="6" t="str">
        <f t="shared" si="66"/>
        <v/>
      </c>
      <c r="I364" s="6" t="str">
        <f t="shared" si="67"/>
        <v/>
      </c>
      <c r="J364" s="6" t="str">
        <f t="shared" si="68"/>
        <v/>
      </c>
    </row>
    <row r="365" spans="1:10" x14ac:dyDescent="0.25">
      <c r="A365" t="str">
        <f t="shared" si="60"/>
        <v/>
      </c>
      <c r="B365" s="2" t="str">
        <f t="shared" si="61"/>
        <v/>
      </c>
      <c r="C365" s="2" t="str">
        <f t="shared" si="59"/>
        <v/>
      </c>
      <c r="D365" s="6" t="str">
        <f t="shared" si="62"/>
        <v/>
      </c>
      <c r="E365" s="6" t="str">
        <f t="shared" si="63"/>
        <v/>
      </c>
      <c r="F365" s="6" t="str">
        <f t="shared" si="64"/>
        <v/>
      </c>
      <c r="G365" s="6" t="str">
        <f t="shared" si="65"/>
        <v/>
      </c>
      <c r="H365" s="6" t="str">
        <f t="shared" si="66"/>
        <v/>
      </c>
      <c r="I365" s="6" t="str">
        <f t="shared" si="67"/>
        <v/>
      </c>
      <c r="J365" s="6" t="str">
        <f t="shared" si="68"/>
        <v/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"/>
  <sheetViews>
    <sheetView workbookViewId="0">
      <selection activeCell="F22" sqref="F2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Inputs</vt:lpstr>
      <vt:lpstr>Decreasing installments</vt:lpstr>
      <vt:lpstr>Annuite</vt:lpstr>
      <vt:lpstr>Graphs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2014-11-11T13:19:51Z</dcterms:created>
  <dcterms:modified xsi:type="dcterms:W3CDTF">2014-11-12T07:52:26Z</dcterms:modified>
</cp:coreProperties>
</file>