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en_skoroszyt" defaultThemeVersion="124226"/>
  <bookViews>
    <workbookView xWindow="240" yWindow="105" windowWidth="8790" windowHeight="8010"/>
  </bookViews>
  <sheets>
    <sheet name="Arkusz1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D36" i="1" l="1"/>
  <c r="D40" i="1"/>
  <c r="D44" i="1"/>
  <c r="D37" i="1"/>
  <c r="D41" i="1"/>
  <c r="D38" i="1"/>
  <c r="D42" i="1"/>
  <c r="D39" i="1"/>
  <c r="D43" i="1"/>
  <c r="D35" i="1"/>
  <c r="F6" i="1"/>
  <c r="G6" i="1"/>
  <c r="D17" i="1"/>
  <c r="B18" i="1" l="1"/>
  <c r="A19" i="1"/>
  <c r="A20" i="1"/>
  <c r="A21" i="1"/>
  <c r="A22" i="1"/>
  <c r="A23" i="1"/>
  <c r="A24" i="1"/>
  <c r="A25" i="1"/>
  <c r="A26" i="1"/>
  <c r="D18" i="1"/>
  <c r="C36" i="1" l="1"/>
  <c r="C37" i="1"/>
  <c r="C38" i="1"/>
  <c r="C39" i="1"/>
  <c r="C40" i="1"/>
  <c r="C41" i="1"/>
  <c r="C42" i="1"/>
  <c r="C43" i="1"/>
  <c r="C44" i="1"/>
  <c r="C35" i="1"/>
  <c r="B19" i="1"/>
  <c r="B20" i="1"/>
  <c r="B21" i="1"/>
  <c r="B22" i="1"/>
  <c r="B23" i="1"/>
  <c r="B24" i="1"/>
  <c r="B25" i="1"/>
  <c r="B26" i="1"/>
  <c r="C17" i="1"/>
  <c r="B3" i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C2" i="1"/>
  <c r="B2" i="1"/>
  <c r="D21" i="1"/>
  <c r="D25" i="1"/>
  <c r="D26" i="1"/>
  <c r="D24" i="1"/>
  <c r="D22" i="1"/>
  <c r="D20" i="1"/>
  <c r="D19" i="1"/>
  <c r="D23" i="1"/>
  <c r="C25" i="1" l="1"/>
  <c r="C19" i="1"/>
  <c r="C23" i="1"/>
  <c r="C21" i="1"/>
  <c r="C26" i="1"/>
  <c r="C24" i="1"/>
  <c r="C22" i="1"/>
  <c r="C20" i="1"/>
  <c r="C18" i="1"/>
</calcChain>
</file>

<file path=xl/sharedStrings.xml><?xml version="1.0" encoding="utf-8"?>
<sst xmlns="http://schemas.openxmlformats.org/spreadsheetml/2006/main" count="15" uniqueCount="15">
  <si>
    <t>Number</t>
  </si>
  <si>
    <t>Total number</t>
  </si>
  <si>
    <t>Rounding to snd digit</t>
  </si>
  <si>
    <t>Number to rounding:</t>
  </si>
  <si>
    <t>V1</t>
  </si>
  <si>
    <t>V2</t>
  </si>
  <si>
    <t>Max Build</t>
  </si>
  <si>
    <t>Max VBA</t>
  </si>
  <si>
    <t>R Nominal</t>
  </si>
  <si>
    <t>m periodes in 1 year</t>
  </si>
  <si>
    <t>Effective R</t>
  </si>
  <si>
    <t>On Click</t>
  </si>
  <si>
    <t>RoundNumber3</t>
  </si>
  <si>
    <t>RoundNumber</t>
  </si>
  <si>
    <t>Effective R (VBA)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</si>
</sst>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%"/>
  </numFmts>
  <fonts count="2" x14ac:knownFonts="1">
    <font>
      <sz val="11"/>
      <color theme="1"/>
      <name val="Calibri"/>
      <family val="2"/>
      <scheme val="minor"/>
    </font>
    <font>
      <sz val="11"/>
      <color indexed="61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10" fontId="0" fillId="0" borderId="0" xfId="0" applyNumberFormat="1"/>
    <xf numFmtId="164" fontId="0" fillId="0" borderId="0" xfId="0" applyNumberFormat="1"/>
    <xf numFmtId="0" fontId="0" fillId="0" borderId="0" xfId="0" applyBorder="1"/>
  </cellXfs>
  <cellStyles count="1">
    <cellStyle name="Normalny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1219200</xdr:colOff>
          <xdr:row>0</xdr:row>
          <xdr:rowOff>152400</xdr:rowOff>
        </xdr:from>
        <xdr:to>
          <xdr:col>11</xdr:col>
          <xdr:colOff>28575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3366"/>
                  </a:solidFill>
                  <a:latin typeface="Calibri"/>
                </a:rPr>
                <a:t>Round number in cell G3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14</xdr:row>
          <xdr:rowOff>28575</xdr:rowOff>
        </xdr:from>
        <xdr:to>
          <xdr:col>10</xdr:col>
          <xdr:colOff>485775</xdr:colOff>
          <xdr:row>16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Bordering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14</xdr:row>
          <xdr:rowOff>57150</xdr:rowOff>
        </xdr:from>
        <xdr:to>
          <xdr:col>12</xdr:col>
          <xdr:colOff>581025</xdr:colOff>
          <xdr:row>16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Toggle Borders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K44"/>
  <sheetViews>
    <sheetView tabSelected="1" workbookViewId="0">
      <selection activeCell="G15" sqref="G15"/>
    </sheetView>
  </sheetViews>
  <sheetFormatPr defaultRowHeight="15" x14ac:dyDescent="0.25"/>
  <cols>
    <col min="2" max="2" width="19.140625" bestFit="1" customWidth="1"/>
    <col min="3" max="3" width="20" bestFit="1" customWidth="1"/>
    <col min="4" max="4" width="16.28515625" customWidth="1"/>
    <col min="5" max="5" width="9.85546875" bestFit="1" customWidth="1"/>
    <col min="7" max="7" width="19.85546875" bestFit="1" customWidth="1"/>
    <col min="8" max="8" width="22.140625" customWidth="1"/>
  </cols>
  <sheetData>
    <row r="1" spans="1:8" x14ac:dyDescent="0.25">
      <c r="A1" t="s">
        <v>0</v>
      </c>
      <c r="B1" t="s">
        <v>1</v>
      </c>
      <c r="C1" t="s">
        <v>2</v>
      </c>
    </row>
    <row r="2" spans="1:8" x14ac:dyDescent="0.25">
      <c r="A2">
        <v>1.11111111111</v>
      </c>
      <c r="B2">
        <f>TRUNC(A2)</f>
        <v>1</v>
      </c>
      <c r="C2">
        <f>ROUND(A2,2)</f>
        <v>1.1100000000000001</v>
      </c>
      <c r="G2" t="s">
        <v>3</v>
      </c>
    </row>
    <row r="3" spans="1:8" x14ac:dyDescent="0.25">
      <c r="A3">
        <v>1.2222222220000001</v>
      </c>
      <c r="B3">
        <f t="shared" ref="B3:B12" si="0">TRUNC(A3)</f>
        <v>1</v>
      </c>
      <c r="C3">
        <f t="shared" ref="C3:C12" si="1">ROUND(A3,2)</f>
        <v>1.22</v>
      </c>
      <c r="G3" s="1">
        <v>3.0376876876000001</v>
      </c>
    </row>
    <row r="4" spans="1:8" x14ac:dyDescent="0.25">
      <c r="A4">
        <v>1.3333333328899999</v>
      </c>
      <c r="B4">
        <f t="shared" si="0"/>
        <v>1</v>
      </c>
      <c r="C4">
        <f t="shared" si="1"/>
        <v>1.33</v>
      </c>
    </row>
    <row r="5" spans="1:8" x14ac:dyDescent="0.25">
      <c r="A5">
        <v>1.4444444437799999</v>
      </c>
      <c r="B5">
        <f t="shared" si="0"/>
        <v>1</v>
      </c>
      <c r="C5">
        <f t="shared" si="1"/>
        <v>1.44</v>
      </c>
      <c r="F5" t="s">
        <v>12</v>
      </c>
      <c r="G5" t="s">
        <v>13</v>
      </c>
      <c r="H5" t="s">
        <v>11</v>
      </c>
    </row>
    <row r="6" spans="1:8" x14ac:dyDescent="0.25">
      <c r="A6">
        <v>1.55555555467</v>
      </c>
      <c r="B6">
        <f t="shared" si="0"/>
        <v>1</v>
      </c>
      <c r="C6">
        <f t="shared" si="1"/>
        <v>1.56</v>
      </c>
      <c r="F6">
        <f>RoundNumber3(G3)</f>
        <v>3.0379999999999998</v>
      </c>
      <c r="G6">
        <f>RoundNumber(G3)</f>
        <v>3.04</v>
      </c>
      <c r="H6">
        <v>3.04</v>
      </c>
    </row>
    <row r="7" spans="1:8" x14ac:dyDescent="0.25">
      <c r="A7">
        <v>1.66666666556</v>
      </c>
      <c r="B7">
        <f t="shared" si="0"/>
        <v>1</v>
      </c>
      <c r="C7">
        <f t="shared" si="1"/>
        <v>1.67</v>
      </c>
    </row>
    <row r="8" spans="1:8" x14ac:dyDescent="0.25">
      <c r="A8">
        <v>1.77777777645</v>
      </c>
      <c r="B8">
        <f t="shared" si="0"/>
        <v>1</v>
      </c>
      <c r="C8">
        <f t="shared" si="1"/>
        <v>1.78</v>
      </c>
    </row>
    <row r="9" spans="1:8" x14ac:dyDescent="0.25">
      <c r="A9">
        <v>1.88888888734</v>
      </c>
      <c r="B9">
        <f t="shared" si="0"/>
        <v>1</v>
      </c>
      <c r="C9">
        <f t="shared" si="1"/>
        <v>1.89</v>
      </c>
    </row>
    <row r="10" spans="1:8" x14ac:dyDescent="0.25">
      <c r="A10">
        <v>1.9999999982300001</v>
      </c>
      <c r="B10">
        <f t="shared" si="0"/>
        <v>1</v>
      </c>
      <c r="C10">
        <f t="shared" si="1"/>
        <v>2</v>
      </c>
    </row>
    <row r="11" spans="1:8" x14ac:dyDescent="0.25">
      <c r="A11">
        <v>2.1111111091199999</v>
      </c>
      <c r="B11">
        <f t="shared" si="0"/>
        <v>2</v>
      </c>
      <c r="C11">
        <f t="shared" si="1"/>
        <v>2.11</v>
      </c>
    </row>
    <row r="12" spans="1:8" x14ac:dyDescent="0.25">
      <c r="A12">
        <v>2.2222222200099999</v>
      </c>
      <c r="B12">
        <f t="shared" si="0"/>
        <v>2</v>
      </c>
      <c r="C12">
        <f t="shared" si="1"/>
        <v>2.2200000000000002</v>
      </c>
    </row>
    <row r="16" spans="1:8" x14ac:dyDescent="0.25">
      <c r="A16" t="s">
        <v>4</v>
      </c>
      <c r="B16" t="s">
        <v>5</v>
      </c>
      <c r="C16" t="s">
        <v>6</v>
      </c>
      <c r="D16" t="s">
        <v>7</v>
      </c>
      <c r="H16" s="4"/>
    </row>
    <row r="17" spans="1:11" x14ac:dyDescent="0.25">
      <c r="A17">
        <v>2</v>
      </c>
      <c r="B17">
        <v>1</v>
      </c>
      <c r="C17">
        <f>MAX(A17,B17)</f>
        <v>2</v>
      </c>
      <c r="D17">
        <f>MaxVBA(A17,B17)</f>
        <v>2</v>
      </c>
    </row>
    <row r="18" spans="1:11" x14ac:dyDescent="0.25">
      <c r="A18">
        <v>1</v>
      </c>
      <c r="B18">
        <f ca="1">RANDBETWEEN(0,10)</f>
        <v>8</v>
      </c>
      <c r="C18">
        <f t="shared" ref="C18:C26" ca="1" si="2">MAX(A18,B18)</f>
        <v>8</v>
      </c>
      <c r="D18">
        <f t="shared" ref="D18:D26" ca="1" si="3">MaxVBA(A18,B18)</f>
        <v>8</v>
      </c>
    </row>
    <row r="19" spans="1:11" x14ac:dyDescent="0.25">
      <c r="A19">
        <f t="shared" ref="A19:A26" ca="1" si="4">RAND() *10</f>
        <v>1.1903857306449206</v>
      </c>
      <c r="B19">
        <f t="shared" ref="B19:B26" ca="1" si="5">RANDBETWEEN(0,10)</f>
        <v>1</v>
      </c>
      <c r="C19">
        <f t="shared" ca="1" si="2"/>
        <v>1.1903857306449206</v>
      </c>
      <c r="D19">
        <f t="shared" ca="1" si="3"/>
        <v>1.1903857306449206</v>
      </c>
    </row>
    <row r="20" spans="1:11" x14ac:dyDescent="0.25">
      <c r="A20">
        <f t="shared" ca="1" si="4"/>
        <v>2.5693636432759925</v>
      </c>
      <c r="B20">
        <f t="shared" ca="1" si="5"/>
        <v>4</v>
      </c>
      <c r="C20">
        <f t="shared" ca="1" si="2"/>
        <v>4</v>
      </c>
      <c r="D20">
        <f t="shared" ca="1" si="3"/>
        <v>4</v>
      </c>
    </row>
    <row r="21" spans="1:11" x14ac:dyDescent="0.25">
      <c r="A21">
        <f t="shared" ca="1" si="4"/>
        <v>9.0166946569442707</v>
      </c>
      <c r="B21">
        <f t="shared" ca="1" si="5"/>
        <v>4</v>
      </c>
      <c r="C21">
        <f t="shared" ca="1" si="2"/>
        <v>9.0166946569442707</v>
      </c>
      <c r="D21">
        <f t="shared" ca="1" si="3"/>
        <v>9.0166946569442707</v>
      </c>
      <c r="G21" s="4"/>
      <c r="H21" s="4"/>
      <c r="I21" s="4"/>
      <c r="J21" s="4"/>
      <c r="K21" s="4"/>
    </row>
    <row r="22" spans="1:11" x14ac:dyDescent="0.25">
      <c r="A22">
        <f t="shared" ca="1" si="4"/>
        <v>0.3901065269539139</v>
      </c>
      <c r="B22">
        <f t="shared" ca="1" si="5"/>
        <v>9</v>
      </c>
      <c r="C22">
        <f t="shared" ca="1" si="2"/>
        <v>9</v>
      </c>
      <c r="D22">
        <f t="shared" ca="1" si="3"/>
        <v>9</v>
      </c>
      <c r="G22" s="4"/>
      <c r="H22" s="4"/>
      <c r="I22" s="4"/>
      <c r="J22" s="4"/>
      <c r="K22" s="4"/>
    </row>
    <row r="23" spans="1:11" x14ac:dyDescent="0.25">
      <c r="A23">
        <f t="shared" ca="1" si="4"/>
        <v>6.1150733298751643</v>
      </c>
      <c r="B23">
        <f t="shared" ca="1" si="5"/>
        <v>0</v>
      </c>
      <c r="C23">
        <f t="shared" ca="1" si="2"/>
        <v>6.1150733298751643</v>
      </c>
      <c r="D23">
        <f t="shared" ca="1" si="3"/>
        <v>6.1150733298751643</v>
      </c>
      <c r="G23" s="4"/>
      <c r="H23" s="4"/>
      <c r="I23" s="4"/>
      <c r="J23" s="4"/>
      <c r="K23" s="4"/>
    </row>
    <row r="24" spans="1:11" x14ac:dyDescent="0.25">
      <c r="A24">
        <f t="shared" ca="1" si="4"/>
        <v>5.9004582977424018</v>
      </c>
      <c r="B24">
        <f t="shared" ca="1" si="5"/>
        <v>1</v>
      </c>
      <c r="C24">
        <f t="shared" ca="1" si="2"/>
        <v>5.9004582977424018</v>
      </c>
      <c r="D24">
        <f t="shared" ca="1" si="3"/>
        <v>5.9004582977424018</v>
      </c>
      <c r="G24" s="4"/>
      <c r="H24" s="4"/>
      <c r="I24" s="4"/>
      <c r="J24" s="4"/>
      <c r="K24" s="4"/>
    </row>
    <row r="25" spans="1:11" x14ac:dyDescent="0.25">
      <c r="A25">
        <f t="shared" ca="1" si="4"/>
        <v>5.7643242841497049</v>
      </c>
      <c r="B25">
        <f t="shared" ca="1" si="5"/>
        <v>5</v>
      </c>
      <c r="C25">
        <f t="shared" ca="1" si="2"/>
        <v>5.7643242841497049</v>
      </c>
      <c r="D25">
        <f t="shared" ca="1" si="3"/>
        <v>5.7643242841497049</v>
      </c>
      <c r="G25" s="4"/>
      <c r="H25" s="4"/>
      <c r="I25" s="4"/>
      <c r="J25" s="4"/>
      <c r="K25" s="4"/>
    </row>
    <row r="26" spans="1:11" x14ac:dyDescent="0.25">
      <c r="A26">
        <f t="shared" ca="1" si="4"/>
        <v>3.9770608570114865</v>
      </c>
      <c r="B26">
        <f t="shared" ca="1" si="5"/>
        <v>9</v>
      </c>
      <c r="C26">
        <f t="shared" ca="1" si="2"/>
        <v>9</v>
      </c>
      <c r="D26">
        <f t="shared" ca="1" si="3"/>
        <v>9</v>
      </c>
      <c r="G26" s="4"/>
      <c r="H26" s="4"/>
      <c r="I26" s="4"/>
    </row>
    <row r="34" spans="1:4" x14ac:dyDescent="0.25">
      <c r="A34" t="s">
        <v>8</v>
      </c>
      <c r="B34" t="s">
        <v>9</v>
      </c>
      <c r="C34" t="s">
        <v>10</v>
      </c>
      <c r="D34" t="s">
        <v>14</v>
      </c>
    </row>
    <row r="35" spans="1:4" x14ac:dyDescent="0.25">
      <c r="A35" s="2">
        <v>0.1</v>
      </c>
      <c r="B35">
        <v>1</v>
      </c>
      <c r="C35" s="3">
        <f>( 1 + A35/B35)^B35 -1</f>
        <v>0.10000000000000009</v>
      </c>
      <c r="D35" s="3">
        <f>EffectiveRVBA(B35,A35)</f>
        <v>0.10000000000000009</v>
      </c>
    </row>
    <row r="36" spans="1:4" x14ac:dyDescent="0.25">
      <c r="A36" s="2">
        <v>0.1</v>
      </c>
      <c r="B36">
        <v>2</v>
      </c>
      <c r="C36" s="3">
        <f t="shared" ref="C36:C44" si="6">( 1 + A36/B36)^B36 -1</f>
        <v>0.10250000000000004</v>
      </c>
      <c r="D36" s="3">
        <f t="shared" ref="D36:D44" si="7">EffectiveRVBA(B36,A36)</f>
        <v>0.10250000000000004</v>
      </c>
    </row>
    <row r="37" spans="1:4" x14ac:dyDescent="0.25">
      <c r="A37" s="2">
        <v>0.1</v>
      </c>
      <c r="B37">
        <v>3</v>
      </c>
      <c r="C37" s="3">
        <f t="shared" si="6"/>
        <v>0.10337037037037056</v>
      </c>
      <c r="D37" s="3">
        <f t="shared" si="7"/>
        <v>0.10337037037037078</v>
      </c>
    </row>
    <row r="38" spans="1:4" x14ac:dyDescent="0.25">
      <c r="A38" s="2">
        <v>0.1</v>
      </c>
      <c r="B38">
        <v>4</v>
      </c>
      <c r="C38" s="3">
        <f t="shared" si="6"/>
        <v>0.10381289062499977</v>
      </c>
      <c r="D38" s="3">
        <f t="shared" si="7"/>
        <v>0.10381289062499954</v>
      </c>
    </row>
    <row r="39" spans="1:4" x14ac:dyDescent="0.25">
      <c r="A39" s="2">
        <v>0.1</v>
      </c>
      <c r="B39">
        <v>6</v>
      </c>
      <c r="C39" s="3">
        <f t="shared" si="6"/>
        <v>0.1042604244041494</v>
      </c>
      <c r="D39" s="3">
        <f t="shared" si="7"/>
        <v>0.10426042440414918</v>
      </c>
    </row>
    <row r="40" spans="1:4" x14ac:dyDescent="0.25">
      <c r="A40" s="2">
        <v>0.1</v>
      </c>
      <c r="B40">
        <v>12</v>
      </c>
      <c r="C40" s="3">
        <f t="shared" si="6"/>
        <v>0.10471306744129683</v>
      </c>
      <c r="D40" s="3">
        <f t="shared" si="7"/>
        <v>0.10471306744129683</v>
      </c>
    </row>
    <row r="41" spans="1:4" x14ac:dyDescent="0.25">
      <c r="A41" s="2">
        <v>0.1</v>
      </c>
      <c r="B41">
        <v>52</v>
      </c>
      <c r="C41" s="3">
        <f t="shared" si="6"/>
        <v>0.10506479277976588</v>
      </c>
      <c r="D41" s="3">
        <f t="shared" si="7"/>
        <v>0.1050647927797661</v>
      </c>
    </row>
    <row r="42" spans="1:4" x14ac:dyDescent="0.25">
      <c r="A42" s="2">
        <v>0.1</v>
      </c>
      <c r="B42">
        <v>180</v>
      </c>
      <c r="C42" s="3">
        <f t="shared" si="6"/>
        <v>0.10514023067489542</v>
      </c>
      <c r="D42" s="3">
        <f t="shared" si="7"/>
        <v>0.10514023067488987</v>
      </c>
    </row>
    <row r="43" spans="1:4" x14ac:dyDescent="0.25">
      <c r="A43" s="2">
        <v>0.1</v>
      </c>
      <c r="B43">
        <v>360</v>
      </c>
      <c r="C43" s="3">
        <f t="shared" si="6"/>
        <v>0.10515557142805809</v>
      </c>
      <c r="D43" s="3">
        <f t="shared" si="7"/>
        <v>0.10515557142806076</v>
      </c>
    </row>
    <row r="44" spans="1:4" x14ac:dyDescent="0.25">
      <c r="A44" s="2">
        <v>0.1</v>
      </c>
      <c r="B44">
        <v>365</v>
      </c>
      <c r="C44" s="3">
        <f t="shared" si="6"/>
        <v>0.10515578161622718</v>
      </c>
      <c r="D44" s="3">
        <f t="shared" si="7"/>
        <v>0.10515578161623251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oundNumber_click">
                <anchor moveWithCells="1" sizeWithCells="1">
                  <from>
                    <xdr:col>7</xdr:col>
                    <xdr:colOff>1219200</xdr:colOff>
                    <xdr:row>0</xdr:row>
                    <xdr:rowOff>152400</xdr:rowOff>
                  </from>
                  <to>
                    <xdr:col>11</xdr:col>
                    <xdr:colOff>28575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rdering">
                <anchor moveWithCells="1" sizeWithCells="1">
                  <from>
                    <xdr:col>8</xdr:col>
                    <xdr:colOff>38100</xdr:colOff>
                    <xdr:row>14</xdr:row>
                    <xdr:rowOff>28575</xdr:rowOff>
                  </from>
                  <to>
                    <xdr:col>10</xdr:col>
                    <xdr:colOff>485775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oggleBordering">
                <anchor moveWithCells="1" sizeWithCells="1">
                  <from>
                    <xdr:col>11</xdr:col>
                    <xdr:colOff>85725</xdr:colOff>
                    <xdr:row>14</xdr:row>
                    <xdr:rowOff>57150</xdr:rowOff>
                  </from>
                  <to>
                    <xdr:col>12</xdr:col>
                    <xdr:colOff>581025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2014-10-27T12:52:32Z</dcterms:modified>
</cp:coreProperties>
</file>