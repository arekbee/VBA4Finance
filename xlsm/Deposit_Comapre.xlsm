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960" yWindow="615" windowWidth="17715" windowHeight="7950"/>
  </bookViews>
  <sheets>
    <sheet name="Arkusz1" sheetId="1" r:id="rId1"/>
  </sheets>
  <calcPr calcId="145621"/>
  <fileRecoveryPr repairLoad="1"/>
</workbook>
</file>

<file path=xl/calcChain.xml><?xml version="1.0" encoding="utf-8"?>
<calcChain xmlns="http://schemas.openxmlformats.org/spreadsheetml/2006/main">
  <c r="D1" i="1" l="1"/>
  <c r="E1" i="1"/>
  <c r="F1" i="1"/>
  <c r="G1" i="1"/>
  <c r="H1" i="1"/>
  <c r="I1" i="1"/>
  <c r="J1" i="1"/>
  <c r="K1" i="1"/>
  <c r="L1" i="1"/>
  <c r="M1" i="1"/>
  <c r="N1" i="1"/>
  <c r="O1" i="1"/>
  <c r="C1" i="1"/>
  <c r="F22" i="1"/>
  <c r="F23" i="1" s="1"/>
  <c r="G22" i="1"/>
  <c r="G23" i="1" s="1"/>
  <c r="G24" i="1" s="1"/>
  <c r="H22" i="1"/>
  <c r="H23" i="1" s="1"/>
  <c r="H24" i="1" s="1"/>
  <c r="H25" i="1" s="1"/>
  <c r="I22" i="1"/>
  <c r="I23" i="1" s="1"/>
  <c r="I24" i="1" s="1"/>
  <c r="I25" i="1" s="1"/>
  <c r="I26" i="1" s="1"/>
  <c r="J22" i="1"/>
  <c r="J23" i="1" s="1"/>
  <c r="J24" i="1" s="1"/>
  <c r="J25" i="1" s="1"/>
  <c r="J26" i="1" s="1"/>
  <c r="J27" i="1" s="1"/>
  <c r="K22" i="1"/>
  <c r="K23" i="1" s="1"/>
  <c r="K24" i="1" s="1"/>
  <c r="K25" i="1" s="1"/>
  <c r="K26" i="1" s="1"/>
  <c r="K27" i="1" s="1"/>
  <c r="K28" i="1" s="1"/>
  <c r="L22" i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M22" i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N22" i="1"/>
  <c r="N23" i="1" s="1"/>
  <c r="N24" i="1" s="1"/>
  <c r="N25" i="1" s="1"/>
  <c r="N26" i="1" s="1"/>
  <c r="N27" i="1" s="1"/>
  <c r="N28" i="1" s="1"/>
  <c r="N29" i="1" s="1"/>
  <c r="N30" i="1" s="1"/>
  <c r="N31" i="1" s="1"/>
  <c r="O22" i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E22" i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20" i="1"/>
  <c r="F20" i="1"/>
  <c r="G20" i="1"/>
  <c r="H20" i="1"/>
  <c r="I20" i="1"/>
  <c r="J20" i="1"/>
  <c r="K20" i="1"/>
  <c r="L20" i="1"/>
  <c r="M20" i="1"/>
  <c r="N20" i="1"/>
  <c r="O20" i="1"/>
  <c r="D20" i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K29" i="1" l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H26" i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F24" i="1"/>
  <c r="F25" i="1" s="1"/>
  <c r="F26" i="1" s="1"/>
  <c r="F27" i="1" s="1"/>
  <c r="F28" i="1" s="1"/>
  <c r="F29" i="1" s="1"/>
  <c r="F30" i="1" s="1"/>
  <c r="F31" i="1" s="1"/>
  <c r="F32" i="1" s="1"/>
  <c r="F33" i="1" s="1"/>
  <c r="D34" i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3" i="1"/>
  <c r="D4" i="1" s="1"/>
  <c r="D5" i="1" s="1"/>
  <c r="O34" i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3" i="1"/>
  <c r="O4" i="1" s="1"/>
  <c r="O5" i="1" s="1"/>
  <c r="I27" i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G25" i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N32" i="1"/>
  <c r="N33" i="1" s="1"/>
  <c r="J28" i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F34" i="1" l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3" i="1"/>
  <c r="F4" i="1" s="1"/>
  <c r="F5" i="1" s="1"/>
  <c r="D46" i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6" i="1"/>
  <c r="D7" i="1" s="1"/>
  <c r="N34" i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N45" i="1" s="1"/>
  <c r="N3" i="1"/>
  <c r="N4" i="1" s="1"/>
  <c r="N5" i="1" s="1"/>
  <c r="O46" i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6" i="1"/>
  <c r="O7" i="1" s="1"/>
  <c r="G3" i="1"/>
  <c r="G4" i="1" s="1"/>
  <c r="G5" i="1" s="1"/>
  <c r="H3" i="1"/>
  <c r="H4" i="1" s="1"/>
  <c r="H5" i="1" s="1"/>
  <c r="E3" i="1"/>
  <c r="E6" i="1"/>
  <c r="E7" i="1" l="1"/>
  <c r="E4" i="1"/>
  <c r="F46" i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6" i="1"/>
  <c r="F7" i="1" s="1"/>
  <c r="D70" i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10" i="1" s="1"/>
  <c r="D11" i="1" s="1"/>
  <c r="D8" i="1"/>
  <c r="D9" i="1" s="1"/>
  <c r="N46" i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N57" i="1" s="1"/>
  <c r="N58" i="1" s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N69" i="1" s="1"/>
  <c r="N6" i="1"/>
  <c r="N7" i="1" s="1"/>
  <c r="O70" i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10" i="1" s="1"/>
  <c r="O11" i="1" s="1"/>
  <c r="O8" i="1"/>
  <c r="O9" i="1" s="1"/>
  <c r="G6" i="1"/>
  <c r="G7" i="1" s="1"/>
  <c r="I3" i="1"/>
  <c r="I4" i="1" s="1"/>
  <c r="I5" i="1" s="1"/>
  <c r="H6" i="1"/>
  <c r="H7" i="1" s="1"/>
  <c r="J3" i="1"/>
  <c r="J4" i="1" s="1"/>
  <c r="J5" i="1" s="1"/>
  <c r="I6" i="1"/>
  <c r="I7" i="1" s="1"/>
  <c r="E8" i="1"/>
  <c r="E10" i="1"/>
  <c r="E11" i="1" l="1"/>
  <c r="E5" i="1"/>
  <c r="E9" i="1"/>
  <c r="F70" i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10" i="1" s="1"/>
  <c r="F11" i="1" s="1"/>
  <c r="F8" i="1"/>
  <c r="F9" i="1" s="1"/>
  <c r="N70" i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10" i="1" s="1"/>
  <c r="N11" i="1" s="1"/>
  <c r="N8" i="1"/>
  <c r="N9" i="1" s="1"/>
  <c r="K3" i="1"/>
  <c r="Q3" i="1" s="1"/>
  <c r="G8" i="1"/>
  <c r="G9" i="1" s="1"/>
  <c r="G10" i="1"/>
  <c r="G11" i="1" s="1"/>
  <c r="M3" i="1"/>
  <c r="M4" i="1" s="1"/>
  <c r="M5" i="1" s="1"/>
  <c r="I10" i="1"/>
  <c r="I11" i="1" s="1"/>
  <c r="I8" i="1"/>
  <c r="I9" i="1" s="1"/>
  <c r="J6" i="1"/>
  <c r="J7" i="1" s="1"/>
  <c r="L3" i="1"/>
  <c r="L4" i="1" s="1"/>
  <c r="L5" i="1" s="1"/>
  <c r="K6" i="1"/>
  <c r="K7" i="1" s="1"/>
  <c r="H10" i="1"/>
  <c r="H11" i="1" s="1"/>
  <c r="H8" i="1"/>
  <c r="H9" i="1" s="1"/>
  <c r="K4" i="1" l="1"/>
  <c r="Q4" i="1" s="1"/>
  <c r="P3" i="1"/>
  <c r="D13" i="1" s="1"/>
  <c r="K10" i="1"/>
  <c r="K11" i="1" s="1"/>
  <c r="K8" i="1"/>
  <c r="K9" i="1" s="1"/>
  <c r="J10" i="1"/>
  <c r="J11" i="1" s="1"/>
  <c r="J8" i="1"/>
  <c r="J9" i="1" s="1"/>
  <c r="L6" i="1"/>
  <c r="L7" i="1" s="1"/>
  <c r="M6" i="1"/>
  <c r="M7" i="1" s="1"/>
  <c r="R3" i="1" l="1"/>
  <c r="Q7" i="1"/>
  <c r="Q6" i="1"/>
  <c r="P6" i="1"/>
  <c r="P7" i="1"/>
  <c r="K5" i="1"/>
  <c r="P4" i="1"/>
  <c r="R4" i="1" s="1"/>
  <c r="L10" i="1"/>
  <c r="L11" i="1" s="1"/>
  <c r="L8" i="1"/>
  <c r="L9" i="1" s="1"/>
  <c r="M10" i="1"/>
  <c r="M11" i="1" s="1"/>
  <c r="M8" i="1"/>
  <c r="M9" i="1" s="1"/>
  <c r="Q11" i="1" l="1"/>
  <c r="R6" i="1"/>
  <c r="Q9" i="1"/>
  <c r="R7" i="1"/>
  <c r="Q8" i="1"/>
  <c r="Q10" i="1"/>
  <c r="P5" i="1"/>
  <c r="Q5" i="1"/>
  <c r="P9" i="1"/>
  <c r="P11" i="1"/>
  <c r="P10" i="1"/>
  <c r="P8" i="1"/>
  <c r="R9" i="1" l="1"/>
  <c r="R11" i="1"/>
  <c r="R10" i="1"/>
  <c r="R8" i="1"/>
  <c r="R5" i="1"/>
</calcChain>
</file>

<file path=xl/sharedStrings.xml><?xml version="1.0" encoding="utf-8"?>
<sst xmlns="http://schemas.openxmlformats.org/spreadsheetml/2006/main" count="21" uniqueCount="15">
  <si>
    <t>Capitalization (in months)</t>
  </si>
  <si>
    <t>Base value</t>
  </si>
  <si>
    <t>Interest rate</t>
  </si>
  <si>
    <t>Year</t>
  </si>
  <si>
    <t>#</t>
  </si>
  <si>
    <t>After year</t>
  </si>
  <si>
    <t>After Month</t>
  </si>
  <si>
    <t>Multiplier</t>
  </si>
  <si>
    <t>Value</t>
  </si>
  <si>
    <t>Grow</t>
  </si>
  <si>
    <t>Procentage</t>
  </si>
  <si>
    <t>Max</t>
  </si>
  <si>
    <t>Best Offer</t>
  </si>
  <si>
    <t>Min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</si>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</sst>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10" fontId="0" fillId="2" borderId="0" xfId="0" applyNumberFormat="1" applyFill="1"/>
    <xf numFmtId="0" fontId="0" fillId="0" borderId="0" xfId="0" applyNumberFormat="1" applyFill="1"/>
    <xf numFmtId="0" fontId="0" fillId="0" borderId="0" xfId="0" applyAlignment="1">
      <alignment horizontal="center"/>
    </xf>
    <xf numFmtId="0" fontId="0" fillId="2" borderId="0" xfId="0" applyNumberFormat="1" applyFill="1"/>
    <xf numFmtId="0" fontId="0" fillId="0" borderId="0" xfId="0" applyNumberFormat="1"/>
    <xf numFmtId="0" fontId="1" fillId="0" borderId="0" xfId="0" applyFont="1"/>
    <xf numFmtId="0" fontId="1" fillId="0" borderId="2" xfId="0" applyNumberFormat="1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1" fillId="0" borderId="1" xfId="0" applyFont="1" applyFill="1" applyBorder="1"/>
    <xf numFmtId="164" fontId="1" fillId="0" borderId="2" xfId="0" applyNumberFormat="1" applyFont="1" applyBorder="1"/>
    <xf numFmtId="164" fontId="1" fillId="0" borderId="3" xfId="0" applyNumberFormat="1" applyFont="1" applyBorder="1"/>
    <xf numFmtId="164" fontId="1" fillId="0" borderId="4" xfId="0" applyNumberFormat="1" applyFont="1" applyBorder="1"/>
    <xf numFmtId="164" fontId="1" fillId="0" borderId="0" xfId="0" applyNumberFormat="1" applyFont="1" applyBorder="1"/>
    <xf numFmtId="164" fontId="1" fillId="0" borderId="1" xfId="0" applyNumberFormat="1" applyFont="1" applyBorder="1"/>
    <xf numFmtId="164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38099</xdr:colOff>
          <xdr:row>16</xdr:row>
          <xdr:rowOff>123824</xdr:rowOff>
        </xdr:from>
        <xdr:to>
          <xdr:col>1</xdr:col>
          <xdr:colOff>561974</xdr:colOff>
          <xdr:row>19</xdr:row>
          <xdr:rowOff>19049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 base value to others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781050</xdr:colOff>
          <xdr:row>18</xdr:row>
          <xdr:rowOff>28575</xdr:rowOff>
        </xdr:from>
        <xdr:to>
          <xdr:col>17</xdr:col>
          <xdr:colOff>257175</xdr:colOff>
          <xdr:row>19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Set 0% for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R93"/>
  <sheetViews>
    <sheetView tabSelected="1" workbookViewId="0">
      <selection activeCell="I14" sqref="I14"/>
    </sheetView>
  </sheetViews>
  <sheetFormatPr defaultRowHeight="15" x14ac:dyDescent="0.25"/>
  <cols>
    <col min="3" max="3" width="24.28515625" bestFit="1" customWidth="1"/>
    <col min="4" max="4" width="14.140625" customWidth="1"/>
    <col min="5" max="5" width="15.42578125" customWidth="1"/>
    <col min="6" max="8" width="10.42578125" bestFit="1" customWidth="1"/>
    <col min="9" max="15" width="9.7109375" bestFit="1" customWidth="1"/>
    <col min="16" max="16" width="13.42578125" customWidth="1"/>
    <col min="17" max="17" width="15.140625" customWidth="1"/>
  </cols>
  <sheetData>
    <row r="1" spans="2:18" x14ac:dyDescent="0.25">
      <c r="C1" t="str">
        <f>C17</f>
        <v>Capitalization (in months)</v>
      </c>
      <c r="D1" s="11">
        <f t="shared" ref="D1:O1" si="0">D17</f>
        <v>1</v>
      </c>
      <c r="E1" s="12">
        <f t="shared" si="0"/>
        <v>2</v>
      </c>
      <c r="F1" s="13">
        <f t="shared" si="0"/>
        <v>3</v>
      </c>
      <c r="G1">
        <f t="shared" si="0"/>
        <v>4</v>
      </c>
      <c r="H1">
        <f t="shared" si="0"/>
        <v>5</v>
      </c>
      <c r="I1" s="14">
        <f t="shared" si="0"/>
        <v>6</v>
      </c>
      <c r="J1">
        <f t="shared" si="0"/>
        <v>7</v>
      </c>
      <c r="K1">
        <f t="shared" si="0"/>
        <v>8</v>
      </c>
      <c r="L1">
        <f t="shared" si="0"/>
        <v>9</v>
      </c>
      <c r="M1">
        <f t="shared" si="0"/>
        <v>10</v>
      </c>
      <c r="N1">
        <f t="shared" si="0"/>
        <v>11</v>
      </c>
      <c r="O1" s="14">
        <f t="shared" si="0"/>
        <v>12</v>
      </c>
      <c r="P1" t="s">
        <v>11</v>
      </c>
      <c r="Q1" t="s">
        <v>13</v>
      </c>
      <c r="R1" t="s">
        <v>14</v>
      </c>
    </row>
    <row r="2" spans="2:18" x14ac:dyDescent="0.25">
      <c r="B2" s="3" t="s">
        <v>5</v>
      </c>
    </row>
    <row r="3" spans="2:18" x14ac:dyDescent="0.25">
      <c r="B3">
        <v>1</v>
      </c>
      <c r="C3" t="s">
        <v>8</v>
      </c>
      <c r="D3" s="5">
        <f>D33</f>
        <v>41011.538279331595</v>
      </c>
      <c r="E3" s="5">
        <f t="shared" ref="E3:O3" si="1">E33</f>
        <v>40000</v>
      </c>
      <c r="F3" s="5">
        <f t="shared" si="1"/>
        <v>41131.814976039983</v>
      </c>
      <c r="G3" s="5">
        <f t="shared" si="1"/>
        <v>40000</v>
      </c>
      <c r="H3" s="5">
        <f t="shared" si="1"/>
        <v>40000</v>
      </c>
      <c r="I3" s="5">
        <f t="shared" si="1"/>
        <v>41249.61</v>
      </c>
      <c r="J3" s="5">
        <f t="shared" si="1"/>
        <v>40000</v>
      </c>
      <c r="K3" s="5">
        <f t="shared" si="1"/>
        <v>40000</v>
      </c>
      <c r="L3" s="5">
        <f t="shared" si="1"/>
        <v>40000</v>
      </c>
      <c r="M3" s="5">
        <f t="shared" si="1"/>
        <v>40000</v>
      </c>
      <c r="N3" s="5">
        <f t="shared" si="1"/>
        <v>40000</v>
      </c>
      <c r="O3" s="5">
        <f t="shared" si="1"/>
        <v>41280</v>
      </c>
      <c r="P3" s="5">
        <f>MAX(D3:O3)</f>
        <v>41280</v>
      </c>
      <c r="Q3" s="5">
        <f>MIN(D3:O3)</f>
        <v>40000</v>
      </c>
      <c r="R3">
        <f>P3-Q3</f>
        <v>1280</v>
      </c>
    </row>
    <row r="4" spans="2:18" x14ac:dyDescent="0.25">
      <c r="C4" t="s">
        <v>9</v>
      </c>
      <c r="D4" s="5">
        <f>D3-D18</f>
        <v>1011.5382793315948</v>
      </c>
      <c r="E4" s="5">
        <f t="shared" ref="E4:O4" si="2">E3-E18</f>
        <v>0</v>
      </c>
      <c r="F4" s="5">
        <f t="shared" si="2"/>
        <v>1131.8149760399829</v>
      </c>
      <c r="G4" s="5">
        <f t="shared" si="2"/>
        <v>0</v>
      </c>
      <c r="H4" s="5">
        <f t="shared" si="2"/>
        <v>0</v>
      </c>
      <c r="I4" s="5">
        <f t="shared" si="2"/>
        <v>1249.6100000000006</v>
      </c>
      <c r="J4" s="5">
        <f t="shared" si="2"/>
        <v>0</v>
      </c>
      <c r="K4" s="5">
        <f t="shared" si="2"/>
        <v>0</v>
      </c>
      <c r="L4" s="5">
        <f t="shared" si="2"/>
        <v>0</v>
      </c>
      <c r="M4" s="5">
        <f t="shared" si="2"/>
        <v>0</v>
      </c>
      <c r="N4" s="5">
        <f t="shared" si="2"/>
        <v>0</v>
      </c>
      <c r="O4" s="5">
        <f t="shared" si="2"/>
        <v>1280</v>
      </c>
      <c r="P4" s="5">
        <f t="shared" ref="P4:P11" si="3">MAX(D4:O4)</f>
        <v>1280</v>
      </c>
      <c r="Q4" s="5">
        <f t="shared" ref="Q4:Q11" si="4">MIN(D4:O4)</f>
        <v>0</v>
      </c>
      <c r="R4">
        <f t="shared" ref="R4:R11" si="5">P4-Q4</f>
        <v>1280</v>
      </c>
    </row>
    <row r="5" spans="2:18" x14ac:dyDescent="0.25">
      <c r="C5" t="s">
        <v>10</v>
      </c>
      <c r="D5" s="16">
        <f>D4/D18</f>
        <v>2.528845698328987E-2</v>
      </c>
      <c r="E5" s="17">
        <f t="shared" ref="E5:O5" si="6">E4/E18</f>
        <v>0</v>
      </c>
      <c r="F5" s="18">
        <f t="shared" si="6"/>
        <v>2.8295374400999572E-2</v>
      </c>
      <c r="G5" s="19">
        <f t="shared" si="6"/>
        <v>0</v>
      </c>
      <c r="H5" s="19">
        <f t="shared" si="6"/>
        <v>0</v>
      </c>
      <c r="I5" s="20">
        <f t="shared" si="6"/>
        <v>3.1240250000000015E-2</v>
      </c>
      <c r="J5" s="19">
        <f t="shared" si="6"/>
        <v>0</v>
      </c>
      <c r="K5" s="19">
        <f t="shared" si="6"/>
        <v>0</v>
      </c>
      <c r="L5" s="19">
        <f t="shared" si="6"/>
        <v>0</v>
      </c>
      <c r="M5" s="19">
        <f t="shared" si="6"/>
        <v>0</v>
      </c>
      <c r="N5" s="19">
        <f t="shared" si="6"/>
        <v>0</v>
      </c>
      <c r="O5" s="20">
        <f t="shared" si="6"/>
        <v>3.2000000000000001E-2</v>
      </c>
      <c r="P5" s="21">
        <f t="shared" si="3"/>
        <v>3.2000000000000001E-2</v>
      </c>
      <c r="Q5" s="21">
        <f t="shared" si="4"/>
        <v>0</v>
      </c>
      <c r="R5" s="21">
        <f t="shared" si="5"/>
        <v>3.2000000000000001E-2</v>
      </c>
    </row>
    <row r="6" spans="2:18" x14ac:dyDescent="0.25">
      <c r="B6">
        <v>2</v>
      </c>
      <c r="C6" t="s">
        <v>8</v>
      </c>
      <c r="D6">
        <f t="shared" ref="D6:O6" si="7">D45</f>
        <v>42048.656800927027</v>
      </c>
      <c r="E6">
        <f t="shared" si="7"/>
        <v>40000</v>
      </c>
      <c r="F6">
        <f t="shared" si="7"/>
        <v>42295.65508057968</v>
      </c>
      <c r="G6">
        <f t="shared" si="7"/>
        <v>40000</v>
      </c>
      <c r="H6">
        <f t="shared" si="7"/>
        <v>40000</v>
      </c>
      <c r="I6">
        <f t="shared" si="7"/>
        <v>42538.25812880251</v>
      </c>
      <c r="J6">
        <f t="shared" si="7"/>
        <v>40000</v>
      </c>
      <c r="K6">
        <f t="shared" si="7"/>
        <v>40000</v>
      </c>
      <c r="L6">
        <f t="shared" si="7"/>
        <v>40000</v>
      </c>
      <c r="M6">
        <f t="shared" si="7"/>
        <v>40000</v>
      </c>
      <c r="N6">
        <f t="shared" si="7"/>
        <v>40000</v>
      </c>
      <c r="O6">
        <f t="shared" si="7"/>
        <v>42600.959999999999</v>
      </c>
      <c r="P6" s="5">
        <f t="shared" si="3"/>
        <v>42600.959999999999</v>
      </c>
      <c r="Q6" s="5">
        <f t="shared" si="4"/>
        <v>40000</v>
      </c>
      <c r="R6">
        <f t="shared" si="5"/>
        <v>2600.9599999999991</v>
      </c>
    </row>
    <row r="7" spans="2:18" x14ac:dyDescent="0.25">
      <c r="C7" t="s">
        <v>9</v>
      </c>
      <c r="D7">
        <f t="shared" ref="D7:O7" si="8">D6-D18</f>
        <v>2048.6568009270268</v>
      </c>
      <c r="E7">
        <f t="shared" si="8"/>
        <v>0</v>
      </c>
      <c r="F7">
        <f t="shared" si="8"/>
        <v>2295.6550805796796</v>
      </c>
      <c r="G7">
        <f t="shared" si="8"/>
        <v>0</v>
      </c>
      <c r="H7">
        <f t="shared" si="8"/>
        <v>0</v>
      </c>
      <c r="I7">
        <f t="shared" si="8"/>
        <v>2538.2581288025103</v>
      </c>
      <c r="J7">
        <f t="shared" si="8"/>
        <v>0</v>
      </c>
      <c r="K7">
        <f t="shared" si="8"/>
        <v>0</v>
      </c>
      <c r="L7">
        <f t="shared" si="8"/>
        <v>0</v>
      </c>
      <c r="M7">
        <f t="shared" si="8"/>
        <v>0</v>
      </c>
      <c r="N7">
        <f t="shared" si="8"/>
        <v>0</v>
      </c>
      <c r="O7">
        <f t="shared" si="8"/>
        <v>2600.9599999999991</v>
      </c>
      <c r="P7" s="5">
        <f t="shared" si="3"/>
        <v>2600.9599999999991</v>
      </c>
      <c r="Q7" s="5">
        <f t="shared" si="4"/>
        <v>0</v>
      </c>
      <c r="R7">
        <f t="shared" si="5"/>
        <v>2600.9599999999991</v>
      </c>
    </row>
    <row r="8" spans="2:18" x14ac:dyDescent="0.25">
      <c r="B8">
        <v>3</v>
      </c>
      <c r="C8" t="s">
        <v>8</v>
      </c>
      <c r="D8">
        <f t="shared" ref="D8:O8" si="9">D69</f>
        <v>44202.238469053664</v>
      </c>
      <c r="E8">
        <f t="shared" si="9"/>
        <v>40000</v>
      </c>
      <c r="F8">
        <f t="shared" si="9"/>
        <v>44723.060967384132</v>
      </c>
      <c r="G8">
        <f t="shared" si="9"/>
        <v>40000</v>
      </c>
      <c r="H8">
        <f t="shared" si="9"/>
        <v>40000</v>
      </c>
      <c r="I8">
        <f t="shared" si="9"/>
        <v>45237.585115815826</v>
      </c>
      <c r="J8">
        <f t="shared" si="9"/>
        <v>40000</v>
      </c>
      <c r="K8">
        <f t="shared" si="9"/>
        <v>40000</v>
      </c>
      <c r="L8">
        <f t="shared" si="9"/>
        <v>40000</v>
      </c>
      <c r="M8">
        <f t="shared" si="9"/>
        <v>40000</v>
      </c>
      <c r="N8">
        <f t="shared" si="9"/>
        <v>40000</v>
      </c>
      <c r="O8">
        <f t="shared" si="9"/>
        <v>45371.04482304</v>
      </c>
      <c r="P8" s="5">
        <f t="shared" si="3"/>
        <v>45371.04482304</v>
      </c>
      <c r="Q8" s="5">
        <f t="shared" si="4"/>
        <v>40000</v>
      </c>
      <c r="R8">
        <f t="shared" si="5"/>
        <v>5371.0448230399998</v>
      </c>
    </row>
    <row r="9" spans="2:18" x14ac:dyDescent="0.25">
      <c r="C9" t="s">
        <v>9</v>
      </c>
      <c r="D9">
        <f t="shared" ref="D9:O9" si="10">D8-D18</f>
        <v>4202.2384690536637</v>
      </c>
      <c r="E9">
        <f t="shared" si="10"/>
        <v>0</v>
      </c>
      <c r="F9">
        <f t="shared" si="10"/>
        <v>4723.0609673841318</v>
      </c>
      <c r="G9">
        <f t="shared" si="10"/>
        <v>0</v>
      </c>
      <c r="H9">
        <f t="shared" si="10"/>
        <v>0</v>
      </c>
      <c r="I9">
        <f t="shared" si="10"/>
        <v>5237.5851158158257</v>
      </c>
      <c r="J9">
        <f t="shared" si="10"/>
        <v>0</v>
      </c>
      <c r="K9">
        <f t="shared" si="10"/>
        <v>0</v>
      </c>
      <c r="L9">
        <f t="shared" si="10"/>
        <v>0</v>
      </c>
      <c r="M9">
        <f t="shared" si="10"/>
        <v>0</v>
      </c>
      <c r="N9">
        <f t="shared" si="10"/>
        <v>0</v>
      </c>
      <c r="O9">
        <f t="shared" si="10"/>
        <v>5371.0448230399998</v>
      </c>
      <c r="P9" s="5">
        <f t="shared" si="3"/>
        <v>5371.0448230399998</v>
      </c>
      <c r="Q9" s="5">
        <f t="shared" si="4"/>
        <v>0</v>
      </c>
      <c r="R9">
        <f t="shared" si="5"/>
        <v>5371.0448230399998</v>
      </c>
    </row>
    <row r="10" spans="2:18" x14ac:dyDescent="0.25">
      <c r="B10">
        <v>5</v>
      </c>
      <c r="C10" t="s">
        <v>8</v>
      </c>
      <c r="D10">
        <f t="shared" ref="D10:O10" si="11">D93</f>
        <v>46466.118880449299</v>
      </c>
      <c r="E10">
        <f t="shared" si="11"/>
        <v>40000</v>
      </c>
      <c r="F10">
        <f t="shared" si="11"/>
        <v>47289.779020605369</v>
      </c>
      <c r="G10">
        <f t="shared" si="11"/>
        <v>40000</v>
      </c>
      <c r="H10">
        <f t="shared" si="11"/>
        <v>40000</v>
      </c>
      <c r="I10">
        <f t="shared" si="11"/>
        <v>48108.201819506205</v>
      </c>
      <c r="J10">
        <f t="shared" si="11"/>
        <v>40000</v>
      </c>
      <c r="K10">
        <f t="shared" si="11"/>
        <v>40000</v>
      </c>
      <c r="L10">
        <f t="shared" si="11"/>
        <v>40000</v>
      </c>
      <c r="M10">
        <f t="shared" si="11"/>
        <v>40000</v>
      </c>
      <c r="N10">
        <f t="shared" si="11"/>
        <v>40000</v>
      </c>
      <c r="O10">
        <f t="shared" si="11"/>
        <v>48321.251641613351</v>
      </c>
      <c r="P10" s="5">
        <f t="shared" si="3"/>
        <v>48321.251641613351</v>
      </c>
      <c r="Q10" s="5">
        <f t="shared" si="4"/>
        <v>40000</v>
      </c>
      <c r="R10">
        <f t="shared" si="5"/>
        <v>8321.2516416133512</v>
      </c>
    </row>
    <row r="11" spans="2:18" x14ac:dyDescent="0.25">
      <c r="C11" t="s">
        <v>9</v>
      </c>
      <c r="D11">
        <f t="shared" ref="D11:O11" si="12">D10-D18</f>
        <v>6466.1188804492995</v>
      </c>
      <c r="E11">
        <f t="shared" si="12"/>
        <v>0</v>
      </c>
      <c r="F11">
        <f t="shared" si="12"/>
        <v>7289.7790206053687</v>
      </c>
      <c r="G11">
        <f t="shared" si="12"/>
        <v>0</v>
      </c>
      <c r="H11">
        <f t="shared" si="12"/>
        <v>0</v>
      </c>
      <c r="I11">
        <f t="shared" si="12"/>
        <v>8108.2018195062046</v>
      </c>
      <c r="J11">
        <f t="shared" si="12"/>
        <v>0</v>
      </c>
      <c r="K11">
        <f t="shared" si="12"/>
        <v>0</v>
      </c>
      <c r="L11">
        <f t="shared" si="12"/>
        <v>0</v>
      </c>
      <c r="M11">
        <f t="shared" si="12"/>
        <v>0</v>
      </c>
      <c r="N11">
        <f t="shared" si="12"/>
        <v>0</v>
      </c>
      <c r="O11">
        <f t="shared" si="12"/>
        <v>8321.2516416133512</v>
      </c>
      <c r="P11" s="5">
        <f t="shared" si="3"/>
        <v>8321.2516416133512</v>
      </c>
      <c r="Q11" s="5">
        <f t="shared" si="4"/>
        <v>0</v>
      </c>
      <c r="R11">
        <f t="shared" si="5"/>
        <v>8321.2516416133512</v>
      </c>
    </row>
    <row r="13" spans="2:18" x14ac:dyDescent="0.25">
      <c r="C13" t="s">
        <v>12</v>
      </c>
      <c r="D13">
        <f>MATCH(P3,D3:O3,0)</f>
        <v>12</v>
      </c>
    </row>
    <row r="17" spans="1:16" x14ac:dyDescent="0.25">
      <c r="C17" t="s">
        <v>0</v>
      </c>
      <c r="D17" s="11">
        <v>1</v>
      </c>
      <c r="E17" s="12">
        <v>2</v>
      </c>
      <c r="F17" s="13">
        <v>3</v>
      </c>
      <c r="G17">
        <v>4</v>
      </c>
      <c r="H17">
        <v>5</v>
      </c>
      <c r="I17" s="14">
        <v>6</v>
      </c>
      <c r="J17">
        <v>7</v>
      </c>
      <c r="K17">
        <v>8</v>
      </c>
      <c r="L17">
        <v>9</v>
      </c>
      <c r="M17">
        <v>10</v>
      </c>
      <c r="N17">
        <v>11</v>
      </c>
      <c r="O17" s="14">
        <v>12</v>
      </c>
    </row>
    <row r="18" spans="1:16" x14ac:dyDescent="0.25">
      <c r="C18" t="s">
        <v>1</v>
      </c>
      <c r="D18" s="4">
        <v>40000</v>
      </c>
      <c r="E18" s="4">
        <v>40000</v>
      </c>
      <c r="F18" s="4">
        <v>40000</v>
      </c>
      <c r="G18" s="4">
        <v>40000</v>
      </c>
      <c r="H18" s="4">
        <v>40000</v>
      </c>
      <c r="I18" s="4">
        <v>40000</v>
      </c>
      <c r="J18" s="4">
        <v>40000</v>
      </c>
      <c r="K18" s="4">
        <v>40000</v>
      </c>
      <c r="L18" s="4">
        <v>40000</v>
      </c>
      <c r="M18" s="4">
        <v>40000</v>
      </c>
      <c r="N18" s="4">
        <v>40000</v>
      </c>
      <c r="O18" s="4">
        <v>40000</v>
      </c>
    </row>
    <row r="19" spans="1:16" x14ac:dyDescent="0.25">
      <c r="C19" t="s">
        <v>2</v>
      </c>
      <c r="D19" s="1">
        <v>2.5000000000000001E-2</v>
      </c>
      <c r="E19" s="1">
        <v>0</v>
      </c>
      <c r="F19" s="1">
        <v>2.8000000000000001E-2</v>
      </c>
      <c r="G19" s="1">
        <v>0</v>
      </c>
      <c r="H19" s="1">
        <v>0</v>
      </c>
      <c r="I19" s="1">
        <v>3.1E-2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3.2000000000000001E-2</v>
      </c>
      <c r="P19">
        <v>0</v>
      </c>
    </row>
    <row r="20" spans="1:16" x14ac:dyDescent="0.25">
      <c r="C20" t="s">
        <v>7</v>
      </c>
      <c r="D20" s="2">
        <f>1+D19*D17/12</f>
        <v>1.0020833333333334</v>
      </c>
      <c r="E20" s="2">
        <f>1+E19*E17/12</f>
        <v>1</v>
      </c>
      <c r="F20" s="2">
        <f t="shared" ref="F20:O20" si="13">1+F19*F17/12</f>
        <v>1.0069999999999999</v>
      </c>
      <c r="G20" s="2">
        <f t="shared" si="13"/>
        <v>1</v>
      </c>
      <c r="H20" s="2">
        <f t="shared" si="13"/>
        <v>1</v>
      </c>
      <c r="I20" s="2">
        <f t="shared" si="13"/>
        <v>1.0155000000000001</v>
      </c>
      <c r="J20" s="2">
        <f t="shared" si="13"/>
        <v>1</v>
      </c>
      <c r="K20" s="2">
        <f t="shared" si="13"/>
        <v>1</v>
      </c>
      <c r="L20" s="2">
        <f t="shared" si="13"/>
        <v>1</v>
      </c>
      <c r="M20" s="2">
        <f t="shared" si="13"/>
        <v>1</v>
      </c>
      <c r="N20" s="2">
        <f t="shared" si="13"/>
        <v>1</v>
      </c>
      <c r="O20" s="2">
        <f t="shared" si="13"/>
        <v>1.032</v>
      </c>
    </row>
    <row r="21" spans="1:16" x14ac:dyDescent="0.25">
      <c r="A21" s="22" t="s">
        <v>4</v>
      </c>
      <c r="B21" s="22" t="s">
        <v>3</v>
      </c>
      <c r="C21" s="22" t="s">
        <v>6</v>
      </c>
    </row>
    <row r="22" spans="1:16" x14ac:dyDescent="0.25">
      <c r="A22">
        <v>1</v>
      </c>
      <c r="B22">
        <v>0</v>
      </c>
      <c r="C22">
        <v>1</v>
      </c>
      <c r="D22" s="5">
        <f>D18*$D$20</f>
        <v>40083.333333333336</v>
      </c>
      <c r="E22">
        <f>E18*IF(MOD($C22,E$17)=0,E$20,1)</f>
        <v>40000</v>
      </c>
      <c r="F22">
        <f t="shared" ref="F22:O22" si="14">F18*IF(MOD($C22,F$17)=0,F$20,1)</f>
        <v>40000</v>
      </c>
      <c r="G22">
        <f t="shared" si="14"/>
        <v>40000</v>
      </c>
      <c r="H22">
        <f t="shared" si="14"/>
        <v>40000</v>
      </c>
      <c r="I22">
        <f t="shared" si="14"/>
        <v>40000</v>
      </c>
      <c r="J22">
        <f t="shared" si="14"/>
        <v>40000</v>
      </c>
      <c r="K22">
        <f t="shared" si="14"/>
        <v>40000</v>
      </c>
      <c r="L22">
        <f t="shared" si="14"/>
        <v>40000</v>
      </c>
      <c r="M22">
        <f t="shared" si="14"/>
        <v>40000</v>
      </c>
      <c r="N22">
        <f t="shared" si="14"/>
        <v>40000</v>
      </c>
      <c r="O22">
        <f t="shared" si="14"/>
        <v>40000</v>
      </c>
    </row>
    <row r="23" spans="1:16" x14ac:dyDescent="0.25">
      <c r="A23">
        <v>2</v>
      </c>
      <c r="B23">
        <v>0</v>
      </c>
      <c r="C23">
        <v>2</v>
      </c>
      <c r="D23" s="5">
        <f>D22*$D$20</f>
        <v>40166.840277777781</v>
      </c>
      <c r="E23">
        <f>E22*IF(MOD($C23,E$17)=0,E$20,1)</f>
        <v>40000</v>
      </c>
      <c r="F23">
        <f t="shared" ref="F23:O38" si="15">F22*IF(MOD($C23,F$17)=0,F$20,1)</f>
        <v>40000</v>
      </c>
      <c r="G23">
        <f t="shared" si="15"/>
        <v>40000</v>
      </c>
      <c r="H23">
        <f t="shared" si="15"/>
        <v>40000</v>
      </c>
      <c r="I23">
        <f t="shared" si="15"/>
        <v>40000</v>
      </c>
      <c r="J23">
        <f t="shared" si="15"/>
        <v>40000</v>
      </c>
      <c r="K23">
        <f t="shared" si="15"/>
        <v>40000</v>
      </c>
      <c r="L23">
        <f t="shared" si="15"/>
        <v>40000</v>
      </c>
      <c r="M23">
        <f t="shared" si="15"/>
        <v>40000</v>
      </c>
      <c r="N23">
        <f t="shared" si="15"/>
        <v>40000</v>
      </c>
      <c r="O23">
        <f t="shared" si="15"/>
        <v>40000</v>
      </c>
    </row>
    <row r="24" spans="1:16" x14ac:dyDescent="0.25">
      <c r="A24">
        <v>3</v>
      </c>
      <c r="B24">
        <v>0</v>
      </c>
      <c r="C24">
        <v>3</v>
      </c>
      <c r="D24" s="5">
        <f t="shared" ref="D24:D87" si="16">D23*$D$20</f>
        <v>40250.521195023153</v>
      </c>
      <c r="E24">
        <f t="shared" ref="E24:E87" si="17">E23*IF(MOD($C24,E$17)=0,E$20,1)</f>
        <v>40000</v>
      </c>
      <c r="F24">
        <f t="shared" si="15"/>
        <v>40279.999999999993</v>
      </c>
      <c r="G24">
        <f t="shared" si="15"/>
        <v>40000</v>
      </c>
      <c r="H24">
        <f t="shared" si="15"/>
        <v>40000</v>
      </c>
      <c r="I24">
        <f t="shared" si="15"/>
        <v>40000</v>
      </c>
      <c r="J24">
        <f t="shared" si="15"/>
        <v>40000</v>
      </c>
      <c r="K24">
        <f t="shared" si="15"/>
        <v>40000</v>
      </c>
      <c r="L24">
        <f t="shared" si="15"/>
        <v>40000</v>
      </c>
      <c r="M24">
        <f t="shared" si="15"/>
        <v>40000</v>
      </c>
      <c r="N24">
        <f t="shared" si="15"/>
        <v>40000</v>
      </c>
      <c r="O24">
        <f t="shared" si="15"/>
        <v>40000</v>
      </c>
    </row>
    <row r="25" spans="1:16" x14ac:dyDescent="0.25">
      <c r="A25">
        <v>4</v>
      </c>
      <c r="B25">
        <v>0</v>
      </c>
      <c r="C25">
        <v>4</v>
      </c>
      <c r="D25" s="5">
        <f t="shared" si="16"/>
        <v>40334.37644751279</v>
      </c>
      <c r="E25">
        <f t="shared" si="17"/>
        <v>40000</v>
      </c>
      <c r="F25">
        <f t="shared" si="15"/>
        <v>40279.999999999993</v>
      </c>
      <c r="G25">
        <f t="shared" si="15"/>
        <v>40000</v>
      </c>
      <c r="H25">
        <f t="shared" si="15"/>
        <v>40000</v>
      </c>
      <c r="I25">
        <f t="shared" si="15"/>
        <v>40000</v>
      </c>
      <c r="J25">
        <f t="shared" si="15"/>
        <v>40000</v>
      </c>
      <c r="K25">
        <f t="shared" si="15"/>
        <v>40000</v>
      </c>
      <c r="L25">
        <f t="shared" si="15"/>
        <v>40000</v>
      </c>
      <c r="M25">
        <f t="shared" si="15"/>
        <v>40000</v>
      </c>
      <c r="N25">
        <f t="shared" si="15"/>
        <v>40000</v>
      </c>
      <c r="O25">
        <f t="shared" si="15"/>
        <v>40000</v>
      </c>
    </row>
    <row r="26" spans="1:16" x14ac:dyDescent="0.25">
      <c r="A26">
        <v>5</v>
      </c>
      <c r="B26">
        <v>0</v>
      </c>
      <c r="C26">
        <v>5</v>
      </c>
      <c r="D26" s="5">
        <f t="shared" si="16"/>
        <v>40418.406398445113</v>
      </c>
      <c r="E26">
        <f t="shared" si="17"/>
        <v>40000</v>
      </c>
      <c r="F26">
        <f t="shared" si="15"/>
        <v>40279.999999999993</v>
      </c>
      <c r="G26">
        <f t="shared" si="15"/>
        <v>40000</v>
      </c>
      <c r="H26">
        <f t="shared" si="15"/>
        <v>40000</v>
      </c>
      <c r="I26">
        <f t="shared" si="15"/>
        <v>40000</v>
      </c>
      <c r="J26">
        <f t="shared" si="15"/>
        <v>40000</v>
      </c>
      <c r="K26">
        <f t="shared" si="15"/>
        <v>40000</v>
      </c>
      <c r="L26">
        <f t="shared" si="15"/>
        <v>40000</v>
      </c>
      <c r="M26">
        <f t="shared" si="15"/>
        <v>40000</v>
      </c>
      <c r="N26">
        <f t="shared" si="15"/>
        <v>40000</v>
      </c>
      <c r="O26">
        <f t="shared" si="15"/>
        <v>40000</v>
      </c>
    </row>
    <row r="27" spans="1:16" x14ac:dyDescent="0.25">
      <c r="A27">
        <v>6</v>
      </c>
      <c r="B27">
        <v>0</v>
      </c>
      <c r="C27">
        <v>6</v>
      </c>
      <c r="D27" s="5">
        <f t="shared" si="16"/>
        <v>40502.611411775215</v>
      </c>
      <c r="E27">
        <f t="shared" si="17"/>
        <v>40000</v>
      </c>
      <c r="F27">
        <f t="shared" si="15"/>
        <v>40561.959999999992</v>
      </c>
      <c r="G27">
        <f t="shared" si="15"/>
        <v>40000</v>
      </c>
      <c r="H27">
        <f t="shared" si="15"/>
        <v>40000</v>
      </c>
      <c r="I27">
        <f t="shared" si="15"/>
        <v>40620</v>
      </c>
      <c r="J27">
        <f t="shared" si="15"/>
        <v>40000</v>
      </c>
      <c r="K27">
        <f t="shared" si="15"/>
        <v>40000</v>
      </c>
      <c r="L27">
        <f t="shared" si="15"/>
        <v>40000</v>
      </c>
      <c r="M27">
        <f t="shared" si="15"/>
        <v>40000</v>
      </c>
      <c r="N27">
        <f t="shared" si="15"/>
        <v>40000</v>
      </c>
      <c r="O27">
        <f t="shared" si="15"/>
        <v>40000</v>
      </c>
    </row>
    <row r="28" spans="1:16" x14ac:dyDescent="0.25">
      <c r="A28">
        <v>7</v>
      </c>
      <c r="B28">
        <v>0</v>
      </c>
      <c r="C28">
        <v>7</v>
      </c>
      <c r="D28" s="5">
        <f t="shared" si="16"/>
        <v>40586.991852216415</v>
      </c>
      <c r="E28">
        <f t="shared" si="17"/>
        <v>40000</v>
      </c>
      <c r="F28">
        <f t="shared" si="15"/>
        <v>40561.959999999992</v>
      </c>
      <c r="G28">
        <f t="shared" si="15"/>
        <v>40000</v>
      </c>
      <c r="H28">
        <f t="shared" si="15"/>
        <v>40000</v>
      </c>
      <c r="I28">
        <f t="shared" si="15"/>
        <v>40620</v>
      </c>
      <c r="J28">
        <f t="shared" si="15"/>
        <v>40000</v>
      </c>
      <c r="K28">
        <f t="shared" si="15"/>
        <v>40000</v>
      </c>
      <c r="L28">
        <f t="shared" si="15"/>
        <v>40000</v>
      </c>
      <c r="M28">
        <f t="shared" si="15"/>
        <v>40000</v>
      </c>
      <c r="N28">
        <f t="shared" si="15"/>
        <v>40000</v>
      </c>
      <c r="O28">
        <f t="shared" si="15"/>
        <v>40000</v>
      </c>
    </row>
    <row r="29" spans="1:16" x14ac:dyDescent="0.25">
      <c r="A29">
        <v>8</v>
      </c>
      <c r="B29">
        <v>0</v>
      </c>
      <c r="C29">
        <v>8</v>
      </c>
      <c r="D29" s="5">
        <f t="shared" si="16"/>
        <v>40671.54808524187</v>
      </c>
      <c r="E29">
        <f t="shared" si="17"/>
        <v>40000</v>
      </c>
      <c r="F29">
        <f t="shared" si="15"/>
        <v>40561.959999999992</v>
      </c>
      <c r="G29">
        <f t="shared" si="15"/>
        <v>40000</v>
      </c>
      <c r="H29">
        <f t="shared" si="15"/>
        <v>40000</v>
      </c>
      <c r="I29">
        <f t="shared" si="15"/>
        <v>40620</v>
      </c>
      <c r="J29">
        <f t="shared" si="15"/>
        <v>40000</v>
      </c>
      <c r="K29">
        <f t="shared" si="15"/>
        <v>40000</v>
      </c>
      <c r="L29">
        <f t="shared" si="15"/>
        <v>40000</v>
      </c>
      <c r="M29">
        <f t="shared" si="15"/>
        <v>40000</v>
      </c>
      <c r="N29">
        <f t="shared" si="15"/>
        <v>40000</v>
      </c>
      <c r="O29">
        <f t="shared" si="15"/>
        <v>40000</v>
      </c>
    </row>
    <row r="30" spans="1:16" x14ac:dyDescent="0.25">
      <c r="A30">
        <v>9</v>
      </c>
      <c r="B30">
        <v>0</v>
      </c>
      <c r="C30">
        <v>9</v>
      </c>
      <c r="D30" s="5">
        <f t="shared" si="16"/>
        <v>40756.280477086126</v>
      </c>
      <c r="E30">
        <f t="shared" si="17"/>
        <v>40000</v>
      </c>
      <c r="F30">
        <f t="shared" si="15"/>
        <v>40845.893719999985</v>
      </c>
      <c r="G30">
        <f t="shared" si="15"/>
        <v>40000</v>
      </c>
      <c r="H30">
        <f t="shared" si="15"/>
        <v>40000</v>
      </c>
      <c r="I30">
        <f t="shared" si="15"/>
        <v>40620</v>
      </c>
      <c r="J30">
        <f t="shared" si="15"/>
        <v>40000</v>
      </c>
      <c r="K30">
        <f t="shared" si="15"/>
        <v>40000</v>
      </c>
      <c r="L30">
        <f t="shared" si="15"/>
        <v>40000</v>
      </c>
      <c r="M30">
        <f t="shared" si="15"/>
        <v>40000</v>
      </c>
      <c r="N30">
        <f t="shared" si="15"/>
        <v>40000</v>
      </c>
      <c r="O30">
        <f t="shared" si="15"/>
        <v>40000</v>
      </c>
    </row>
    <row r="31" spans="1:16" x14ac:dyDescent="0.25">
      <c r="A31">
        <v>10</v>
      </c>
      <c r="B31">
        <v>0</v>
      </c>
      <c r="C31">
        <v>10</v>
      </c>
      <c r="D31" s="5">
        <f t="shared" si="16"/>
        <v>40841.189394746725</v>
      </c>
      <c r="E31">
        <f t="shared" si="17"/>
        <v>40000</v>
      </c>
      <c r="F31">
        <f t="shared" si="15"/>
        <v>40845.893719999985</v>
      </c>
      <c r="G31">
        <f t="shared" si="15"/>
        <v>40000</v>
      </c>
      <c r="H31">
        <f t="shared" si="15"/>
        <v>40000</v>
      </c>
      <c r="I31">
        <f t="shared" si="15"/>
        <v>40620</v>
      </c>
      <c r="J31">
        <f t="shared" si="15"/>
        <v>40000</v>
      </c>
      <c r="K31">
        <f t="shared" si="15"/>
        <v>40000</v>
      </c>
      <c r="L31">
        <f t="shared" si="15"/>
        <v>40000</v>
      </c>
      <c r="M31">
        <f t="shared" si="15"/>
        <v>40000</v>
      </c>
      <c r="N31">
        <f t="shared" si="15"/>
        <v>40000</v>
      </c>
      <c r="O31">
        <f t="shared" si="15"/>
        <v>40000</v>
      </c>
    </row>
    <row r="32" spans="1:16" x14ac:dyDescent="0.25">
      <c r="A32">
        <v>11</v>
      </c>
      <c r="B32">
        <v>0</v>
      </c>
      <c r="C32">
        <v>11</v>
      </c>
      <c r="D32" s="5">
        <f t="shared" si="16"/>
        <v>40926.275205985788</v>
      </c>
      <c r="E32">
        <f t="shared" si="17"/>
        <v>40000</v>
      </c>
      <c r="F32">
        <f t="shared" si="15"/>
        <v>40845.893719999985</v>
      </c>
      <c r="G32">
        <f t="shared" si="15"/>
        <v>40000</v>
      </c>
      <c r="H32">
        <f t="shared" si="15"/>
        <v>40000</v>
      </c>
      <c r="I32">
        <f t="shared" si="15"/>
        <v>40620</v>
      </c>
      <c r="J32">
        <f t="shared" si="15"/>
        <v>40000</v>
      </c>
      <c r="K32">
        <f t="shared" si="15"/>
        <v>40000</v>
      </c>
      <c r="L32">
        <f t="shared" si="15"/>
        <v>40000</v>
      </c>
      <c r="M32">
        <f t="shared" si="15"/>
        <v>40000</v>
      </c>
      <c r="N32">
        <f t="shared" si="15"/>
        <v>40000</v>
      </c>
      <c r="O32">
        <f t="shared" si="15"/>
        <v>40000</v>
      </c>
    </row>
    <row r="33" spans="1:15" s="6" customFormat="1" x14ac:dyDescent="0.25">
      <c r="A33" s="6">
        <v>12</v>
      </c>
      <c r="B33" s="6">
        <v>0</v>
      </c>
      <c r="C33" s="6">
        <v>12</v>
      </c>
      <c r="D33" s="7">
        <f t="shared" si="16"/>
        <v>41011.538279331595</v>
      </c>
      <c r="E33" s="8">
        <f t="shared" si="17"/>
        <v>40000</v>
      </c>
      <c r="F33" s="9">
        <f t="shared" si="15"/>
        <v>41131.814976039983</v>
      </c>
      <c r="G33" s="6">
        <f t="shared" si="15"/>
        <v>40000</v>
      </c>
      <c r="H33" s="6">
        <f t="shared" si="15"/>
        <v>40000</v>
      </c>
      <c r="I33" s="10">
        <f t="shared" si="15"/>
        <v>41249.61</v>
      </c>
      <c r="J33" s="6">
        <f t="shared" si="15"/>
        <v>40000</v>
      </c>
      <c r="K33" s="6">
        <f t="shared" si="15"/>
        <v>40000</v>
      </c>
      <c r="L33" s="6">
        <f t="shared" si="15"/>
        <v>40000</v>
      </c>
      <c r="M33" s="6">
        <f t="shared" si="15"/>
        <v>40000</v>
      </c>
      <c r="N33" s="6">
        <f t="shared" si="15"/>
        <v>40000</v>
      </c>
      <c r="O33" s="10">
        <f t="shared" si="15"/>
        <v>41280</v>
      </c>
    </row>
    <row r="34" spans="1:15" x14ac:dyDescent="0.25">
      <c r="A34">
        <v>13</v>
      </c>
      <c r="B34">
        <v>1</v>
      </c>
      <c r="C34">
        <v>1</v>
      </c>
      <c r="D34" s="5">
        <f t="shared" si="16"/>
        <v>41096.978984080204</v>
      </c>
      <c r="E34">
        <f t="shared" si="17"/>
        <v>40000</v>
      </c>
      <c r="F34">
        <f t="shared" si="15"/>
        <v>41131.814976039983</v>
      </c>
      <c r="G34">
        <f t="shared" si="15"/>
        <v>40000</v>
      </c>
      <c r="H34">
        <f t="shared" si="15"/>
        <v>40000</v>
      </c>
      <c r="I34">
        <f t="shared" si="15"/>
        <v>41249.61</v>
      </c>
      <c r="J34">
        <f t="shared" si="15"/>
        <v>40000</v>
      </c>
      <c r="K34">
        <f t="shared" si="15"/>
        <v>40000</v>
      </c>
      <c r="L34">
        <f t="shared" si="15"/>
        <v>40000</v>
      </c>
      <c r="M34">
        <f t="shared" si="15"/>
        <v>40000</v>
      </c>
      <c r="N34">
        <f t="shared" si="15"/>
        <v>40000</v>
      </c>
      <c r="O34">
        <f t="shared" si="15"/>
        <v>41280</v>
      </c>
    </row>
    <row r="35" spans="1:15" x14ac:dyDescent="0.25">
      <c r="A35">
        <v>14</v>
      </c>
      <c r="B35">
        <v>1</v>
      </c>
      <c r="C35">
        <v>2</v>
      </c>
      <c r="D35" s="5">
        <f t="shared" si="16"/>
        <v>41182.597690297043</v>
      </c>
      <c r="E35">
        <f t="shared" si="17"/>
        <v>40000</v>
      </c>
      <c r="F35">
        <f t="shared" si="15"/>
        <v>41131.814976039983</v>
      </c>
      <c r="G35">
        <f t="shared" si="15"/>
        <v>40000</v>
      </c>
      <c r="H35">
        <f t="shared" si="15"/>
        <v>40000</v>
      </c>
      <c r="I35">
        <f t="shared" si="15"/>
        <v>41249.61</v>
      </c>
      <c r="J35">
        <f t="shared" si="15"/>
        <v>40000</v>
      </c>
      <c r="K35">
        <f t="shared" si="15"/>
        <v>40000</v>
      </c>
      <c r="L35">
        <f t="shared" si="15"/>
        <v>40000</v>
      </c>
      <c r="M35">
        <f t="shared" si="15"/>
        <v>40000</v>
      </c>
      <c r="N35">
        <f t="shared" si="15"/>
        <v>40000</v>
      </c>
      <c r="O35">
        <f t="shared" si="15"/>
        <v>41280</v>
      </c>
    </row>
    <row r="36" spans="1:15" x14ac:dyDescent="0.25">
      <c r="A36">
        <v>15</v>
      </c>
      <c r="B36">
        <v>1</v>
      </c>
      <c r="C36">
        <v>3</v>
      </c>
      <c r="D36" s="5">
        <f t="shared" si="16"/>
        <v>41268.3947688185</v>
      </c>
      <c r="E36">
        <f t="shared" si="17"/>
        <v>40000</v>
      </c>
      <c r="F36">
        <f t="shared" si="15"/>
        <v>41419.737680872262</v>
      </c>
      <c r="G36">
        <f t="shared" si="15"/>
        <v>40000</v>
      </c>
      <c r="H36">
        <f t="shared" si="15"/>
        <v>40000</v>
      </c>
      <c r="I36">
        <f t="shared" si="15"/>
        <v>41249.61</v>
      </c>
      <c r="J36">
        <f t="shared" si="15"/>
        <v>40000</v>
      </c>
      <c r="K36">
        <f t="shared" si="15"/>
        <v>40000</v>
      </c>
      <c r="L36">
        <f t="shared" si="15"/>
        <v>40000</v>
      </c>
      <c r="M36">
        <f t="shared" si="15"/>
        <v>40000</v>
      </c>
      <c r="N36">
        <f t="shared" si="15"/>
        <v>40000</v>
      </c>
      <c r="O36">
        <f t="shared" si="15"/>
        <v>41280</v>
      </c>
    </row>
    <row r="37" spans="1:15" x14ac:dyDescent="0.25">
      <c r="A37">
        <v>16</v>
      </c>
      <c r="B37">
        <v>1</v>
      </c>
      <c r="C37">
        <v>4</v>
      </c>
      <c r="D37" s="5">
        <f t="shared" si="16"/>
        <v>41354.370591253544</v>
      </c>
      <c r="E37">
        <f t="shared" si="17"/>
        <v>40000</v>
      </c>
      <c r="F37">
        <f t="shared" si="15"/>
        <v>41419.737680872262</v>
      </c>
      <c r="G37">
        <f t="shared" si="15"/>
        <v>40000</v>
      </c>
      <c r="H37">
        <f t="shared" si="15"/>
        <v>40000</v>
      </c>
      <c r="I37">
        <f t="shared" si="15"/>
        <v>41249.61</v>
      </c>
      <c r="J37">
        <f t="shared" si="15"/>
        <v>40000</v>
      </c>
      <c r="K37">
        <f t="shared" si="15"/>
        <v>40000</v>
      </c>
      <c r="L37">
        <f t="shared" si="15"/>
        <v>40000</v>
      </c>
      <c r="M37">
        <f t="shared" si="15"/>
        <v>40000</v>
      </c>
      <c r="N37">
        <f t="shared" si="15"/>
        <v>40000</v>
      </c>
      <c r="O37">
        <f t="shared" si="15"/>
        <v>41280</v>
      </c>
    </row>
    <row r="38" spans="1:15" x14ac:dyDescent="0.25">
      <c r="A38">
        <v>17</v>
      </c>
      <c r="B38">
        <v>1</v>
      </c>
      <c r="C38">
        <v>5</v>
      </c>
      <c r="D38" s="5">
        <f t="shared" si="16"/>
        <v>41440.525529985323</v>
      </c>
      <c r="E38">
        <f t="shared" si="17"/>
        <v>40000</v>
      </c>
      <c r="F38">
        <f t="shared" si="15"/>
        <v>41419.737680872262</v>
      </c>
      <c r="G38">
        <f t="shared" si="15"/>
        <v>40000</v>
      </c>
      <c r="H38">
        <f t="shared" si="15"/>
        <v>40000</v>
      </c>
      <c r="I38">
        <f t="shared" si="15"/>
        <v>41249.61</v>
      </c>
      <c r="J38">
        <f t="shared" si="15"/>
        <v>40000</v>
      </c>
      <c r="K38">
        <f t="shared" si="15"/>
        <v>40000</v>
      </c>
      <c r="L38">
        <f t="shared" si="15"/>
        <v>40000</v>
      </c>
      <c r="M38">
        <f t="shared" si="15"/>
        <v>40000</v>
      </c>
      <c r="N38">
        <f t="shared" si="15"/>
        <v>40000</v>
      </c>
      <c r="O38">
        <f t="shared" si="15"/>
        <v>41280</v>
      </c>
    </row>
    <row r="39" spans="1:15" x14ac:dyDescent="0.25">
      <c r="A39">
        <v>18</v>
      </c>
      <c r="B39">
        <v>1</v>
      </c>
      <c r="C39">
        <v>6</v>
      </c>
      <c r="D39" s="5">
        <f t="shared" si="16"/>
        <v>41526.859958172798</v>
      </c>
      <c r="E39">
        <f t="shared" si="17"/>
        <v>40000</v>
      </c>
      <c r="F39">
        <f t="shared" ref="F39:F93" si="18">F38*IF(MOD($C39,F$17)=0,F$20,1)</f>
        <v>41709.675844638361</v>
      </c>
      <c r="G39">
        <f t="shared" ref="G39:G93" si="19">G38*IF(MOD($C39,G$17)=0,G$20,1)</f>
        <v>40000</v>
      </c>
      <c r="H39">
        <f t="shared" ref="H39:H93" si="20">H38*IF(MOD($C39,H$17)=0,H$20,1)</f>
        <v>40000</v>
      </c>
      <c r="I39">
        <f t="shared" ref="I39:I93" si="21">I38*IF(MOD($C39,I$17)=0,I$20,1)</f>
        <v>41888.978955000006</v>
      </c>
      <c r="J39">
        <f t="shared" ref="J39:J93" si="22">J38*IF(MOD($C39,J$17)=0,J$20,1)</f>
        <v>40000</v>
      </c>
      <c r="K39">
        <f t="shared" ref="K39:K93" si="23">K38*IF(MOD($C39,K$17)=0,K$20,1)</f>
        <v>40000</v>
      </c>
      <c r="L39">
        <f t="shared" ref="L39:L93" si="24">L38*IF(MOD($C39,L$17)=0,L$20,1)</f>
        <v>40000</v>
      </c>
      <c r="M39">
        <f t="shared" ref="M39:M93" si="25">M38*IF(MOD($C39,M$17)=0,M$20,1)</f>
        <v>40000</v>
      </c>
      <c r="N39">
        <f t="shared" ref="N39:N93" si="26">N38*IF(MOD($C39,N$17)=0,N$20,1)</f>
        <v>40000</v>
      </c>
      <c r="O39">
        <f t="shared" ref="O39:O93" si="27">O38*IF(MOD($C39,O$17)=0,O$20,1)</f>
        <v>41280</v>
      </c>
    </row>
    <row r="40" spans="1:15" x14ac:dyDescent="0.25">
      <c r="A40">
        <v>19</v>
      </c>
      <c r="B40">
        <v>1</v>
      </c>
      <c r="C40">
        <v>7</v>
      </c>
      <c r="D40" s="5">
        <f t="shared" si="16"/>
        <v>41613.374249752327</v>
      </c>
      <c r="E40">
        <f t="shared" si="17"/>
        <v>40000</v>
      </c>
      <c r="F40">
        <f t="shared" si="18"/>
        <v>41709.675844638361</v>
      </c>
      <c r="G40">
        <f t="shared" si="19"/>
        <v>40000</v>
      </c>
      <c r="H40">
        <f t="shared" si="20"/>
        <v>40000</v>
      </c>
      <c r="I40">
        <f t="shared" si="21"/>
        <v>41888.978955000006</v>
      </c>
      <c r="J40">
        <f t="shared" si="22"/>
        <v>40000</v>
      </c>
      <c r="K40">
        <f t="shared" si="23"/>
        <v>40000</v>
      </c>
      <c r="L40">
        <f t="shared" si="24"/>
        <v>40000</v>
      </c>
      <c r="M40">
        <f t="shared" si="25"/>
        <v>40000</v>
      </c>
      <c r="N40">
        <f t="shared" si="26"/>
        <v>40000</v>
      </c>
      <c r="O40">
        <f t="shared" si="27"/>
        <v>41280</v>
      </c>
    </row>
    <row r="41" spans="1:15" x14ac:dyDescent="0.25">
      <c r="A41">
        <v>20</v>
      </c>
      <c r="B41">
        <v>1</v>
      </c>
      <c r="C41">
        <v>8</v>
      </c>
      <c r="D41" s="5">
        <f t="shared" si="16"/>
        <v>41700.068779439316</v>
      </c>
      <c r="E41">
        <f t="shared" si="17"/>
        <v>40000</v>
      </c>
      <c r="F41">
        <f t="shared" si="18"/>
        <v>41709.675844638361</v>
      </c>
      <c r="G41">
        <f t="shared" si="19"/>
        <v>40000</v>
      </c>
      <c r="H41">
        <f t="shared" si="20"/>
        <v>40000</v>
      </c>
      <c r="I41">
        <f t="shared" si="21"/>
        <v>41888.978955000006</v>
      </c>
      <c r="J41">
        <f t="shared" si="22"/>
        <v>40000</v>
      </c>
      <c r="K41">
        <f t="shared" si="23"/>
        <v>40000</v>
      </c>
      <c r="L41">
        <f t="shared" si="24"/>
        <v>40000</v>
      </c>
      <c r="M41">
        <f t="shared" si="25"/>
        <v>40000</v>
      </c>
      <c r="N41">
        <f t="shared" si="26"/>
        <v>40000</v>
      </c>
      <c r="O41">
        <f t="shared" si="27"/>
        <v>41280</v>
      </c>
    </row>
    <row r="42" spans="1:15" x14ac:dyDescent="0.25">
      <c r="A42">
        <v>21</v>
      </c>
      <c r="B42">
        <v>1</v>
      </c>
      <c r="C42">
        <v>9</v>
      </c>
      <c r="D42" s="5">
        <f t="shared" si="16"/>
        <v>41786.943922729821</v>
      </c>
      <c r="E42">
        <f t="shared" si="17"/>
        <v>40000</v>
      </c>
      <c r="F42">
        <f t="shared" si="18"/>
        <v>42001.643575550828</v>
      </c>
      <c r="G42">
        <f t="shared" si="19"/>
        <v>40000</v>
      </c>
      <c r="H42">
        <f t="shared" si="20"/>
        <v>40000</v>
      </c>
      <c r="I42">
        <f t="shared" si="21"/>
        <v>41888.978955000006</v>
      </c>
      <c r="J42">
        <f t="shared" si="22"/>
        <v>40000</v>
      </c>
      <c r="K42">
        <f t="shared" si="23"/>
        <v>40000</v>
      </c>
      <c r="L42">
        <f t="shared" si="24"/>
        <v>40000</v>
      </c>
      <c r="M42">
        <f t="shared" si="25"/>
        <v>40000</v>
      </c>
      <c r="N42">
        <f t="shared" si="26"/>
        <v>40000</v>
      </c>
      <c r="O42">
        <f t="shared" si="27"/>
        <v>41280</v>
      </c>
    </row>
    <row r="43" spans="1:15" x14ac:dyDescent="0.25">
      <c r="A43">
        <v>22</v>
      </c>
      <c r="B43">
        <v>1</v>
      </c>
      <c r="C43">
        <v>10</v>
      </c>
      <c r="D43" s="5">
        <f t="shared" si="16"/>
        <v>41874.000055902179</v>
      </c>
      <c r="E43">
        <f t="shared" si="17"/>
        <v>40000</v>
      </c>
      <c r="F43">
        <f t="shared" si="18"/>
        <v>42001.643575550828</v>
      </c>
      <c r="G43">
        <f t="shared" si="19"/>
        <v>40000</v>
      </c>
      <c r="H43">
        <f t="shared" si="20"/>
        <v>40000</v>
      </c>
      <c r="I43">
        <f t="shared" si="21"/>
        <v>41888.978955000006</v>
      </c>
      <c r="J43">
        <f t="shared" si="22"/>
        <v>40000</v>
      </c>
      <c r="K43">
        <f t="shared" si="23"/>
        <v>40000</v>
      </c>
      <c r="L43">
        <f t="shared" si="24"/>
        <v>40000</v>
      </c>
      <c r="M43">
        <f t="shared" si="25"/>
        <v>40000</v>
      </c>
      <c r="N43">
        <f t="shared" si="26"/>
        <v>40000</v>
      </c>
      <c r="O43">
        <f t="shared" si="27"/>
        <v>41280</v>
      </c>
    </row>
    <row r="44" spans="1:15" x14ac:dyDescent="0.25">
      <c r="A44">
        <v>23</v>
      </c>
      <c r="B44">
        <v>1</v>
      </c>
      <c r="C44">
        <v>11</v>
      </c>
      <c r="D44" s="5">
        <f t="shared" si="16"/>
        <v>41961.237556018648</v>
      </c>
      <c r="E44">
        <f t="shared" si="17"/>
        <v>40000</v>
      </c>
      <c r="F44">
        <f t="shared" si="18"/>
        <v>42001.643575550828</v>
      </c>
      <c r="G44">
        <f t="shared" si="19"/>
        <v>40000</v>
      </c>
      <c r="H44">
        <f t="shared" si="20"/>
        <v>40000</v>
      </c>
      <c r="I44">
        <f t="shared" si="21"/>
        <v>41888.978955000006</v>
      </c>
      <c r="J44">
        <f t="shared" si="22"/>
        <v>40000</v>
      </c>
      <c r="K44">
        <f t="shared" si="23"/>
        <v>40000</v>
      </c>
      <c r="L44">
        <f t="shared" si="24"/>
        <v>40000</v>
      </c>
      <c r="M44">
        <f t="shared" si="25"/>
        <v>40000</v>
      </c>
      <c r="N44">
        <f t="shared" si="26"/>
        <v>40000</v>
      </c>
      <c r="O44">
        <f t="shared" si="27"/>
        <v>41280</v>
      </c>
    </row>
    <row r="45" spans="1:15" s="6" customFormat="1" x14ac:dyDescent="0.25">
      <c r="A45" s="6">
        <v>24</v>
      </c>
      <c r="B45" s="6">
        <v>1</v>
      </c>
      <c r="C45" s="6">
        <v>12</v>
      </c>
      <c r="D45" s="7">
        <f t="shared" si="16"/>
        <v>42048.656800927027</v>
      </c>
      <c r="E45" s="8">
        <f t="shared" si="17"/>
        <v>40000</v>
      </c>
      <c r="F45" s="9">
        <f t="shared" si="18"/>
        <v>42295.65508057968</v>
      </c>
      <c r="G45" s="6">
        <f t="shared" si="19"/>
        <v>40000</v>
      </c>
      <c r="H45" s="6">
        <f t="shared" si="20"/>
        <v>40000</v>
      </c>
      <c r="I45" s="15">
        <f t="shared" si="21"/>
        <v>42538.25812880251</v>
      </c>
      <c r="J45" s="6">
        <f t="shared" si="22"/>
        <v>40000</v>
      </c>
      <c r="K45" s="6">
        <f t="shared" si="23"/>
        <v>40000</v>
      </c>
      <c r="L45" s="6">
        <f t="shared" si="24"/>
        <v>40000</v>
      </c>
      <c r="M45" s="6">
        <f t="shared" si="25"/>
        <v>40000</v>
      </c>
      <c r="N45" s="6">
        <f t="shared" si="26"/>
        <v>40000</v>
      </c>
      <c r="O45" s="10">
        <f t="shared" si="27"/>
        <v>42600.959999999999</v>
      </c>
    </row>
    <row r="46" spans="1:15" x14ac:dyDescent="0.25">
      <c r="A46">
        <v>25</v>
      </c>
      <c r="B46">
        <v>2</v>
      </c>
      <c r="C46">
        <v>1</v>
      </c>
      <c r="D46" s="5">
        <f t="shared" si="16"/>
        <v>42136.258169262299</v>
      </c>
      <c r="E46">
        <f t="shared" si="17"/>
        <v>40000</v>
      </c>
      <c r="F46">
        <f t="shared" si="18"/>
        <v>42295.65508057968</v>
      </c>
      <c r="G46">
        <f t="shared" si="19"/>
        <v>40000</v>
      </c>
      <c r="H46">
        <f t="shared" si="20"/>
        <v>40000</v>
      </c>
      <c r="I46">
        <f t="shared" si="21"/>
        <v>42538.25812880251</v>
      </c>
      <c r="J46">
        <f t="shared" si="22"/>
        <v>40000</v>
      </c>
      <c r="K46">
        <f t="shared" si="23"/>
        <v>40000</v>
      </c>
      <c r="L46">
        <f t="shared" si="24"/>
        <v>40000</v>
      </c>
      <c r="M46">
        <f t="shared" si="25"/>
        <v>40000</v>
      </c>
      <c r="N46">
        <f t="shared" si="26"/>
        <v>40000</v>
      </c>
      <c r="O46">
        <f t="shared" si="27"/>
        <v>42600.959999999999</v>
      </c>
    </row>
    <row r="47" spans="1:15" x14ac:dyDescent="0.25">
      <c r="A47">
        <v>26</v>
      </c>
      <c r="B47">
        <v>2</v>
      </c>
      <c r="C47">
        <v>2</v>
      </c>
      <c r="D47" s="5">
        <f t="shared" si="16"/>
        <v>42224.042040448265</v>
      </c>
      <c r="E47">
        <f t="shared" si="17"/>
        <v>40000</v>
      </c>
      <c r="F47">
        <f t="shared" si="18"/>
        <v>42295.65508057968</v>
      </c>
      <c r="G47">
        <f t="shared" si="19"/>
        <v>40000</v>
      </c>
      <c r="H47">
        <f t="shared" si="20"/>
        <v>40000</v>
      </c>
      <c r="I47">
        <f t="shared" si="21"/>
        <v>42538.25812880251</v>
      </c>
      <c r="J47">
        <f t="shared" si="22"/>
        <v>40000</v>
      </c>
      <c r="K47">
        <f t="shared" si="23"/>
        <v>40000</v>
      </c>
      <c r="L47">
        <f t="shared" si="24"/>
        <v>40000</v>
      </c>
      <c r="M47">
        <f t="shared" si="25"/>
        <v>40000</v>
      </c>
      <c r="N47">
        <f t="shared" si="26"/>
        <v>40000</v>
      </c>
      <c r="O47">
        <f t="shared" si="27"/>
        <v>42600.959999999999</v>
      </c>
    </row>
    <row r="48" spans="1:15" x14ac:dyDescent="0.25">
      <c r="A48">
        <v>27</v>
      </c>
      <c r="B48">
        <v>2</v>
      </c>
      <c r="C48">
        <v>3</v>
      </c>
      <c r="D48" s="5">
        <f t="shared" si="16"/>
        <v>42312.008794699206</v>
      </c>
      <c r="E48">
        <f t="shared" si="17"/>
        <v>40000</v>
      </c>
      <c r="F48">
        <f t="shared" si="18"/>
        <v>42591.724666143731</v>
      </c>
      <c r="G48">
        <f t="shared" si="19"/>
        <v>40000</v>
      </c>
      <c r="H48">
        <f t="shared" si="20"/>
        <v>40000</v>
      </c>
      <c r="I48">
        <f t="shared" si="21"/>
        <v>42538.25812880251</v>
      </c>
      <c r="J48">
        <f t="shared" si="22"/>
        <v>40000</v>
      </c>
      <c r="K48">
        <f t="shared" si="23"/>
        <v>40000</v>
      </c>
      <c r="L48">
        <f t="shared" si="24"/>
        <v>40000</v>
      </c>
      <c r="M48">
        <f t="shared" si="25"/>
        <v>40000</v>
      </c>
      <c r="N48">
        <f t="shared" si="26"/>
        <v>40000</v>
      </c>
      <c r="O48">
        <f t="shared" si="27"/>
        <v>42600.959999999999</v>
      </c>
    </row>
    <row r="49" spans="1:15" x14ac:dyDescent="0.25">
      <c r="A49">
        <v>28</v>
      </c>
      <c r="B49">
        <v>2</v>
      </c>
      <c r="C49">
        <v>4</v>
      </c>
      <c r="D49" s="5">
        <f t="shared" si="16"/>
        <v>42400.158813021502</v>
      </c>
      <c r="E49">
        <f t="shared" si="17"/>
        <v>40000</v>
      </c>
      <c r="F49">
        <f t="shared" si="18"/>
        <v>42591.724666143731</v>
      </c>
      <c r="G49">
        <f t="shared" si="19"/>
        <v>40000</v>
      </c>
      <c r="H49">
        <f t="shared" si="20"/>
        <v>40000</v>
      </c>
      <c r="I49">
        <f t="shared" si="21"/>
        <v>42538.25812880251</v>
      </c>
      <c r="J49">
        <f t="shared" si="22"/>
        <v>40000</v>
      </c>
      <c r="K49">
        <f t="shared" si="23"/>
        <v>40000</v>
      </c>
      <c r="L49">
        <f t="shared" si="24"/>
        <v>40000</v>
      </c>
      <c r="M49">
        <f t="shared" si="25"/>
        <v>40000</v>
      </c>
      <c r="N49">
        <f t="shared" si="26"/>
        <v>40000</v>
      </c>
      <c r="O49">
        <f t="shared" si="27"/>
        <v>42600.959999999999</v>
      </c>
    </row>
    <row r="50" spans="1:15" x14ac:dyDescent="0.25">
      <c r="A50">
        <v>29</v>
      </c>
      <c r="B50">
        <v>2</v>
      </c>
      <c r="C50">
        <v>5</v>
      </c>
      <c r="D50" s="5">
        <f t="shared" si="16"/>
        <v>42488.492477215303</v>
      </c>
      <c r="E50">
        <f t="shared" si="17"/>
        <v>40000</v>
      </c>
      <c r="F50">
        <f t="shared" si="18"/>
        <v>42591.724666143731</v>
      </c>
      <c r="G50">
        <f t="shared" si="19"/>
        <v>40000</v>
      </c>
      <c r="H50">
        <f t="shared" si="20"/>
        <v>40000</v>
      </c>
      <c r="I50">
        <f t="shared" si="21"/>
        <v>42538.25812880251</v>
      </c>
      <c r="J50">
        <f t="shared" si="22"/>
        <v>40000</v>
      </c>
      <c r="K50">
        <f t="shared" si="23"/>
        <v>40000</v>
      </c>
      <c r="L50">
        <f t="shared" si="24"/>
        <v>40000</v>
      </c>
      <c r="M50">
        <f t="shared" si="25"/>
        <v>40000</v>
      </c>
      <c r="N50">
        <f t="shared" si="26"/>
        <v>40000</v>
      </c>
      <c r="O50">
        <f t="shared" si="27"/>
        <v>42600.959999999999</v>
      </c>
    </row>
    <row r="51" spans="1:15" x14ac:dyDescent="0.25">
      <c r="A51">
        <v>30</v>
      </c>
      <c r="B51">
        <v>2</v>
      </c>
      <c r="C51">
        <v>6</v>
      </c>
      <c r="D51" s="5">
        <f t="shared" si="16"/>
        <v>42577.010169876172</v>
      </c>
      <c r="E51">
        <f t="shared" si="17"/>
        <v>40000</v>
      </c>
      <c r="F51">
        <f t="shared" si="18"/>
        <v>42889.866738806733</v>
      </c>
      <c r="G51">
        <f t="shared" si="19"/>
        <v>40000</v>
      </c>
      <c r="H51">
        <f t="shared" si="20"/>
        <v>40000</v>
      </c>
      <c r="I51">
        <f t="shared" si="21"/>
        <v>43197.601129798953</v>
      </c>
      <c r="J51">
        <f t="shared" si="22"/>
        <v>40000</v>
      </c>
      <c r="K51">
        <f t="shared" si="23"/>
        <v>40000</v>
      </c>
      <c r="L51">
        <f t="shared" si="24"/>
        <v>40000</v>
      </c>
      <c r="M51">
        <f t="shared" si="25"/>
        <v>40000</v>
      </c>
      <c r="N51">
        <f t="shared" si="26"/>
        <v>40000</v>
      </c>
      <c r="O51">
        <f t="shared" si="27"/>
        <v>42600.959999999999</v>
      </c>
    </row>
    <row r="52" spans="1:15" x14ac:dyDescent="0.25">
      <c r="A52">
        <v>31</v>
      </c>
      <c r="B52">
        <v>2</v>
      </c>
      <c r="C52">
        <v>7</v>
      </c>
      <c r="D52" s="5">
        <f t="shared" si="16"/>
        <v>42665.712274396748</v>
      </c>
      <c r="E52">
        <f t="shared" si="17"/>
        <v>40000</v>
      </c>
      <c r="F52">
        <f t="shared" si="18"/>
        <v>42889.866738806733</v>
      </c>
      <c r="G52">
        <f t="shared" si="19"/>
        <v>40000</v>
      </c>
      <c r="H52">
        <f t="shared" si="20"/>
        <v>40000</v>
      </c>
      <c r="I52">
        <f t="shared" si="21"/>
        <v>43197.601129798953</v>
      </c>
      <c r="J52">
        <f t="shared" si="22"/>
        <v>40000</v>
      </c>
      <c r="K52">
        <f t="shared" si="23"/>
        <v>40000</v>
      </c>
      <c r="L52">
        <f t="shared" si="24"/>
        <v>40000</v>
      </c>
      <c r="M52">
        <f t="shared" si="25"/>
        <v>40000</v>
      </c>
      <c r="N52">
        <f t="shared" si="26"/>
        <v>40000</v>
      </c>
      <c r="O52">
        <f t="shared" si="27"/>
        <v>42600.959999999999</v>
      </c>
    </row>
    <row r="53" spans="1:15" x14ac:dyDescent="0.25">
      <c r="A53">
        <v>32</v>
      </c>
      <c r="B53">
        <v>2</v>
      </c>
      <c r="C53">
        <v>8</v>
      </c>
      <c r="D53" s="5">
        <f t="shared" si="16"/>
        <v>42754.599174968411</v>
      </c>
      <c r="E53">
        <f t="shared" si="17"/>
        <v>40000</v>
      </c>
      <c r="F53">
        <f t="shared" si="18"/>
        <v>42889.866738806733</v>
      </c>
      <c r="G53">
        <f t="shared" si="19"/>
        <v>40000</v>
      </c>
      <c r="H53">
        <f t="shared" si="20"/>
        <v>40000</v>
      </c>
      <c r="I53">
        <f t="shared" si="21"/>
        <v>43197.601129798953</v>
      </c>
      <c r="J53">
        <f t="shared" si="22"/>
        <v>40000</v>
      </c>
      <c r="K53">
        <f t="shared" si="23"/>
        <v>40000</v>
      </c>
      <c r="L53">
        <f t="shared" si="24"/>
        <v>40000</v>
      </c>
      <c r="M53">
        <f t="shared" si="25"/>
        <v>40000</v>
      </c>
      <c r="N53">
        <f t="shared" si="26"/>
        <v>40000</v>
      </c>
      <c r="O53">
        <f t="shared" si="27"/>
        <v>42600.959999999999</v>
      </c>
    </row>
    <row r="54" spans="1:15" x14ac:dyDescent="0.25">
      <c r="A54">
        <v>33</v>
      </c>
      <c r="B54">
        <v>2</v>
      </c>
      <c r="C54">
        <v>9</v>
      </c>
      <c r="D54" s="5">
        <f t="shared" si="16"/>
        <v>42843.671256582929</v>
      </c>
      <c r="E54">
        <f t="shared" si="17"/>
        <v>40000</v>
      </c>
      <c r="F54">
        <f t="shared" si="18"/>
        <v>43190.095805978373</v>
      </c>
      <c r="G54">
        <f t="shared" si="19"/>
        <v>40000</v>
      </c>
      <c r="H54">
        <f t="shared" si="20"/>
        <v>40000</v>
      </c>
      <c r="I54">
        <f t="shared" si="21"/>
        <v>43197.601129798953</v>
      </c>
      <c r="J54">
        <f t="shared" si="22"/>
        <v>40000</v>
      </c>
      <c r="K54">
        <f t="shared" si="23"/>
        <v>40000</v>
      </c>
      <c r="L54">
        <f t="shared" si="24"/>
        <v>40000</v>
      </c>
      <c r="M54">
        <f t="shared" si="25"/>
        <v>40000</v>
      </c>
      <c r="N54">
        <f t="shared" si="26"/>
        <v>40000</v>
      </c>
      <c r="O54">
        <f t="shared" si="27"/>
        <v>42600.959999999999</v>
      </c>
    </row>
    <row r="55" spans="1:15" x14ac:dyDescent="0.25">
      <c r="A55">
        <v>34</v>
      </c>
      <c r="B55">
        <v>2</v>
      </c>
      <c r="C55">
        <v>10</v>
      </c>
      <c r="D55" s="5">
        <f t="shared" si="16"/>
        <v>42932.928905034147</v>
      </c>
      <c r="E55">
        <f t="shared" si="17"/>
        <v>40000</v>
      </c>
      <c r="F55">
        <f t="shared" si="18"/>
        <v>43190.095805978373</v>
      </c>
      <c r="G55">
        <f t="shared" si="19"/>
        <v>40000</v>
      </c>
      <c r="H55">
        <f t="shared" si="20"/>
        <v>40000</v>
      </c>
      <c r="I55">
        <f t="shared" si="21"/>
        <v>43197.601129798953</v>
      </c>
      <c r="J55">
        <f t="shared" si="22"/>
        <v>40000</v>
      </c>
      <c r="K55">
        <f t="shared" si="23"/>
        <v>40000</v>
      </c>
      <c r="L55">
        <f t="shared" si="24"/>
        <v>40000</v>
      </c>
      <c r="M55">
        <f t="shared" si="25"/>
        <v>40000</v>
      </c>
      <c r="N55">
        <f t="shared" si="26"/>
        <v>40000</v>
      </c>
      <c r="O55">
        <f t="shared" si="27"/>
        <v>42600.959999999999</v>
      </c>
    </row>
    <row r="56" spans="1:15" x14ac:dyDescent="0.25">
      <c r="A56">
        <v>35</v>
      </c>
      <c r="B56">
        <v>2</v>
      </c>
      <c r="C56">
        <v>11</v>
      </c>
      <c r="D56" s="5">
        <f t="shared" si="16"/>
        <v>43022.372506919637</v>
      </c>
      <c r="E56">
        <f t="shared" si="17"/>
        <v>40000</v>
      </c>
      <c r="F56">
        <f t="shared" si="18"/>
        <v>43190.095805978373</v>
      </c>
      <c r="G56">
        <f t="shared" si="19"/>
        <v>40000</v>
      </c>
      <c r="H56">
        <f t="shared" si="20"/>
        <v>40000</v>
      </c>
      <c r="I56">
        <f t="shared" si="21"/>
        <v>43197.601129798953</v>
      </c>
      <c r="J56">
        <f t="shared" si="22"/>
        <v>40000</v>
      </c>
      <c r="K56">
        <f t="shared" si="23"/>
        <v>40000</v>
      </c>
      <c r="L56">
        <f t="shared" si="24"/>
        <v>40000</v>
      </c>
      <c r="M56">
        <f t="shared" si="25"/>
        <v>40000</v>
      </c>
      <c r="N56">
        <f t="shared" si="26"/>
        <v>40000</v>
      </c>
      <c r="O56">
        <f t="shared" si="27"/>
        <v>42600.959999999999</v>
      </c>
    </row>
    <row r="57" spans="1:15" s="6" customFormat="1" x14ac:dyDescent="0.25">
      <c r="A57" s="6">
        <v>36</v>
      </c>
      <c r="B57" s="6">
        <v>2</v>
      </c>
      <c r="C57" s="6">
        <v>12</v>
      </c>
      <c r="D57" s="7">
        <f t="shared" si="16"/>
        <v>43112.002449642394</v>
      </c>
      <c r="E57" s="8">
        <f t="shared" si="17"/>
        <v>40000</v>
      </c>
      <c r="F57" s="9">
        <f t="shared" si="18"/>
        <v>43492.426476620218</v>
      </c>
      <c r="G57" s="6">
        <f t="shared" si="19"/>
        <v>40000</v>
      </c>
      <c r="H57" s="6">
        <f t="shared" si="20"/>
        <v>40000</v>
      </c>
      <c r="I57" s="10">
        <f t="shared" si="21"/>
        <v>43867.163947310837</v>
      </c>
      <c r="J57" s="6">
        <f t="shared" si="22"/>
        <v>40000</v>
      </c>
      <c r="K57" s="6">
        <f t="shared" si="23"/>
        <v>40000</v>
      </c>
      <c r="L57" s="6">
        <f t="shared" si="24"/>
        <v>40000</v>
      </c>
      <c r="M57" s="6">
        <f t="shared" si="25"/>
        <v>40000</v>
      </c>
      <c r="N57" s="6">
        <f t="shared" si="26"/>
        <v>40000</v>
      </c>
      <c r="O57" s="10">
        <f t="shared" si="27"/>
        <v>43964.190719999999</v>
      </c>
    </row>
    <row r="58" spans="1:15" x14ac:dyDescent="0.25">
      <c r="A58">
        <v>37</v>
      </c>
      <c r="B58">
        <v>3</v>
      </c>
      <c r="C58">
        <v>1</v>
      </c>
      <c r="D58" s="5">
        <f t="shared" si="16"/>
        <v>43201.819121412489</v>
      </c>
      <c r="E58">
        <f t="shared" si="17"/>
        <v>40000</v>
      </c>
      <c r="F58">
        <f t="shared" si="18"/>
        <v>43492.426476620218</v>
      </c>
      <c r="G58">
        <f t="shared" si="19"/>
        <v>40000</v>
      </c>
      <c r="H58">
        <f t="shared" si="20"/>
        <v>40000</v>
      </c>
      <c r="I58">
        <f t="shared" si="21"/>
        <v>43867.163947310837</v>
      </c>
      <c r="J58">
        <f t="shared" si="22"/>
        <v>40000</v>
      </c>
      <c r="K58">
        <f t="shared" si="23"/>
        <v>40000</v>
      </c>
      <c r="L58">
        <f t="shared" si="24"/>
        <v>40000</v>
      </c>
      <c r="M58">
        <f t="shared" si="25"/>
        <v>40000</v>
      </c>
      <c r="N58">
        <f t="shared" si="26"/>
        <v>40000</v>
      </c>
      <c r="O58">
        <f t="shared" si="27"/>
        <v>43964.190719999999</v>
      </c>
    </row>
    <row r="59" spans="1:15" x14ac:dyDescent="0.25">
      <c r="A59">
        <v>38</v>
      </c>
      <c r="B59">
        <v>3</v>
      </c>
      <c r="C59">
        <v>2</v>
      </c>
      <c r="D59" s="5">
        <f t="shared" si="16"/>
        <v>43291.822911248768</v>
      </c>
      <c r="E59">
        <f t="shared" si="17"/>
        <v>40000</v>
      </c>
      <c r="F59">
        <f t="shared" si="18"/>
        <v>43492.426476620218</v>
      </c>
      <c r="G59">
        <f t="shared" si="19"/>
        <v>40000</v>
      </c>
      <c r="H59">
        <f t="shared" si="20"/>
        <v>40000</v>
      </c>
      <c r="I59">
        <f t="shared" si="21"/>
        <v>43867.163947310837</v>
      </c>
      <c r="J59">
        <f t="shared" si="22"/>
        <v>40000</v>
      </c>
      <c r="K59">
        <f t="shared" si="23"/>
        <v>40000</v>
      </c>
      <c r="L59">
        <f t="shared" si="24"/>
        <v>40000</v>
      </c>
      <c r="M59">
        <f t="shared" si="25"/>
        <v>40000</v>
      </c>
      <c r="N59">
        <f t="shared" si="26"/>
        <v>40000</v>
      </c>
      <c r="O59">
        <f t="shared" si="27"/>
        <v>43964.190719999999</v>
      </c>
    </row>
    <row r="60" spans="1:15" x14ac:dyDescent="0.25">
      <c r="A60">
        <v>39</v>
      </c>
      <c r="B60">
        <v>3</v>
      </c>
      <c r="C60">
        <v>3</v>
      </c>
      <c r="D60" s="5">
        <f t="shared" si="16"/>
        <v>43382.014208980538</v>
      </c>
      <c r="E60">
        <f t="shared" si="17"/>
        <v>40000</v>
      </c>
      <c r="F60">
        <f t="shared" si="18"/>
        <v>43796.873461956551</v>
      </c>
      <c r="G60">
        <f t="shared" si="19"/>
        <v>40000</v>
      </c>
      <c r="H60">
        <f t="shared" si="20"/>
        <v>40000</v>
      </c>
      <c r="I60">
        <f t="shared" si="21"/>
        <v>43867.163947310837</v>
      </c>
      <c r="J60">
        <f t="shared" si="22"/>
        <v>40000</v>
      </c>
      <c r="K60">
        <f t="shared" si="23"/>
        <v>40000</v>
      </c>
      <c r="L60">
        <f t="shared" si="24"/>
        <v>40000</v>
      </c>
      <c r="M60">
        <f t="shared" si="25"/>
        <v>40000</v>
      </c>
      <c r="N60">
        <f t="shared" si="26"/>
        <v>40000</v>
      </c>
      <c r="O60">
        <f t="shared" si="27"/>
        <v>43964.190719999999</v>
      </c>
    </row>
    <row r="61" spans="1:15" x14ac:dyDescent="0.25">
      <c r="A61">
        <v>40</v>
      </c>
      <c r="B61">
        <v>3</v>
      </c>
      <c r="C61">
        <v>4</v>
      </c>
      <c r="D61" s="5">
        <f t="shared" si="16"/>
        <v>43472.393405249255</v>
      </c>
      <c r="E61">
        <f t="shared" si="17"/>
        <v>40000</v>
      </c>
      <c r="F61">
        <f t="shared" si="18"/>
        <v>43796.873461956551</v>
      </c>
      <c r="G61">
        <f t="shared" si="19"/>
        <v>40000</v>
      </c>
      <c r="H61">
        <f t="shared" si="20"/>
        <v>40000</v>
      </c>
      <c r="I61">
        <f t="shared" si="21"/>
        <v>43867.163947310837</v>
      </c>
      <c r="J61">
        <f t="shared" si="22"/>
        <v>40000</v>
      </c>
      <c r="K61">
        <f t="shared" si="23"/>
        <v>40000</v>
      </c>
      <c r="L61">
        <f t="shared" si="24"/>
        <v>40000</v>
      </c>
      <c r="M61">
        <f t="shared" si="25"/>
        <v>40000</v>
      </c>
      <c r="N61">
        <f t="shared" si="26"/>
        <v>40000</v>
      </c>
      <c r="O61">
        <f t="shared" si="27"/>
        <v>43964.190719999999</v>
      </c>
    </row>
    <row r="62" spans="1:15" x14ac:dyDescent="0.25">
      <c r="A62">
        <v>41</v>
      </c>
      <c r="B62">
        <v>3</v>
      </c>
      <c r="C62">
        <v>5</v>
      </c>
      <c r="D62" s="5">
        <f t="shared" si="16"/>
        <v>43562.960891510193</v>
      </c>
      <c r="E62">
        <f t="shared" si="17"/>
        <v>40000</v>
      </c>
      <c r="F62">
        <f t="shared" si="18"/>
        <v>43796.873461956551</v>
      </c>
      <c r="G62">
        <f t="shared" si="19"/>
        <v>40000</v>
      </c>
      <c r="H62">
        <f t="shared" si="20"/>
        <v>40000</v>
      </c>
      <c r="I62">
        <f t="shared" si="21"/>
        <v>43867.163947310837</v>
      </c>
      <c r="J62">
        <f t="shared" si="22"/>
        <v>40000</v>
      </c>
      <c r="K62">
        <f t="shared" si="23"/>
        <v>40000</v>
      </c>
      <c r="L62">
        <f t="shared" si="24"/>
        <v>40000</v>
      </c>
      <c r="M62">
        <f t="shared" si="25"/>
        <v>40000</v>
      </c>
      <c r="N62">
        <f t="shared" si="26"/>
        <v>40000</v>
      </c>
      <c r="O62">
        <f t="shared" si="27"/>
        <v>43964.190719999999</v>
      </c>
    </row>
    <row r="63" spans="1:15" x14ac:dyDescent="0.25">
      <c r="A63">
        <v>42</v>
      </c>
      <c r="B63">
        <v>3</v>
      </c>
      <c r="C63">
        <v>6</v>
      </c>
      <c r="D63" s="5">
        <f t="shared" si="16"/>
        <v>43653.717060034178</v>
      </c>
      <c r="E63">
        <f t="shared" si="17"/>
        <v>40000</v>
      </c>
      <c r="F63">
        <f t="shared" si="18"/>
        <v>44103.451576190244</v>
      </c>
      <c r="G63">
        <f t="shared" si="19"/>
        <v>40000</v>
      </c>
      <c r="H63">
        <f t="shared" si="20"/>
        <v>40000</v>
      </c>
      <c r="I63">
        <f t="shared" si="21"/>
        <v>44547.10498849416</v>
      </c>
      <c r="J63">
        <f t="shared" si="22"/>
        <v>40000</v>
      </c>
      <c r="K63">
        <f t="shared" si="23"/>
        <v>40000</v>
      </c>
      <c r="L63">
        <f t="shared" si="24"/>
        <v>40000</v>
      </c>
      <c r="M63">
        <f t="shared" si="25"/>
        <v>40000</v>
      </c>
      <c r="N63">
        <f t="shared" si="26"/>
        <v>40000</v>
      </c>
      <c r="O63">
        <f t="shared" si="27"/>
        <v>43964.190719999999</v>
      </c>
    </row>
    <row r="64" spans="1:15" x14ac:dyDescent="0.25">
      <c r="A64">
        <v>43</v>
      </c>
      <c r="B64">
        <v>3</v>
      </c>
      <c r="C64">
        <v>7</v>
      </c>
      <c r="D64" s="5">
        <f t="shared" si="16"/>
        <v>43744.662303909252</v>
      </c>
      <c r="E64">
        <f t="shared" si="17"/>
        <v>40000</v>
      </c>
      <c r="F64">
        <f t="shared" si="18"/>
        <v>44103.451576190244</v>
      </c>
      <c r="G64">
        <f t="shared" si="19"/>
        <v>40000</v>
      </c>
      <c r="H64">
        <f t="shared" si="20"/>
        <v>40000</v>
      </c>
      <c r="I64">
        <f t="shared" si="21"/>
        <v>44547.10498849416</v>
      </c>
      <c r="J64">
        <f t="shared" si="22"/>
        <v>40000</v>
      </c>
      <c r="K64">
        <f t="shared" si="23"/>
        <v>40000</v>
      </c>
      <c r="L64">
        <f t="shared" si="24"/>
        <v>40000</v>
      </c>
      <c r="M64">
        <f t="shared" si="25"/>
        <v>40000</v>
      </c>
      <c r="N64">
        <f t="shared" si="26"/>
        <v>40000</v>
      </c>
      <c r="O64">
        <f t="shared" si="27"/>
        <v>43964.190719999999</v>
      </c>
    </row>
    <row r="65" spans="1:15" x14ac:dyDescent="0.25">
      <c r="A65">
        <v>44</v>
      </c>
      <c r="B65">
        <v>3</v>
      </c>
      <c r="C65">
        <v>8</v>
      </c>
      <c r="D65" s="5">
        <f t="shared" si="16"/>
        <v>43835.797017042401</v>
      </c>
      <c r="E65">
        <f t="shared" si="17"/>
        <v>40000</v>
      </c>
      <c r="F65">
        <f t="shared" si="18"/>
        <v>44103.451576190244</v>
      </c>
      <c r="G65">
        <f t="shared" si="19"/>
        <v>40000</v>
      </c>
      <c r="H65">
        <f t="shared" si="20"/>
        <v>40000</v>
      </c>
      <c r="I65">
        <f t="shared" si="21"/>
        <v>44547.10498849416</v>
      </c>
      <c r="J65">
        <f t="shared" si="22"/>
        <v>40000</v>
      </c>
      <c r="K65">
        <f t="shared" si="23"/>
        <v>40000</v>
      </c>
      <c r="L65">
        <f t="shared" si="24"/>
        <v>40000</v>
      </c>
      <c r="M65">
        <f t="shared" si="25"/>
        <v>40000</v>
      </c>
      <c r="N65">
        <f t="shared" si="26"/>
        <v>40000</v>
      </c>
      <c r="O65">
        <f t="shared" si="27"/>
        <v>43964.190719999999</v>
      </c>
    </row>
    <row r="66" spans="1:15" x14ac:dyDescent="0.25">
      <c r="A66">
        <v>45</v>
      </c>
      <c r="B66">
        <v>3</v>
      </c>
      <c r="C66">
        <v>9</v>
      </c>
      <c r="D66" s="5">
        <f t="shared" si="16"/>
        <v>43927.121594161246</v>
      </c>
      <c r="E66">
        <f t="shared" si="17"/>
        <v>40000</v>
      </c>
      <c r="F66">
        <f t="shared" si="18"/>
        <v>44412.175737223573</v>
      </c>
      <c r="G66">
        <f t="shared" si="19"/>
        <v>40000</v>
      </c>
      <c r="H66">
        <f t="shared" si="20"/>
        <v>40000</v>
      </c>
      <c r="I66">
        <f t="shared" si="21"/>
        <v>44547.10498849416</v>
      </c>
      <c r="J66">
        <f t="shared" si="22"/>
        <v>40000</v>
      </c>
      <c r="K66">
        <f t="shared" si="23"/>
        <v>40000</v>
      </c>
      <c r="L66">
        <f t="shared" si="24"/>
        <v>40000</v>
      </c>
      <c r="M66">
        <f t="shared" si="25"/>
        <v>40000</v>
      </c>
      <c r="N66">
        <f t="shared" si="26"/>
        <v>40000</v>
      </c>
      <c r="O66">
        <f t="shared" si="27"/>
        <v>43964.190719999999</v>
      </c>
    </row>
    <row r="67" spans="1:15" x14ac:dyDescent="0.25">
      <c r="A67">
        <v>46</v>
      </c>
      <c r="B67">
        <v>3</v>
      </c>
      <c r="C67">
        <v>10</v>
      </c>
      <c r="D67" s="5">
        <f t="shared" si="16"/>
        <v>44018.63643081575</v>
      </c>
      <c r="E67">
        <f t="shared" si="17"/>
        <v>40000</v>
      </c>
      <c r="F67">
        <f t="shared" si="18"/>
        <v>44412.175737223573</v>
      </c>
      <c r="G67">
        <f t="shared" si="19"/>
        <v>40000</v>
      </c>
      <c r="H67">
        <f t="shared" si="20"/>
        <v>40000</v>
      </c>
      <c r="I67">
        <f t="shared" si="21"/>
        <v>44547.10498849416</v>
      </c>
      <c r="J67">
        <f t="shared" si="22"/>
        <v>40000</v>
      </c>
      <c r="K67">
        <f t="shared" si="23"/>
        <v>40000</v>
      </c>
      <c r="L67">
        <f t="shared" si="24"/>
        <v>40000</v>
      </c>
      <c r="M67">
        <f t="shared" si="25"/>
        <v>40000</v>
      </c>
      <c r="N67">
        <f t="shared" si="26"/>
        <v>40000</v>
      </c>
      <c r="O67">
        <f t="shared" si="27"/>
        <v>43964.190719999999</v>
      </c>
    </row>
    <row r="68" spans="1:15" x14ac:dyDescent="0.25">
      <c r="A68">
        <v>47</v>
      </c>
      <c r="B68">
        <v>3</v>
      </c>
      <c r="C68">
        <v>11</v>
      </c>
      <c r="D68" s="5">
        <f t="shared" si="16"/>
        <v>44110.34192337995</v>
      </c>
      <c r="E68">
        <f t="shared" si="17"/>
        <v>40000</v>
      </c>
      <c r="F68">
        <f t="shared" si="18"/>
        <v>44412.175737223573</v>
      </c>
      <c r="G68">
        <f t="shared" si="19"/>
        <v>40000</v>
      </c>
      <c r="H68">
        <f t="shared" si="20"/>
        <v>40000</v>
      </c>
      <c r="I68">
        <f t="shared" si="21"/>
        <v>44547.10498849416</v>
      </c>
      <c r="J68">
        <f t="shared" si="22"/>
        <v>40000</v>
      </c>
      <c r="K68">
        <f t="shared" si="23"/>
        <v>40000</v>
      </c>
      <c r="L68">
        <f t="shared" si="24"/>
        <v>40000</v>
      </c>
      <c r="M68">
        <f t="shared" si="25"/>
        <v>40000</v>
      </c>
      <c r="N68">
        <f t="shared" si="26"/>
        <v>40000</v>
      </c>
      <c r="O68">
        <f t="shared" si="27"/>
        <v>43964.190719999999</v>
      </c>
    </row>
    <row r="69" spans="1:15" s="6" customFormat="1" x14ac:dyDescent="0.25">
      <c r="A69" s="6">
        <v>48</v>
      </c>
      <c r="B69" s="6">
        <v>3</v>
      </c>
      <c r="C69" s="6">
        <v>12</v>
      </c>
      <c r="D69" s="7">
        <f t="shared" si="16"/>
        <v>44202.238469053664</v>
      </c>
      <c r="E69" s="8">
        <f t="shared" si="17"/>
        <v>40000</v>
      </c>
      <c r="F69" s="9">
        <f t="shared" si="18"/>
        <v>44723.060967384132</v>
      </c>
      <c r="G69" s="6">
        <f t="shared" si="19"/>
        <v>40000</v>
      </c>
      <c r="H69" s="6">
        <f t="shared" si="20"/>
        <v>40000</v>
      </c>
      <c r="I69" s="10">
        <f t="shared" si="21"/>
        <v>45237.585115815826</v>
      </c>
      <c r="J69" s="6">
        <f t="shared" si="22"/>
        <v>40000</v>
      </c>
      <c r="K69" s="6">
        <f t="shared" si="23"/>
        <v>40000</v>
      </c>
      <c r="L69" s="6">
        <f t="shared" si="24"/>
        <v>40000</v>
      </c>
      <c r="M69" s="6">
        <f t="shared" si="25"/>
        <v>40000</v>
      </c>
      <c r="N69" s="6">
        <f t="shared" si="26"/>
        <v>40000</v>
      </c>
      <c r="O69" s="10">
        <f t="shared" si="27"/>
        <v>45371.04482304</v>
      </c>
    </row>
    <row r="70" spans="1:15" x14ac:dyDescent="0.25">
      <c r="A70">
        <v>49</v>
      </c>
      <c r="B70">
        <v>4</v>
      </c>
      <c r="C70">
        <v>1</v>
      </c>
      <c r="D70" s="5">
        <f t="shared" si="16"/>
        <v>44294.3264658642</v>
      </c>
      <c r="E70">
        <f t="shared" si="17"/>
        <v>40000</v>
      </c>
      <c r="F70">
        <f t="shared" si="18"/>
        <v>44723.060967384132</v>
      </c>
      <c r="G70">
        <f t="shared" si="19"/>
        <v>40000</v>
      </c>
      <c r="H70">
        <f t="shared" si="20"/>
        <v>40000</v>
      </c>
      <c r="I70">
        <f t="shared" si="21"/>
        <v>45237.585115815826</v>
      </c>
      <c r="J70">
        <f t="shared" si="22"/>
        <v>40000</v>
      </c>
      <c r="K70">
        <f t="shared" si="23"/>
        <v>40000</v>
      </c>
      <c r="L70">
        <f t="shared" si="24"/>
        <v>40000</v>
      </c>
      <c r="M70">
        <f t="shared" si="25"/>
        <v>40000</v>
      </c>
      <c r="N70">
        <f t="shared" si="26"/>
        <v>40000</v>
      </c>
      <c r="O70">
        <f t="shared" si="27"/>
        <v>45371.04482304</v>
      </c>
    </row>
    <row r="71" spans="1:15" x14ac:dyDescent="0.25">
      <c r="A71">
        <v>50</v>
      </c>
      <c r="B71">
        <v>4</v>
      </c>
      <c r="C71">
        <v>2</v>
      </c>
      <c r="D71" s="5">
        <f t="shared" si="16"/>
        <v>44386.606312668089</v>
      </c>
      <c r="E71">
        <f t="shared" si="17"/>
        <v>40000</v>
      </c>
      <c r="F71">
        <f t="shared" si="18"/>
        <v>44723.060967384132</v>
      </c>
      <c r="G71">
        <f t="shared" si="19"/>
        <v>40000</v>
      </c>
      <c r="H71">
        <f t="shared" si="20"/>
        <v>40000</v>
      </c>
      <c r="I71">
        <f t="shared" si="21"/>
        <v>45237.585115815826</v>
      </c>
      <c r="J71">
        <f t="shared" si="22"/>
        <v>40000</v>
      </c>
      <c r="K71">
        <f t="shared" si="23"/>
        <v>40000</v>
      </c>
      <c r="L71">
        <f t="shared" si="24"/>
        <v>40000</v>
      </c>
      <c r="M71">
        <f t="shared" si="25"/>
        <v>40000</v>
      </c>
      <c r="N71">
        <f t="shared" si="26"/>
        <v>40000</v>
      </c>
      <c r="O71">
        <f t="shared" si="27"/>
        <v>45371.04482304</v>
      </c>
    </row>
    <row r="72" spans="1:15" x14ac:dyDescent="0.25">
      <c r="A72">
        <v>51</v>
      </c>
      <c r="B72">
        <v>4</v>
      </c>
      <c r="C72">
        <v>3</v>
      </c>
      <c r="D72" s="5">
        <f t="shared" si="16"/>
        <v>44479.078409152818</v>
      </c>
      <c r="E72">
        <f t="shared" si="17"/>
        <v>40000</v>
      </c>
      <c r="F72">
        <f t="shared" si="18"/>
        <v>45036.122394155813</v>
      </c>
      <c r="G72">
        <f t="shared" si="19"/>
        <v>40000</v>
      </c>
      <c r="H72">
        <f t="shared" si="20"/>
        <v>40000</v>
      </c>
      <c r="I72">
        <f t="shared" si="21"/>
        <v>45237.585115815826</v>
      </c>
      <c r="J72">
        <f t="shared" si="22"/>
        <v>40000</v>
      </c>
      <c r="K72">
        <f t="shared" si="23"/>
        <v>40000</v>
      </c>
      <c r="L72">
        <f t="shared" si="24"/>
        <v>40000</v>
      </c>
      <c r="M72">
        <f t="shared" si="25"/>
        <v>40000</v>
      </c>
      <c r="N72">
        <f t="shared" si="26"/>
        <v>40000</v>
      </c>
      <c r="O72">
        <f t="shared" si="27"/>
        <v>45371.04482304</v>
      </c>
    </row>
    <row r="73" spans="1:15" x14ac:dyDescent="0.25">
      <c r="A73">
        <v>52</v>
      </c>
      <c r="B73">
        <v>4</v>
      </c>
      <c r="C73">
        <v>4</v>
      </c>
      <c r="D73" s="5">
        <f t="shared" si="16"/>
        <v>44571.743155838558</v>
      </c>
      <c r="E73">
        <f t="shared" si="17"/>
        <v>40000</v>
      </c>
      <c r="F73">
        <f t="shared" si="18"/>
        <v>45036.122394155813</v>
      </c>
      <c r="G73">
        <f t="shared" si="19"/>
        <v>40000</v>
      </c>
      <c r="H73">
        <f t="shared" si="20"/>
        <v>40000</v>
      </c>
      <c r="I73">
        <f t="shared" si="21"/>
        <v>45237.585115815826</v>
      </c>
      <c r="J73">
        <f t="shared" si="22"/>
        <v>40000</v>
      </c>
      <c r="K73">
        <f t="shared" si="23"/>
        <v>40000</v>
      </c>
      <c r="L73">
        <f t="shared" si="24"/>
        <v>40000</v>
      </c>
      <c r="M73">
        <f t="shared" si="25"/>
        <v>40000</v>
      </c>
      <c r="N73">
        <f t="shared" si="26"/>
        <v>40000</v>
      </c>
      <c r="O73">
        <f t="shared" si="27"/>
        <v>45371.04482304</v>
      </c>
    </row>
    <row r="74" spans="1:15" x14ac:dyDescent="0.25">
      <c r="A74">
        <v>53</v>
      </c>
      <c r="B74">
        <v>4</v>
      </c>
      <c r="C74">
        <v>5</v>
      </c>
      <c r="D74" s="5">
        <f t="shared" si="16"/>
        <v>44664.600954079891</v>
      </c>
      <c r="E74">
        <f t="shared" si="17"/>
        <v>40000</v>
      </c>
      <c r="F74">
        <f t="shared" si="18"/>
        <v>45036.122394155813</v>
      </c>
      <c r="G74">
        <f t="shared" si="19"/>
        <v>40000</v>
      </c>
      <c r="H74">
        <f t="shared" si="20"/>
        <v>40000</v>
      </c>
      <c r="I74">
        <f t="shared" si="21"/>
        <v>45237.585115815826</v>
      </c>
      <c r="J74">
        <f t="shared" si="22"/>
        <v>40000</v>
      </c>
      <c r="K74">
        <f t="shared" si="23"/>
        <v>40000</v>
      </c>
      <c r="L74">
        <f t="shared" si="24"/>
        <v>40000</v>
      </c>
      <c r="M74">
        <f t="shared" si="25"/>
        <v>40000</v>
      </c>
      <c r="N74">
        <f t="shared" si="26"/>
        <v>40000</v>
      </c>
      <c r="O74">
        <f t="shared" si="27"/>
        <v>45371.04482304</v>
      </c>
    </row>
    <row r="75" spans="1:15" x14ac:dyDescent="0.25">
      <c r="A75">
        <v>54</v>
      </c>
      <c r="B75">
        <v>4</v>
      </c>
      <c r="C75">
        <v>6</v>
      </c>
      <c r="D75" s="5">
        <f t="shared" si="16"/>
        <v>44757.652206067563</v>
      </c>
      <c r="E75">
        <f t="shared" si="17"/>
        <v>40000</v>
      </c>
      <c r="F75">
        <f t="shared" si="18"/>
        <v>45351.375250914898</v>
      </c>
      <c r="G75">
        <f t="shared" si="19"/>
        <v>40000</v>
      </c>
      <c r="H75">
        <f t="shared" si="20"/>
        <v>40000</v>
      </c>
      <c r="I75">
        <f t="shared" si="21"/>
        <v>45938.767685110972</v>
      </c>
      <c r="J75">
        <f t="shared" si="22"/>
        <v>40000</v>
      </c>
      <c r="K75">
        <f t="shared" si="23"/>
        <v>40000</v>
      </c>
      <c r="L75">
        <f t="shared" si="24"/>
        <v>40000</v>
      </c>
      <c r="M75">
        <f t="shared" si="25"/>
        <v>40000</v>
      </c>
      <c r="N75">
        <f t="shared" si="26"/>
        <v>40000</v>
      </c>
      <c r="O75">
        <f t="shared" si="27"/>
        <v>45371.04482304</v>
      </c>
    </row>
    <row r="76" spans="1:15" x14ac:dyDescent="0.25">
      <c r="A76">
        <v>55</v>
      </c>
      <c r="B76">
        <v>4</v>
      </c>
      <c r="C76">
        <v>7</v>
      </c>
      <c r="D76" s="5">
        <f t="shared" si="16"/>
        <v>44850.89731483021</v>
      </c>
      <c r="E76">
        <f t="shared" si="17"/>
        <v>40000</v>
      </c>
      <c r="F76">
        <f t="shared" si="18"/>
        <v>45351.375250914898</v>
      </c>
      <c r="G76">
        <f t="shared" si="19"/>
        <v>40000</v>
      </c>
      <c r="H76">
        <f t="shared" si="20"/>
        <v>40000</v>
      </c>
      <c r="I76">
        <f t="shared" si="21"/>
        <v>45938.767685110972</v>
      </c>
      <c r="J76">
        <f t="shared" si="22"/>
        <v>40000</v>
      </c>
      <c r="K76">
        <f t="shared" si="23"/>
        <v>40000</v>
      </c>
      <c r="L76">
        <f t="shared" si="24"/>
        <v>40000</v>
      </c>
      <c r="M76">
        <f t="shared" si="25"/>
        <v>40000</v>
      </c>
      <c r="N76">
        <f t="shared" si="26"/>
        <v>40000</v>
      </c>
      <c r="O76">
        <f t="shared" si="27"/>
        <v>45371.04482304</v>
      </c>
    </row>
    <row r="77" spans="1:15" x14ac:dyDescent="0.25">
      <c r="A77">
        <v>56</v>
      </c>
      <c r="B77">
        <v>4</v>
      </c>
      <c r="C77">
        <v>8</v>
      </c>
      <c r="D77" s="5">
        <f t="shared" si="16"/>
        <v>44944.336684236114</v>
      </c>
      <c r="E77">
        <f t="shared" si="17"/>
        <v>40000</v>
      </c>
      <c r="F77">
        <f t="shared" si="18"/>
        <v>45351.375250914898</v>
      </c>
      <c r="G77">
        <f t="shared" si="19"/>
        <v>40000</v>
      </c>
      <c r="H77">
        <f t="shared" si="20"/>
        <v>40000</v>
      </c>
      <c r="I77">
        <f t="shared" si="21"/>
        <v>45938.767685110972</v>
      </c>
      <c r="J77">
        <f t="shared" si="22"/>
        <v>40000</v>
      </c>
      <c r="K77">
        <f t="shared" si="23"/>
        <v>40000</v>
      </c>
      <c r="L77">
        <f t="shared" si="24"/>
        <v>40000</v>
      </c>
      <c r="M77">
        <f t="shared" si="25"/>
        <v>40000</v>
      </c>
      <c r="N77">
        <f t="shared" si="26"/>
        <v>40000</v>
      </c>
      <c r="O77">
        <f t="shared" si="27"/>
        <v>45371.04482304</v>
      </c>
    </row>
    <row r="78" spans="1:15" x14ac:dyDescent="0.25">
      <c r="A78">
        <v>57</v>
      </c>
      <c r="B78">
        <v>4</v>
      </c>
      <c r="C78">
        <v>9</v>
      </c>
      <c r="D78" s="5">
        <f t="shared" si="16"/>
        <v>45037.97071899494</v>
      </c>
      <c r="E78">
        <f t="shared" si="17"/>
        <v>40000</v>
      </c>
      <c r="F78">
        <f t="shared" si="18"/>
        <v>45668.834877671296</v>
      </c>
      <c r="G78">
        <f t="shared" si="19"/>
        <v>40000</v>
      </c>
      <c r="H78">
        <f t="shared" si="20"/>
        <v>40000</v>
      </c>
      <c r="I78">
        <f t="shared" si="21"/>
        <v>45938.767685110972</v>
      </c>
      <c r="J78">
        <f t="shared" si="22"/>
        <v>40000</v>
      </c>
      <c r="K78">
        <f t="shared" si="23"/>
        <v>40000</v>
      </c>
      <c r="L78">
        <f t="shared" si="24"/>
        <v>40000</v>
      </c>
      <c r="M78">
        <f t="shared" si="25"/>
        <v>40000</v>
      </c>
      <c r="N78">
        <f t="shared" si="26"/>
        <v>40000</v>
      </c>
      <c r="O78">
        <f t="shared" si="27"/>
        <v>45371.04482304</v>
      </c>
    </row>
    <row r="79" spans="1:15" x14ac:dyDescent="0.25">
      <c r="A79">
        <v>58</v>
      </c>
      <c r="B79">
        <v>4</v>
      </c>
      <c r="C79">
        <v>10</v>
      </c>
      <c r="D79" s="5">
        <f t="shared" si="16"/>
        <v>45131.799824659516</v>
      </c>
      <c r="E79">
        <f t="shared" si="17"/>
        <v>40000</v>
      </c>
      <c r="F79">
        <f t="shared" si="18"/>
        <v>45668.834877671296</v>
      </c>
      <c r="G79">
        <f t="shared" si="19"/>
        <v>40000</v>
      </c>
      <c r="H79">
        <f t="shared" si="20"/>
        <v>40000</v>
      </c>
      <c r="I79">
        <f t="shared" si="21"/>
        <v>45938.767685110972</v>
      </c>
      <c r="J79">
        <f t="shared" si="22"/>
        <v>40000</v>
      </c>
      <c r="K79">
        <f t="shared" si="23"/>
        <v>40000</v>
      </c>
      <c r="L79">
        <f t="shared" si="24"/>
        <v>40000</v>
      </c>
      <c r="M79">
        <f t="shared" si="25"/>
        <v>40000</v>
      </c>
      <c r="N79">
        <f t="shared" si="26"/>
        <v>40000</v>
      </c>
      <c r="O79">
        <f t="shared" si="27"/>
        <v>45371.04482304</v>
      </c>
    </row>
    <row r="80" spans="1:15" x14ac:dyDescent="0.25">
      <c r="A80">
        <v>59</v>
      </c>
      <c r="B80">
        <v>4</v>
      </c>
      <c r="C80">
        <v>11</v>
      </c>
      <c r="D80" s="5">
        <f t="shared" si="16"/>
        <v>45225.824407627559</v>
      </c>
      <c r="E80">
        <f t="shared" si="17"/>
        <v>40000</v>
      </c>
      <c r="F80">
        <f t="shared" si="18"/>
        <v>45668.834877671296</v>
      </c>
      <c r="G80">
        <f t="shared" si="19"/>
        <v>40000</v>
      </c>
      <c r="H80">
        <f t="shared" si="20"/>
        <v>40000</v>
      </c>
      <c r="I80">
        <f t="shared" si="21"/>
        <v>45938.767685110972</v>
      </c>
      <c r="J80">
        <f t="shared" si="22"/>
        <v>40000</v>
      </c>
      <c r="K80">
        <f t="shared" si="23"/>
        <v>40000</v>
      </c>
      <c r="L80">
        <f t="shared" si="24"/>
        <v>40000</v>
      </c>
      <c r="M80">
        <f t="shared" si="25"/>
        <v>40000</v>
      </c>
      <c r="N80">
        <f t="shared" si="26"/>
        <v>40000</v>
      </c>
      <c r="O80">
        <f t="shared" si="27"/>
        <v>45371.04482304</v>
      </c>
    </row>
    <row r="81" spans="1:15" s="6" customFormat="1" x14ac:dyDescent="0.25">
      <c r="A81" s="6">
        <v>60</v>
      </c>
      <c r="B81" s="6">
        <v>4</v>
      </c>
      <c r="C81" s="6">
        <v>12</v>
      </c>
      <c r="D81" s="7">
        <f t="shared" si="16"/>
        <v>45320.044875143452</v>
      </c>
      <c r="E81" s="8">
        <f t="shared" si="17"/>
        <v>40000</v>
      </c>
      <c r="F81" s="9">
        <f t="shared" si="18"/>
        <v>45988.516721814987</v>
      </c>
      <c r="G81" s="6">
        <f t="shared" si="19"/>
        <v>40000</v>
      </c>
      <c r="H81" s="6">
        <f t="shared" si="20"/>
        <v>40000</v>
      </c>
      <c r="I81" s="10">
        <f t="shared" si="21"/>
        <v>46650.818584230197</v>
      </c>
      <c r="J81" s="6">
        <f t="shared" si="22"/>
        <v>40000</v>
      </c>
      <c r="K81" s="6">
        <f t="shared" si="23"/>
        <v>40000</v>
      </c>
      <c r="L81" s="6">
        <f t="shared" si="24"/>
        <v>40000</v>
      </c>
      <c r="M81" s="6">
        <f t="shared" si="25"/>
        <v>40000</v>
      </c>
      <c r="N81" s="6">
        <f t="shared" si="26"/>
        <v>40000</v>
      </c>
      <c r="O81" s="10">
        <f t="shared" si="27"/>
        <v>46822.918257377278</v>
      </c>
    </row>
    <row r="82" spans="1:15" x14ac:dyDescent="0.25">
      <c r="A82">
        <v>61</v>
      </c>
      <c r="B82">
        <v>5</v>
      </c>
      <c r="C82">
        <v>1</v>
      </c>
      <c r="D82" s="5">
        <f t="shared" si="16"/>
        <v>45414.461635300009</v>
      </c>
      <c r="E82">
        <f t="shared" si="17"/>
        <v>40000</v>
      </c>
      <c r="F82">
        <f t="shared" si="18"/>
        <v>45988.516721814987</v>
      </c>
      <c r="G82">
        <f t="shared" si="19"/>
        <v>40000</v>
      </c>
      <c r="H82">
        <f t="shared" si="20"/>
        <v>40000</v>
      </c>
      <c r="I82">
        <f t="shared" si="21"/>
        <v>46650.818584230197</v>
      </c>
      <c r="J82">
        <f t="shared" si="22"/>
        <v>40000</v>
      </c>
      <c r="K82">
        <f t="shared" si="23"/>
        <v>40000</v>
      </c>
      <c r="L82">
        <f t="shared" si="24"/>
        <v>40000</v>
      </c>
      <c r="M82">
        <f t="shared" si="25"/>
        <v>40000</v>
      </c>
      <c r="N82">
        <f t="shared" si="26"/>
        <v>40000</v>
      </c>
      <c r="O82">
        <f t="shared" si="27"/>
        <v>46822.918257377278</v>
      </c>
    </row>
    <row r="83" spans="1:15" x14ac:dyDescent="0.25">
      <c r="A83">
        <v>62</v>
      </c>
      <c r="B83">
        <v>5</v>
      </c>
      <c r="C83">
        <v>2</v>
      </c>
      <c r="D83" s="5">
        <f t="shared" si="16"/>
        <v>45509.075097040222</v>
      </c>
      <c r="E83">
        <f t="shared" si="17"/>
        <v>40000</v>
      </c>
      <c r="F83">
        <f t="shared" si="18"/>
        <v>45988.516721814987</v>
      </c>
      <c r="G83">
        <f t="shared" si="19"/>
        <v>40000</v>
      </c>
      <c r="H83">
        <f t="shared" si="20"/>
        <v>40000</v>
      </c>
      <c r="I83">
        <f t="shared" si="21"/>
        <v>46650.818584230197</v>
      </c>
      <c r="J83">
        <f t="shared" si="22"/>
        <v>40000</v>
      </c>
      <c r="K83">
        <f t="shared" si="23"/>
        <v>40000</v>
      </c>
      <c r="L83">
        <f t="shared" si="24"/>
        <v>40000</v>
      </c>
      <c r="M83">
        <f t="shared" si="25"/>
        <v>40000</v>
      </c>
      <c r="N83">
        <f t="shared" si="26"/>
        <v>40000</v>
      </c>
      <c r="O83">
        <f t="shared" si="27"/>
        <v>46822.918257377278</v>
      </c>
    </row>
    <row r="84" spans="1:15" x14ac:dyDescent="0.25">
      <c r="A84">
        <v>63</v>
      </c>
      <c r="B84">
        <v>5</v>
      </c>
      <c r="C84">
        <v>3</v>
      </c>
      <c r="D84" s="5">
        <f t="shared" si="16"/>
        <v>45603.885670159063</v>
      </c>
      <c r="E84">
        <f t="shared" si="17"/>
        <v>40000</v>
      </c>
      <c r="F84">
        <f t="shared" si="18"/>
        <v>46310.436338867687</v>
      </c>
      <c r="G84">
        <f t="shared" si="19"/>
        <v>40000</v>
      </c>
      <c r="H84">
        <f t="shared" si="20"/>
        <v>40000</v>
      </c>
      <c r="I84">
        <f t="shared" si="21"/>
        <v>46650.818584230197</v>
      </c>
      <c r="J84">
        <f t="shared" si="22"/>
        <v>40000</v>
      </c>
      <c r="K84">
        <f t="shared" si="23"/>
        <v>40000</v>
      </c>
      <c r="L84">
        <f t="shared" si="24"/>
        <v>40000</v>
      </c>
      <c r="M84">
        <f t="shared" si="25"/>
        <v>40000</v>
      </c>
      <c r="N84">
        <f t="shared" si="26"/>
        <v>40000</v>
      </c>
      <c r="O84">
        <f t="shared" si="27"/>
        <v>46822.918257377278</v>
      </c>
    </row>
    <row r="85" spans="1:15" x14ac:dyDescent="0.25">
      <c r="A85">
        <v>64</v>
      </c>
      <c r="B85">
        <v>5</v>
      </c>
      <c r="C85">
        <v>4</v>
      </c>
      <c r="D85" s="5">
        <f t="shared" si="16"/>
        <v>45698.893765305234</v>
      </c>
      <c r="E85">
        <f t="shared" si="17"/>
        <v>40000</v>
      </c>
      <c r="F85">
        <f t="shared" si="18"/>
        <v>46310.436338867687</v>
      </c>
      <c r="G85">
        <f t="shared" si="19"/>
        <v>40000</v>
      </c>
      <c r="H85">
        <f t="shared" si="20"/>
        <v>40000</v>
      </c>
      <c r="I85">
        <f t="shared" si="21"/>
        <v>46650.818584230197</v>
      </c>
      <c r="J85">
        <f t="shared" si="22"/>
        <v>40000</v>
      </c>
      <c r="K85">
        <f t="shared" si="23"/>
        <v>40000</v>
      </c>
      <c r="L85">
        <f t="shared" si="24"/>
        <v>40000</v>
      </c>
      <c r="M85">
        <f t="shared" si="25"/>
        <v>40000</v>
      </c>
      <c r="N85">
        <f t="shared" si="26"/>
        <v>40000</v>
      </c>
      <c r="O85">
        <f t="shared" si="27"/>
        <v>46822.918257377278</v>
      </c>
    </row>
    <row r="86" spans="1:15" x14ac:dyDescent="0.25">
      <c r="A86">
        <v>65</v>
      </c>
      <c r="B86">
        <v>5</v>
      </c>
      <c r="C86">
        <v>5</v>
      </c>
      <c r="D86" s="5">
        <f t="shared" si="16"/>
        <v>45794.099793982961</v>
      </c>
      <c r="E86">
        <f t="shared" si="17"/>
        <v>40000</v>
      </c>
      <c r="F86">
        <f t="shared" si="18"/>
        <v>46310.436338867687</v>
      </c>
      <c r="G86">
        <f t="shared" si="19"/>
        <v>40000</v>
      </c>
      <c r="H86">
        <f t="shared" si="20"/>
        <v>40000</v>
      </c>
      <c r="I86">
        <f t="shared" si="21"/>
        <v>46650.818584230197</v>
      </c>
      <c r="J86">
        <f t="shared" si="22"/>
        <v>40000</v>
      </c>
      <c r="K86">
        <f t="shared" si="23"/>
        <v>40000</v>
      </c>
      <c r="L86">
        <f t="shared" si="24"/>
        <v>40000</v>
      </c>
      <c r="M86">
        <f t="shared" si="25"/>
        <v>40000</v>
      </c>
      <c r="N86">
        <f t="shared" si="26"/>
        <v>40000</v>
      </c>
      <c r="O86">
        <f t="shared" si="27"/>
        <v>46822.918257377278</v>
      </c>
    </row>
    <row r="87" spans="1:15" x14ac:dyDescent="0.25">
      <c r="A87">
        <v>66</v>
      </c>
      <c r="B87">
        <v>5</v>
      </c>
      <c r="C87">
        <v>6</v>
      </c>
      <c r="D87" s="5">
        <f t="shared" si="16"/>
        <v>45889.504168553765</v>
      </c>
      <c r="E87">
        <f t="shared" si="17"/>
        <v>40000</v>
      </c>
      <c r="F87">
        <f t="shared" si="18"/>
        <v>46634.609393239756</v>
      </c>
      <c r="G87">
        <f t="shared" si="19"/>
        <v>40000</v>
      </c>
      <c r="H87">
        <f t="shared" si="20"/>
        <v>40000</v>
      </c>
      <c r="I87">
        <f t="shared" si="21"/>
        <v>47373.906272285771</v>
      </c>
      <c r="J87">
        <f t="shared" si="22"/>
        <v>40000</v>
      </c>
      <c r="K87">
        <f t="shared" si="23"/>
        <v>40000</v>
      </c>
      <c r="L87">
        <f t="shared" si="24"/>
        <v>40000</v>
      </c>
      <c r="M87">
        <f t="shared" si="25"/>
        <v>40000</v>
      </c>
      <c r="N87">
        <f t="shared" si="26"/>
        <v>40000</v>
      </c>
      <c r="O87">
        <f t="shared" si="27"/>
        <v>46822.918257377278</v>
      </c>
    </row>
    <row r="88" spans="1:15" x14ac:dyDescent="0.25">
      <c r="A88">
        <v>67</v>
      </c>
      <c r="B88">
        <v>5</v>
      </c>
      <c r="C88">
        <v>7</v>
      </c>
      <c r="D88" s="5">
        <f t="shared" ref="D88:D93" si="28">D87*$D$20</f>
        <v>45985.107302238255</v>
      </c>
      <c r="E88">
        <f t="shared" ref="E88:E93" si="29">E87*IF(MOD($C88,E$17)=0,E$20,1)</f>
        <v>40000</v>
      </c>
      <c r="F88">
        <f t="shared" si="18"/>
        <v>46634.609393239756</v>
      </c>
      <c r="G88">
        <f t="shared" si="19"/>
        <v>40000</v>
      </c>
      <c r="H88">
        <f t="shared" si="20"/>
        <v>40000</v>
      </c>
      <c r="I88">
        <f t="shared" si="21"/>
        <v>47373.906272285771</v>
      </c>
      <c r="J88">
        <f t="shared" si="22"/>
        <v>40000</v>
      </c>
      <c r="K88">
        <f t="shared" si="23"/>
        <v>40000</v>
      </c>
      <c r="L88">
        <f t="shared" si="24"/>
        <v>40000</v>
      </c>
      <c r="M88">
        <f t="shared" si="25"/>
        <v>40000</v>
      </c>
      <c r="N88">
        <f t="shared" si="26"/>
        <v>40000</v>
      </c>
      <c r="O88">
        <f t="shared" si="27"/>
        <v>46822.918257377278</v>
      </c>
    </row>
    <row r="89" spans="1:15" x14ac:dyDescent="0.25">
      <c r="A89">
        <v>68</v>
      </c>
      <c r="B89">
        <v>5</v>
      </c>
      <c r="C89">
        <v>8</v>
      </c>
      <c r="D89" s="5">
        <f t="shared" si="28"/>
        <v>46080.909609117924</v>
      </c>
      <c r="E89">
        <f t="shared" si="29"/>
        <v>40000</v>
      </c>
      <c r="F89">
        <f t="shared" si="18"/>
        <v>46634.609393239756</v>
      </c>
      <c r="G89">
        <f t="shared" si="19"/>
        <v>40000</v>
      </c>
      <c r="H89">
        <f t="shared" si="20"/>
        <v>40000</v>
      </c>
      <c r="I89">
        <f t="shared" si="21"/>
        <v>47373.906272285771</v>
      </c>
      <c r="J89">
        <f t="shared" si="22"/>
        <v>40000</v>
      </c>
      <c r="K89">
        <f t="shared" si="23"/>
        <v>40000</v>
      </c>
      <c r="L89">
        <f t="shared" si="24"/>
        <v>40000</v>
      </c>
      <c r="M89">
        <f t="shared" si="25"/>
        <v>40000</v>
      </c>
      <c r="N89">
        <f t="shared" si="26"/>
        <v>40000</v>
      </c>
      <c r="O89">
        <f t="shared" si="27"/>
        <v>46822.918257377278</v>
      </c>
    </row>
    <row r="90" spans="1:15" x14ac:dyDescent="0.25">
      <c r="A90">
        <v>69</v>
      </c>
      <c r="B90">
        <v>5</v>
      </c>
      <c r="C90">
        <v>9</v>
      </c>
      <c r="D90" s="5">
        <f t="shared" si="28"/>
        <v>46176.911504136922</v>
      </c>
      <c r="E90">
        <f t="shared" si="29"/>
        <v>40000</v>
      </c>
      <c r="F90">
        <f t="shared" si="18"/>
        <v>46961.05165899243</v>
      </c>
      <c r="G90">
        <f t="shared" si="19"/>
        <v>40000</v>
      </c>
      <c r="H90">
        <f t="shared" si="20"/>
        <v>40000</v>
      </c>
      <c r="I90">
        <f t="shared" si="21"/>
        <v>47373.906272285771</v>
      </c>
      <c r="J90">
        <f t="shared" si="22"/>
        <v>40000</v>
      </c>
      <c r="K90">
        <f t="shared" si="23"/>
        <v>40000</v>
      </c>
      <c r="L90">
        <f t="shared" si="24"/>
        <v>40000</v>
      </c>
      <c r="M90">
        <f t="shared" si="25"/>
        <v>40000</v>
      </c>
      <c r="N90">
        <f t="shared" si="26"/>
        <v>40000</v>
      </c>
      <c r="O90">
        <f t="shared" si="27"/>
        <v>46822.918257377278</v>
      </c>
    </row>
    <row r="91" spans="1:15" x14ac:dyDescent="0.25">
      <c r="A91">
        <v>70</v>
      </c>
      <c r="B91">
        <v>5</v>
      </c>
      <c r="C91">
        <v>10</v>
      </c>
      <c r="D91" s="5">
        <f t="shared" si="28"/>
        <v>46273.113403103882</v>
      </c>
      <c r="E91">
        <f t="shared" si="29"/>
        <v>40000</v>
      </c>
      <c r="F91">
        <f t="shared" si="18"/>
        <v>46961.05165899243</v>
      </c>
      <c r="G91">
        <f t="shared" si="19"/>
        <v>40000</v>
      </c>
      <c r="H91">
        <f t="shared" si="20"/>
        <v>40000</v>
      </c>
      <c r="I91">
        <f t="shared" si="21"/>
        <v>47373.906272285771</v>
      </c>
      <c r="J91">
        <f t="shared" si="22"/>
        <v>40000</v>
      </c>
      <c r="K91">
        <f t="shared" si="23"/>
        <v>40000</v>
      </c>
      <c r="L91">
        <f t="shared" si="24"/>
        <v>40000</v>
      </c>
      <c r="M91">
        <f t="shared" si="25"/>
        <v>40000</v>
      </c>
      <c r="N91">
        <f t="shared" si="26"/>
        <v>40000</v>
      </c>
      <c r="O91">
        <f t="shared" si="27"/>
        <v>46822.918257377278</v>
      </c>
    </row>
    <row r="92" spans="1:15" x14ac:dyDescent="0.25">
      <c r="A92">
        <v>71</v>
      </c>
      <c r="B92">
        <v>5</v>
      </c>
      <c r="C92">
        <v>11</v>
      </c>
      <c r="D92" s="5">
        <f t="shared" si="28"/>
        <v>46369.515722693686</v>
      </c>
      <c r="E92">
        <f t="shared" si="29"/>
        <v>40000</v>
      </c>
      <c r="F92">
        <f t="shared" si="18"/>
        <v>46961.05165899243</v>
      </c>
      <c r="G92">
        <f t="shared" si="19"/>
        <v>40000</v>
      </c>
      <c r="H92">
        <f t="shared" si="20"/>
        <v>40000</v>
      </c>
      <c r="I92">
        <f t="shared" si="21"/>
        <v>47373.906272285771</v>
      </c>
      <c r="J92">
        <f t="shared" si="22"/>
        <v>40000</v>
      </c>
      <c r="K92">
        <f t="shared" si="23"/>
        <v>40000</v>
      </c>
      <c r="L92">
        <f t="shared" si="24"/>
        <v>40000</v>
      </c>
      <c r="M92">
        <f t="shared" si="25"/>
        <v>40000</v>
      </c>
      <c r="N92">
        <f t="shared" si="26"/>
        <v>40000</v>
      </c>
      <c r="O92">
        <f t="shared" si="27"/>
        <v>46822.918257377278</v>
      </c>
    </row>
    <row r="93" spans="1:15" s="6" customFormat="1" x14ac:dyDescent="0.25">
      <c r="A93" s="6">
        <v>72</v>
      </c>
      <c r="B93" s="6">
        <v>5</v>
      </c>
      <c r="C93" s="6">
        <v>12</v>
      </c>
      <c r="D93" s="7">
        <f t="shared" si="28"/>
        <v>46466.118880449299</v>
      </c>
      <c r="E93" s="8">
        <f t="shared" si="29"/>
        <v>40000</v>
      </c>
      <c r="F93" s="9">
        <f t="shared" si="18"/>
        <v>47289.779020605369</v>
      </c>
      <c r="G93" s="6">
        <f t="shared" si="19"/>
        <v>40000</v>
      </c>
      <c r="H93" s="6">
        <f t="shared" si="20"/>
        <v>40000</v>
      </c>
      <c r="I93" s="10">
        <f t="shared" si="21"/>
        <v>48108.201819506205</v>
      </c>
      <c r="J93" s="6">
        <f t="shared" si="22"/>
        <v>40000</v>
      </c>
      <c r="K93" s="6">
        <f t="shared" si="23"/>
        <v>40000</v>
      </c>
      <c r="L93" s="6">
        <f t="shared" si="24"/>
        <v>40000</v>
      </c>
      <c r="M93" s="6">
        <f t="shared" si="25"/>
        <v>40000</v>
      </c>
      <c r="N93" s="6">
        <f t="shared" si="26"/>
        <v>40000</v>
      </c>
      <c r="O93" s="10">
        <f t="shared" si="27"/>
        <v>48321.251641613351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ValuesToOtherExamples">
                <anchor moveWithCells="1" sizeWithCells="1">
                  <from>
                    <xdr:col>0</xdr:col>
                    <xdr:colOff>38100</xdr:colOff>
                    <xdr:row>16</xdr:row>
                    <xdr:rowOff>123825</xdr:rowOff>
                  </from>
                  <to>
                    <xdr:col>1</xdr:col>
                    <xdr:colOff>561975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ZeroForRate">
                <anchor moveWithCells="1" sizeWithCells="1">
                  <from>
                    <xdr:col>15</xdr:col>
                    <xdr:colOff>781050</xdr:colOff>
                    <xdr:row>18</xdr:row>
                    <xdr:rowOff>28575</xdr:rowOff>
                  </from>
                  <to>
                    <xdr:col>17</xdr:col>
                    <xdr:colOff>257175</xdr:colOff>
                    <xdr:row>19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2014-10-31T08:04:11Z</dcterms:created>
  <dcterms:modified xsi:type="dcterms:W3CDTF">2014-10-31T16:07:19Z</dcterms:modified>
</cp:coreProperties>
</file>