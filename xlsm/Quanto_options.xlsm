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2490" yWindow="330" windowWidth="16725" windowHeight="8295" firstSheet="1" activeTab="6"/>
  </bookViews>
  <sheets>
    <sheet name="DrzewoCALL_ar" sheetId="5" state="hidden" r:id="rId1"/>
    <sheet name="DrzewoCALL" sheetId="6" r:id="rId2"/>
    <sheet name="DrzewoPUT" sheetId="13" r:id="rId3"/>
    <sheet name="MCarlo_ar" sheetId="7" state="hidden" r:id="rId4"/>
    <sheet name="MCarloCALL" sheetId="8" r:id="rId5"/>
    <sheet name="MCarloPUT" sheetId="14" r:id="rId6"/>
    <sheet name="RozniceCALL" sheetId="11" r:id="rId7"/>
    <sheet name="RozniceCALL_spr" sheetId="9" state="hidden" r:id="rId8"/>
    <sheet name="RoznicePUT_spr" sheetId="10" state="hidden" r:id="rId9"/>
    <sheet name="RoznicePUT" sheetId="12" r:id="rId10"/>
  </sheets>
  <functionGroups builtInGroupCount="17"/>
  <externalReferences>
    <externalReference r:id="rId11"/>
    <externalReference r:id="rId12"/>
  </externalReferences>
  <calcPr calcId="145621"/>
</workbook>
</file>

<file path=xl/calcChain.xml><?xml version="1.0" encoding="utf-8"?>
<calcChain xmlns="http://schemas.openxmlformats.org/spreadsheetml/2006/main">
  <c r="B3" i="11" l="1"/>
  <c r="B4" i="6" l="1"/>
  <c r="B4" i="13"/>
  <c r="B3" i="8"/>
  <c r="B3" i="14"/>
  <c r="B8" i="14" s="1"/>
  <c r="B3" i="12"/>
  <c r="C6" i="14"/>
  <c r="C2" i="14"/>
  <c r="C1" i="14"/>
  <c r="A2" i="13"/>
  <c r="A3" i="13"/>
  <c r="A4" i="13"/>
  <c r="A5" i="13"/>
  <c r="A6" i="13"/>
  <c r="A8" i="13"/>
  <c r="A9" i="13"/>
  <c r="A10" i="13"/>
  <c r="A11" i="13"/>
  <c r="A12" i="13"/>
  <c r="A1" i="13"/>
  <c r="B6" i="12"/>
  <c r="C6" i="12"/>
  <c r="C11" i="12"/>
  <c r="C2" i="12"/>
  <c r="C1" i="12"/>
  <c r="C6" i="11"/>
  <c r="C11" i="11"/>
  <c r="C2" i="11"/>
  <c r="C1" i="11"/>
  <c r="B6" i="10"/>
  <c r="B9" i="14" l="1"/>
  <c r="B10" i="14" s="1"/>
  <c r="B11" i="14" s="1"/>
  <c r="B6" i="11"/>
  <c r="B8" i="8" l="1"/>
  <c r="B9" i="8" l="1"/>
  <c r="B10" i="8" s="1"/>
  <c r="B11" i="8" s="1"/>
  <c r="B9" i="13"/>
  <c r="C3" i="13"/>
  <c r="C2" i="13"/>
  <c r="C1" i="13"/>
  <c r="B10" i="12"/>
  <c r="B9" i="12"/>
  <c r="B10" i="11"/>
  <c r="B9" i="11"/>
  <c r="B10" i="10"/>
  <c r="O29" i="10" s="1"/>
  <c r="P9" i="10"/>
  <c r="B9" i="10"/>
  <c r="D8" i="10"/>
  <c r="R7" i="10"/>
  <c r="R6" i="10"/>
  <c r="R5" i="10"/>
  <c r="P5" i="10"/>
  <c r="B3" i="10"/>
  <c r="P29" i="9"/>
  <c r="T11" i="9"/>
  <c r="S10" i="9"/>
  <c r="B10" i="9"/>
  <c r="S9" i="9"/>
  <c r="D9" i="9"/>
  <c r="T8" i="9"/>
  <c r="D8" i="9"/>
  <c r="R7" i="9"/>
  <c r="T6" i="9"/>
  <c r="P6" i="9"/>
  <c r="D6" i="9"/>
  <c r="T5" i="9"/>
  <c r="P5" i="9"/>
  <c r="O5" i="9"/>
  <c r="N5" i="9"/>
  <c r="M5" i="9"/>
  <c r="L5" i="9"/>
  <c r="K5" i="9"/>
  <c r="J5" i="9"/>
  <c r="I5" i="9"/>
  <c r="H5" i="9"/>
  <c r="G5" i="9"/>
  <c r="F5" i="9"/>
  <c r="D5" i="9"/>
  <c r="B3" i="9"/>
  <c r="B9" i="9" s="1"/>
  <c r="R14" i="9" s="1"/>
  <c r="D7" i="10" l="1"/>
  <c r="P8" i="10"/>
  <c r="D6" i="10"/>
  <c r="P7" i="10"/>
  <c r="D5" i="10"/>
  <c r="P6" i="10"/>
  <c r="D9" i="10"/>
  <c r="B10" i="13"/>
  <c r="B11" i="13" s="1"/>
  <c r="B12" i="13" s="1"/>
  <c r="P31" i="10"/>
  <c r="L31" i="10"/>
  <c r="H31" i="10"/>
  <c r="T29" i="10"/>
  <c r="S28" i="10"/>
  <c r="R27" i="10"/>
  <c r="T25" i="10"/>
  <c r="S24" i="10"/>
  <c r="R23" i="10"/>
  <c r="T21" i="10"/>
  <c r="S20" i="10"/>
  <c r="R19" i="10"/>
  <c r="T17" i="10"/>
  <c r="S16" i="10"/>
  <c r="R15" i="10"/>
  <c r="T13" i="10"/>
  <c r="S12" i="10"/>
  <c r="R11" i="10"/>
  <c r="O31" i="10"/>
  <c r="K31" i="10"/>
  <c r="G31" i="10"/>
  <c r="S29" i="10"/>
  <c r="R28" i="10"/>
  <c r="T26" i="10"/>
  <c r="S25" i="10"/>
  <c r="R24" i="10"/>
  <c r="T22" i="10"/>
  <c r="S21" i="10"/>
  <c r="R20" i="10"/>
  <c r="T18" i="10"/>
  <c r="S17" i="10"/>
  <c r="R16" i="10"/>
  <c r="T14" i="10"/>
  <c r="S13" i="10"/>
  <c r="R12" i="10"/>
  <c r="T10" i="10"/>
  <c r="T9" i="10"/>
  <c r="N31" i="10"/>
  <c r="J31" i="10"/>
  <c r="F31" i="10"/>
  <c r="R29" i="10"/>
  <c r="V29" i="10" s="1"/>
  <c r="T27" i="10"/>
  <c r="S26" i="10"/>
  <c r="R25" i="10"/>
  <c r="V25" i="10" s="1"/>
  <c r="T23" i="10"/>
  <c r="S22" i="10"/>
  <c r="R21" i="10"/>
  <c r="V21" i="10" s="1"/>
  <c r="T19" i="10"/>
  <c r="S18" i="10"/>
  <c r="R17" i="10"/>
  <c r="V17" i="10" s="1"/>
  <c r="T15" i="10"/>
  <c r="S14" i="10"/>
  <c r="R13" i="10"/>
  <c r="V13" i="10" s="1"/>
  <c r="T11" i="10"/>
  <c r="S10" i="10"/>
  <c r="S9" i="10"/>
  <c r="T8" i="10"/>
  <c r="M31" i="10"/>
  <c r="I31" i="10"/>
  <c r="T28" i="10"/>
  <c r="S27" i="10"/>
  <c r="R26" i="10"/>
  <c r="V26" i="10" s="1"/>
  <c r="T24" i="10"/>
  <c r="S23" i="10"/>
  <c r="R22" i="10"/>
  <c r="V22" i="10" s="1"/>
  <c r="T20" i="10"/>
  <c r="S19" i="10"/>
  <c r="R18" i="10"/>
  <c r="V18" i="10" s="1"/>
  <c r="T16" i="10"/>
  <c r="S15" i="10"/>
  <c r="R14" i="10"/>
  <c r="V14" i="10" s="1"/>
  <c r="T12" i="10"/>
  <c r="S11" i="10"/>
  <c r="R10" i="10"/>
  <c r="V10" i="10" s="1"/>
  <c r="R9" i="10"/>
  <c r="V9" i="10" s="1"/>
  <c r="S8" i="10"/>
  <c r="S5" i="10"/>
  <c r="V5" i="10" s="1"/>
  <c r="S6" i="10"/>
  <c r="O6" i="10" s="1"/>
  <c r="T5" i="10"/>
  <c r="T6" i="10"/>
  <c r="T7" i="10"/>
  <c r="S7" i="10"/>
  <c r="O7" i="10" s="1"/>
  <c r="O8" i="10"/>
  <c r="R8" i="10"/>
  <c r="V8" i="10" s="1"/>
  <c r="P13" i="10"/>
  <c r="P17" i="10"/>
  <c r="P21" i="10"/>
  <c r="P25" i="10"/>
  <c r="H29" i="10"/>
  <c r="L29" i="10"/>
  <c r="P29" i="10"/>
  <c r="P12" i="10"/>
  <c r="P16" i="10"/>
  <c r="P20" i="10"/>
  <c r="P24" i="10"/>
  <c r="P28" i="10"/>
  <c r="I29" i="10"/>
  <c r="M29" i="10"/>
  <c r="P11" i="10"/>
  <c r="O12" i="10" s="1"/>
  <c r="P15" i="10"/>
  <c r="P19" i="10"/>
  <c r="P23" i="10"/>
  <c r="P27" i="10"/>
  <c r="O28" i="10" s="1"/>
  <c r="F29" i="10"/>
  <c r="J29" i="10"/>
  <c r="N29" i="10"/>
  <c r="P10" i="10"/>
  <c r="O11" i="10" s="1"/>
  <c r="P14" i="10"/>
  <c r="P18" i="10"/>
  <c r="O19" i="10" s="1"/>
  <c r="P22" i="10"/>
  <c r="P26" i="10"/>
  <c r="O27" i="10" s="1"/>
  <c r="N28" i="10" s="1"/>
  <c r="G29" i="10"/>
  <c r="K29" i="10"/>
  <c r="S5" i="9"/>
  <c r="S6" i="9"/>
  <c r="S8" i="9"/>
  <c r="R9" i="9"/>
  <c r="R10" i="9"/>
  <c r="V10" i="9" s="1"/>
  <c r="S11" i="9"/>
  <c r="T12" i="9"/>
  <c r="S7" i="9"/>
  <c r="P28" i="9"/>
  <c r="P24" i="9"/>
  <c r="P20" i="9"/>
  <c r="P16" i="9"/>
  <c r="P25" i="9"/>
  <c r="P21" i="9"/>
  <c r="P17" i="9"/>
  <c r="P26" i="9"/>
  <c r="P22" i="9"/>
  <c r="P18" i="9"/>
  <c r="P14" i="9"/>
  <c r="P10" i="9"/>
  <c r="P9" i="9"/>
  <c r="O10" i="9" s="1"/>
  <c r="P27" i="9"/>
  <c r="P23" i="9"/>
  <c r="P19" i="9"/>
  <c r="P15" i="9"/>
  <c r="P11" i="9"/>
  <c r="P8" i="9"/>
  <c r="P7" i="9"/>
  <c r="P13" i="9"/>
  <c r="P31" i="9"/>
  <c r="L31" i="9"/>
  <c r="H31" i="9"/>
  <c r="T29" i="9"/>
  <c r="T27" i="9"/>
  <c r="S26" i="9"/>
  <c r="R25" i="9"/>
  <c r="T23" i="9"/>
  <c r="S22" i="9"/>
  <c r="R21" i="9"/>
  <c r="T19" i="9"/>
  <c r="S18" i="9"/>
  <c r="R17" i="9"/>
  <c r="T15" i="9"/>
  <c r="O31" i="9"/>
  <c r="K31" i="9"/>
  <c r="G31" i="9"/>
  <c r="S29" i="9"/>
  <c r="T28" i="9"/>
  <c r="S27" i="9"/>
  <c r="R26" i="9"/>
  <c r="V26" i="9" s="1"/>
  <c r="T24" i="9"/>
  <c r="S23" i="9"/>
  <c r="R22" i="9"/>
  <c r="T20" i="9"/>
  <c r="S19" i="9"/>
  <c r="R18" i="9"/>
  <c r="V18" i="9" s="1"/>
  <c r="T16" i="9"/>
  <c r="S15" i="9"/>
  <c r="N31" i="9"/>
  <c r="J31" i="9"/>
  <c r="F31" i="9"/>
  <c r="R29" i="9"/>
  <c r="V29" i="9" s="1"/>
  <c r="S28" i="9"/>
  <c r="R27" i="9"/>
  <c r="V27" i="9" s="1"/>
  <c r="T25" i="9"/>
  <c r="S24" i="9"/>
  <c r="R23" i="9"/>
  <c r="T21" i="9"/>
  <c r="S20" i="9"/>
  <c r="R19" i="9"/>
  <c r="V19" i="9" s="1"/>
  <c r="T17" i="9"/>
  <c r="S16" i="9"/>
  <c r="R15" i="9"/>
  <c r="T13" i="9"/>
  <c r="S12" i="9"/>
  <c r="R11" i="9"/>
  <c r="V11" i="9" s="1"/>
  <c r="R8" i="9"/>
  <c r="V8" i="9" s="1"/>
  <c r="M31" i="9"/>
  <c r="I31" i="9"/>
  <c r="R28" i="9"/>
  <c r="V28" i="9" s="1"/>
  <c r="T26" i="9"/>
  <c r="S25" i="9"/>
  <c r="R24" i="9"/>
  <c r="T22" i="9"/>
  <c r="S21" i="9"/>
  <c r="R20" i="9"/>
  <c r="V20" i="9" s="1"/>
  <c r="T18" i="9"/>
  <c r="S17" i="9"/>
  <c r="R16" i="9"/>
  <c r="T14" i="9"/>
  <c r="S13" i="9"/>
  <c r="R12" i="9"/>
  <c r="V12" i="9" s="1"/>
  <c r="T10" i="9"/>
  <c r="T9" i="9"/>
  <c r="R5" i="9"/>
  <c r="R6" i="9"/>
  <c r="D7" i="9"/>
  <c r="T7" i="9"/>
  <c r="V7" i="9" s="1"/>
  <c r="P12" i="9"/>
  <c r="R13" i="9"/>
  <c r="V13" i="9" s="1"/>
  <c r="S14" i="9"/>
  <c r="V14" i="9" s="1"/>
  <c r="O20" i="10" l="1"/>
  <c r="O15" i="10"/>
  <c r="O16" i="10"/>
  <c r="O23" i="10"/>
  <c r="O24" i="10"/>
  <c r="N7" i="10"/>
  <c r="N6" i="10"/>
  <c r="O17" i="10"/>
  <c r="O14" i="10"/>
  <c r="N15" i="10" s="1"/>
  <c r="O10" i="10"/>
  <c r="N11" i="10" s="1"/>
  <c r="V12" i="10"/>
  <c r="V28" i="10"/>
  <c r="V15" i="10"/>
  <c r="V6" i="10"/>
  <c r="N16" i="10"/>
  <c r="O13" i="10"/>
  <c r="O26" i="10"/>
  <c r="N27" i="10" s="1"/>
  <c r="M28" i="10" s="1"/>
  <c r="V24" i="10"/>
  <c r="V11" i="10"/>
  <c r="V27" i="10"/>
  <c r="V7" i="10"/>
  <c r="O25" i="10"/>
  <c r="O22" i="10"/>
  <c r="N23" i="10" s="1"/>
  <c r="O9" i="10"/>
  <c r="N10" i="10" s="1"/>
  <c r="V20" i="10"/>
  <c r="V23" i="10"/>
  <c r="O21" i="10"/>
  <c r="N22" i="10" s="1"/>
  <c r="O18" i="10"/>
  <c r="V16" i="10"/>
  <c r="V19" i="10"/>
  <c r="V25" i="9"/>
  <c r="O14" i="9"/>
  <c r="O16" i="9"/>
  <c r="O23" i="9"/>
  <c r="O26" i="9"/>
  <c r="O13" i="9"/>
  <c r="V5" i="9"/>
  <c r="V24" i="9"/>
  <c r="V23" i="9"/>
  <c r="V21" i="9"/>
  <c r="O8" i="9"/>
  <c r="O20" i="9"/>
  <c r="O11" i="9"/>
  <c r="O27" i="9"/>
  <c r="O17" i="9"/>
  <c r="V9" i="9"/>
  <c r="V6" i="9"/>
  <c r="O6" i="9"/>
  <c r="N6" i="9" s="1"/>
  <c r="O24" i="9"/>
  <c r="O15" i="9"/>
  <c r="N16" i="9" s="1"/>
  <c r="O18" i="9"/>
  <c r="O21" i="9"/>
  <c r="V17" i="9"/>
  <c r="O9" i="9"/>
  <c r="N10" i="9" s="1"/>
  <c r="V16" i="9"/>
  <c r="V15" i="9"/>
  <c r="V22" i="9"/>
  <c r="O12" i="9"/>
  <c r="N13" i="9" s="1"/>
  <c r="O28" i="9"/>
  <c r="O19" i="9"/>
  <c r="N20" i="9" s="1"/>
  <c r="O22" i="9"/>
  <c r="N23" i="9" s="1"/>
  <c r="O25" i="9"/>
  <c r="N26" i="9" s="1"/>
  <c r="O7" i="9"/>
  <c r="N8" i="9" s="1"/>
  <c r="N19" i="10" l="1"/>
  <c r="N14" i="10"/>
  <c r="M15" i="10" s="1"/>
  <c r="N26" i="10"/>
  <c r="M27" i="10" s="1"/>
  <c r="L28" i="10" s="1"/>
  <c r="N20" i="10"/>
  <c r="M6" i="10"/>
  <c r="N25" i="10"/>
  <c r="M26" i="10" s="1"/>
  <c r="L27" i="10" s="1"/>
  <c r="K28" i="10" s="1"/>
  <c r="N13" i="10"/>
  <c r="N17" i="10"/>
  <c r="M16" i="10" s="1"/>
  <c r="N18" i="10"/>
  <c r="M19" i="10" s="1"/>
  <c r="N24" i="10"/>
  <c r="M25" i="10" s="1"/>
  <c r="L26" i="10" s="1"/>
  <c r="K27" i="10" s="1"/>
  <c r="J28" i="10" s="1"/>
  <c r="N9" i="10"/>
  <c r="M10" i="10" s="1"/>
  <c r="N12" i="10"/>
  <c r="M13" i="10" s="1"/>
  <c r="N21" i="10"/>
  <c r="M22" i="10" s="1"/>
  <c r="N8" i="10"/>
  <c r="M9" i="10" s="1"/>
  <c r="N19" i="9"/>
  <c r="M20" i="9" s="1"/>
  <c r="N12" i="9"/>
  <c r="N17" i="9"/>
  <c r="M17" i="9"/>
  <c r="N7" i="9"/>
  <c r="M6" i="9" s="1"/>
  <c r="N21" i="9"/>
  <c r="M21" i="9" s="1"/>
  <c r="N27" i="9"/>
  <c r="N15" i="9"/>
  <c r="M16" i="9" s="1"/>
  <c r="N25" i="9"/>
  <c r="M26" i="9" s="1"/>
  <c r="N18" i="9"/>
  <c r="M19" i="9" s="1"/>
  <c r="N9" i="9"/>
  <c r="N24" i="9"/>
  <c r="M24" i="9" s="1"/>
  <c r="N22" i="9"/>
  <c r="M23" i="9" s="1"/>
  <c r="N28" i="9"/>
  <c r="M27" i="9" s="1"/>
  <c r="N14" i="9"/>
  <c r="M15" i="9" s="1"/>
  <c r="L16" i="9" s="1"/>
  <c r="N11" i="9"/>
  <c r="M12" i="9" s="1"/>
  <c r="M14" i="10" l="1"/>
  <c r="L15" i="10" s="1"/>
  <c r="M21" i="10"/>
  <c r="M17" i="10"/>
  <c r="M8" i="10"/>
  <c r="L9" i="10" s="1"/>
  <c r="M11" i="10"/>
  <c r="L10" i="10" s="1"/>
  <c r="M12" i="10"/>
  <c r="M24" i="10"/>
  <c r="L25" i="10" s="1"/>
  <c r="K26" i="10" s="1"/>
  <c r="J27" i="10" s="1"/>
  <c r="I28" i="10" s="1"/>
  <c r="M18" i="10"/>
  <c r="M7" i="10"/>
  <c r="M23" i="10"/>
  <c r="M20" i="10"/>
  <c r="L21" i="10" s="1"/>
  <c r="M10" i="9"/>
  <c r="M14" i="9"/>
  <c r="L15" i="9" s="1"/>
  <c r="L20" i="9"/>
  <c r="M28" i="9"/>
  <c r="L28" i="9" s="1"/>
  <c r="L27" i="9"/>
  <c r="M22" i="9"/>
  <c r="L23" i="9" s="1"/>
  <c r="M18" i="9"/>
  <c r="L19" i="9" s="1"/>
  <c r="M11" i="9"/>
  <c r="M25" i="9"/>
  <c r="L26" i="9" s="1"/>
  <c r="M9" i="9"/>
  <c r="L10" i="9" s="1"/>
  <c r="M8" i="9"/>
  <c r="L9" i="9" s="1"/>
  <c r="M13" i="9"/>
  <c r="L14" i="9" s="1"/>
  <c r="K15" i="9" s="1"/>
  <c r="M7" i="9"/>
  <c r="L8" i="9" s="1"/>
  <c r="K9" i="9" s="1"/>
  <c r="L18" i="10" l="1"/>
  <c r="L8" i="10"/>
  <c r="K9" i="10" s="1"/>
  <c r="L13" i="10"/>
  <c r="K14" i="10" s="1"/>
  <c r="L14" i="10"/>
  <c r="L11" i="10"/>
  <c r="K12" i="10" s="1"/>
  <c r="J13" i="10" s="1"/>
  <c r="L20" i="10"/>
  <c r="L12" i="10"/>
  <c r="K13" i="10" s="1"/>
  <c r="L22" i="10"/>
  <c r="L24" i="10"/>
  <c r="K25" i="10" s="1"/>
  <c r="J26" i="10" s="1"/>
  <c r="I27" i="10" s="1"/>
  <c r="H28" i="10" s="1"/>
  <c r="K11" i="10"/>
  <c r="J12" i="10" s="1"/>
  <c r="L6" i="10"/>
  <c r="L7" i="10"/>
  <c r="L19" i="10"/>
  <c r="K20" i="10" s="1"/>
  <c r="L16" i="10"/>
  <c r="L17" i="10"/>
  <c r="L23" i="10"/>
  <c r="K24" i="10" s="1"/>
  <c r="J25" i="10" s="1"/>
  <c r="I26" i="10" s="1"/>
  <c r="H27" i="10" s="1"/>
  <c r="G28" i="10" s="1"/>
  <c r="K27" i="9"/>
  <c r="L18" i="9"/>
  <c r="K19" i="9" s="1"/>
  <c r="L7" i="9"/>
  <c r="K8" i="9" s="1"/>
  <c r="L24" i="9"/>
  <c r="K28" i="9"/>
  <c r="K16" i="9"/>
  <c r="L17" i="9"/>
  <c r="L22" i="9"/>
  <c r="K23" i="9" s="1"/>
  <c r="L12" i="9"/>
  <c r="K13" i="9" s="1"/>
  <c r="J14" i="9" s="1"/>
  <c r="L13" i="9"/>
  <c r="K14" i="9" s="1"/>
  <c r="J15" i="9" s="1"/>
  <c r="L11" i="9"/>
  <c r="K12" i="9" s="1"/>
  <c r="J13" i="9" s="1"/>
  <c r="I14" i="9" s="1"/>
  <c r="K20" i="9"/>
  <c r="L21" i="9"/>
  <c r="K22" i="9" s="1"/>
  <c r="L6" i="9"/>
  <c r="L25" i="9"/>
  <c r="K26" i="9" s="1"/>
  <c r="J27" i="9" s="1"/>
  <c r="K8" i="10" l="1"/>
  <c r="J9" i="10" s="1"/>
  <c r="K10" i="10"/>
  <c r="J11" i="10" s="1"/>
  <c r="I12" i="10" s="1"/>
  <c r="K18" i="10"/>
  <c r="K17" i="10"/>
  <c r="K16" i="10"/>
  <c r="J17" i="10" s="1"/>
  <c r="K15" i="10"/>
  <c r="K19" i="10"/>
  <c r="K21" i="10"/>
  <c r="J10" i="10"/>
  <c r="I11" i="10" s="1"/>
  <c r="K7" i="10"/>
  <c r="K6" i="10"/>
  <c r="K23" i="10"/>
  <c r="J24" i="10" s="1"/>
  <c r="I25" i="10" s="1"/>
  <c r="H26" i="10" s="1"/>
  <c r="G27" i="10" s="1"/>
  <c r="F28" i="10" s="1"/>
  <c r="K22" i="10"/>
  <c r="J23" i="10" s="1"/>
  <c r="I24" i="10" s="1"/>
  <c r="H25" i="10" s="1"/>
  <c r="G26" i="10" s="1"/>
  <c r="F27" i="10" s="1"/>
  <c r="K7" i="9"/>
  <c r="J8" i="9" s="1"/>
  <c r="K6" i="9"/>
  <c r="K25" i="9"/>
  <c r="J26" i="9" s="1"/>
  <c r="I27" i="9" s="1"/>
  <c r="K21" i="9"/>
  <c r="J22" i="9" s="1"/>
  <c r="K18" i="9"/>
  <c r="J19" i="9" s="1"/>
  <c r="K17" i="9"/>
  <c r="J18" i="9" s="1"/>
  <c r="K24" i="9"/>
  <c r="J17" i="9"/>
  <c r="I18" i="9" s="1"/>
  <c r="J28" i="9"/>
  <c r="I28" i="9"/>
  <c r="K11" i="9"/>
  <c r="J12" i="9" s="1"/>
  <c r="I13" i="9" s="1"/>
  <c r="K10" i="9"/>
  <c r="J21" i="10" l="1"/>
  <c r="J8" i="10"/>
  <c r="I9" i="10" s="1"/>
  <c r="J20" i="10"/>
  <c r="J19" i="10"/>
  <c r="I20" i="10" s="1"/>
  <c r="J7" i="10"/>
  <c r="J6" i="10"/>
  <c r="J16" i="10"/>
  <c r="J15" i="10"/>
  <c r="I16" i="10" s="1"/>
  <c r="J14" i="10"/>
  <c r="J22" i="10"/>
  <c r="I23" i="10" s="1"/>
  <c r="H24" i="10" s="1"/>
  <c r="G25" i="10" s="1"/>
  <c r="F26" i="10" s="1"/>
  <c r="J18" i="10"/>
  <c r="I19" i="10" s="1"/>
  <c r="I10" i="10"/>
  <c r="H11" i="10" s="1"/>
  <c r="J11" i="9"/>
  <c r="I12" i="9" s="1"/>
  <c r="H13" i="9" s="1"/>
  <c r="J10" i="9"/>
  <c r="I11" i="9" s="1"/>
  <c r="H12" i="9" s="1"/>
  <c r="J9" i="9"/>
  <c r="I10" i="9" s="1"/>
  <c r="H11" i="9" s="1"/>
  <c r="G12" i="9" s="1"/>
  <c r="J25" i="9"/>
  <c r="I26" i="9" s="1"/>
  <c r="H27" i="9" s="1"/>
  <c r="J23" i="9"/>
  <c r="J7" i="9"/>
  <c r="I8" i="9" s="1"/>
  <c r="J6" i="9"/>
  <c r="H28" i="9"/>
  <c r="I9" i="9"/>
  <c r="H10" i="9" s="1"/>
  <c r="G11" i="9" s="1"/>
  <c r="J20" i="9"/>
  <c r="J21" i="9"/>
  <c r="I22" i="9" s="1"/>
  <c r="J24" i="9"/>
  <c r="I25" i="9" s="1"/>
  <c r="H26" i="9" s="1"/>
  <c r="G27" i="9" s="1"/>
  <c r="J16" i="9"/>
  <c r="I18" i="10" l="1"/>
  <c r="H19" i="10" s="1"/>
  <c r="I17" i="10"/>
  <c r="I8" i="10"/>
  <c r="I15" i="10"/>
  <c r="H16" i="10" s="1"/>
  <c r="I13" i="10"/>
  <c r="I14" i="10"/>
  <c r="H15" i="10" s="1"/>
  <c r="H9" i="10"/>
  <c r="H18" i="10"/>
  <c r="I21" i="10"/>
  <c r="H10" i="10"/>
  <c r="I7" i="10"/>
  <c r="I6" i="10"/>
  <c r="I22" i="10"/>
  <c r="H23" i="10" s="1"/>
  <c r="G24" i="10" s="1"/>
  <c r="F25" i="10" s="1"/>
  <c r="I23" i="9"/>
  <c r="I21" i="9"/>
  <c r="I19" i="9"/>
  <c r="I17" i="9"/>
  <c r="I16" i="9"/>
  <c r="H17" i="9" s="1"/>
  <c r="I15" i="9"/>
  <c r="I20" i="9"/>
  <c r="H21" i="9" s="1"/>
  <c r="I7" i="9"/>
  <c r="H8" i="9" s="1"/>
  <c r="I6" i="9"/>
  <c r="I24" i="9"/>
  <c r="H25" i="9" s="1"/>
  <c r="G26" i="9" s="1"/>
  <c r="F27" i="9" s="1"/>
  <c r="H9" i="9"/>
  <c r="G10" i="9" s="1"/>
  <c r="F11" i="9" s="1"/>
  <c r="G28" i="9"/>
  <c r="F28" i="9" s="1"/>
  <c r="H8" i="10" l="1"/>
  <c r="G9" i="10" s="1"/>
  <c r="H17" i="10"/>
  <c r="G16" i="10" s="1"/>
  <c r="H22" i="10"/>
  <c r="G23" i="10" s="1"/>
  <c r="F24" i="10" s="1"/>
  <c r="H7" i="10"/>
  <c r="G8" i="10" s="1"/>
  <c r="H6" i="10"/>
  <c r="H21" i="10"/>
  <c r="G22" i="10" s="1"/>
  <c r="F23" i="10" s="1"/>
  <c r="H20" i="10"/>
  <c r="G18" i="10"/>
  <c r="H14" i="10"/>
  <c r="G15" i="10" s="1"/>
  <c r="H13" i="10"/>
  <c r="H12" i="10"/>
  <c r="G11" i="10" s="1"/>
  <c r="G17" i="10"/>
  <c r="G19" i="10"/>
  <c r="G10" i="10"/>
  <c r="G9" i="9"/>
  <c r="F10" i="9" s="1"/>
  <c r="H18" i="9"/>
  <c r="H16" i="9"/>
  <c r="G17" i="9" s="1"/>
  <c r="H15" i="9"/>
  <c r="G16" i="9" s="1"/>
  <c r="H14" i="9"/>
  <c r="H20" i="9"/>
  <c r="H19" i="9"/>
  <c r="G20" i="9" s="1"/>
  <c r="H24" i="9"/>
  <c r="G25" i="9" s="1"/>
  <c r="F26" i="9" s="1"/>
  <c r="H7" i="9"/>
  <c r="G8" i="9" s="1"/>
  <c r="F9" i="9" s="1"/>
  <c r="H6" i="9"/>
  <c r="G18" i="9"/>
  <c r="H22" i="9"/>
  <c r="G23" i="9" s="1"/>
  <c r="F24" i="9" s="1"/>
  <c r="H23" i="9"/>
  <c r="G24" i="9" s="1"/>
  <c r="F25" i="9" s="1"/>
  <c r="F16" i="10" l="1"/>
  <c r="F10" i="10"/>
  <c r="F18" i="10"/>
  <c r="G13" i="10"/>
  <c r="G12" i="10"/>
  <c r="G21" i="10"/>
  <c r="F22" i="10" s="1"/>
  <c r="G20" i="10"/>
  <c r="F19" i="10" s="1"/>
  <c r="G7" i="10"/>
  <c r="F8" i="10" s="1"/>
  <c r="G6" i="10"/>
  <c r="F20" i="10"/>
  <c r="G14" i="10"/>
  <c r="F15" i="10" s="1"/>
  <c r="F17" i="10"/>
  <c r="F9" i="10"/>
  <c r="G7" i="9"/>
  <c r="F8" i="9" s="1"/>
  <c r="G6" i="9"/>
  <c r="G21" i="9"/>
  <c r="G22" i="9"/>
  <c r="F23" i="9" s="1"/>
  <c r="G15" i="9"/>
  <c r="F16" i="9" s="1"/>
  <c r="G13" i="9"/>
  <c r="G14" i="9"/>
  <c r="G19" i="9"/>
  <c r="F20" i="9" s="1"/>
  <c r="F17" i="9"/>
  <c r="C6" i="8"/>
  <c r="C2" i="8"/>
  <c r="C1" i="8"/>
  <c r="CY16" i="7"/>
  <c r="CX16" i="7"/>
  <c r="CW16" i="7"/>
  <c r="CV16" i="7"/>
  <c r="CU16" i="7"/>
  <c r="CT16" i="7"/>
  <c r="CS16" i="7"/>
  <c r="CR16" i="7"/>
  <c r="CQ16" i="7"/>
  <c r="CP16" i="7"/>
  <c r="CO16" i="7"/>
  <c r="CN16" i="7"/>
  <c r="CM16" i="7"/>
  <c r="CL16" i="7"/>
  <c r="CK16" i="7"/>
  <c r="CJ16" i="7"/>
  <c r="CI16" i="7"/>
  <c r="CH16" i="7"/>
  <c r="CG16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BT16" i="7"/>
  <c r="BS16" i="7"/>
  <c r="BR16" i="7"/>
  <c r="BQ16" i="7"/>
  <c r="BP16" i="7"/>
  <c r="BO16" i="7"/>
  <c r="BN16" i="7"/>
  <c r="BM16" i="7"/>
  <c r="BL16" i="7"/>
  <c r="BK16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B3" i="7"/>
  <c r="B8" i="7" s="1"/>
  <c r="F7" i="10" l="1"/>
  <c r="F6" i="10"/>
  <c r="F13" i="10"/>
  <c r="F14" i="10"/>
  <c r="F21" i="10"/>
  <c r="F11" i="10"/>
  <c r="F12" i="10"/>
  <c r="F19" i="9"/>
  <c r="F15" i="9"/>
  <c r="F22" i="9"/>
  <c r="F18" i="9"/>
  <c r="F14" i="9"/>
  <c r="F13" i="9"/>
  <c r="F12" i="9"/>
  <c r="F7" i="9"/>
  <c r="F6" i="9"/>
  <c r="F21" i="9"/>
  <c r="B11" i="7"/>
  <c r="S17" i="7" s="1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S38" i="7" s="1"/>
  <c r="S39" i="7" s="1"/>
  <c r="S40" i="7" s="1"/>
  <c r="S41" i="7" s="1"/>
  <c r="S42" i="7" s="1"/>
  <c r="S43" i="7" s="1"/>
  <c r="S44" i="7" s="1"/>
  <c r="S45" i="7" s="1"/>
  <c r="S46" i="7" s="1"/>
  <c r="S47" i="7" s="1"/>
  <c r="S48" i="7" s="1"/>
  <c r="S49" i="7" s="1"/>
  <c r="S50" i="7" s="1"/>
  <c r="S51" i="7" s="1"/>
  <c r="S52" i="7" s="1"/>
  <c r="S53" i="7" s="1"/>
  <c r="S54" i="7" s="1"/>
  <c r="S55" i="7" s="1"/>
  <c r="S56" i="7" s="1"/>
  <c r="S57" i="7" s="1"/>
  <c r="S58" i="7" s="1"/>
  <c r="S59" i="7" s="1"/>
  <c r="S60" i="7" s="1"/>
  <c r="S61" i="7" s="1"/>
  <c r="S62" i="7" s="1"/>
  <c r="S63" i="7" s="1"/>
  <c r="S64" i="7" s="1"/>
  <c r="S65" i="7" s="1"/>
  <c r="S66" i="7" s="1"/>
  <c r="S67" i="7" s="1"/>
  <c r="S68" i="7" s="1"/>
  <c r="S69" i="7" s="1"/>
  <c r="S70" i="7" s="1"/>
  <c r="S71" i="7" s="1"/>
  <c r="S72" i="7" s="1"/>
  <c r="S73" i="7" s="1"/>
  <c r="S74" i="7" s="1"/>
  <c r="S75" i="7" s="1"/>
  <c r="S76" i="7" s="1"/>
  <c r="S77" i="7" s="1"/>
  <c r="S78" i="7" s="1"/>
  <c r="S79" i="7" s="1"/>
  <c r="S80" i="7" s="1"/>
  <c r="S81" i="7" s="1"/>
  <c r="S82" i="7" s="1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S113" i="7" s="1"/>
  <c r="S114" i="7" s="1"/>
  <c r="S115" i="7" s="1"/>
  <c r="S116" i="7" s="1"/>
  <c r="S118" i="7" s="1"/>
  <c r="S119" i="7" s="1"/>
  <c r="S120" i="7" s="1"/>
  <c r="B9" i="7"/>
  <c r="B10" i="7" s="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O43" i="7" s="1"/>
  <c r="O44" i="7" s="1"/>
  <c r="O45" i="7" s="1"/>
  <c r="O46" i="7" s="1"/>
  <c r="O47" i="7" s="1"/>
  <c r="O48" i="7" s="1"/>
  <c r="O49" i="7" s="1"/>
  <c r="O50" i="7" s="1"/>
  <c r="O51" i="7" s="1"/>
  <c r="O52" i="7" s="1"/>
  <c r="O53" i="7" s="1"/>
  <c r="O54" i="7" s="1"/>
  <c r="O55" i="7" s="1"/>
  <c r="O56" i="7" s="1"/>
  <c r="O57" i="7" s="1"/>
  <c r="O58" i="7" s="1"/>
  <c r="O59" i="7" s="1"/>
  <c r="O60" i="7" s="1"/>
  <c r="O61" i="7" s="1"/>
  <c r="O62" i="7" s="1"/>
  <c r="O63" i="7" s="1"/>
  <c r="O64" i="7" s="1"/>
  <c r="O65" i="7" s="1"/>
  <c r="O66" i="7" s="1"/>
  <c r="O67" i="7" s="1"/>
  <c r="O68" i="7" s="1"/>
  <c r="O69" i="7" s="1"/>
  <c r="O70" i="7" s="1"/>
  <c r="O71" i="7" s="1"/>
  <c r="O72" i="7" s="1"/>
  <c r="O73" i="7" s="1"/>
  <c r="O74" i="7" s="1"/>
  <c r="O75" i="7" s="1"/>
  <c r="O76" i="7" s="1"/>
  <c r="O77" i="7" s="1"/>
  <c r="O78" i="7" s="1"/>
  <c r="O79" i="7" s="1"/>
  <c r="O80" i="7" s="1"/>
  <c r="O81" i="7" s="1"/>
  <c r="O82" i="7" s="1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O113" i="7" s="1"/>
  <c r="O114" i="7" s="1"/>
  <c r="O115" i="7" s="1"/>
  <c r="O116" i="7" s="1"/>
  <c r="O118" i="7" s="1"/>
  <c r="O119" i="7" s="1"/>
  <c r="O120" i="7" s="1"/>
  <c r="AE17" i="7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32" i="7" s="1"/>
  <c r="AE33" i="7" s="1"/>
  <c r="AE34" i="7" s="1"/>
  <c r="AE35" i="7" s="1"/>
  <c r="AE36" i="7" s="1"/>
  <c r="AE37" i="7" s="1"/>
  <c r="AE38" i="7" s="1"/>
  <c r="AE39" i="7" s="1"/>
  <c r="AE40" i="7" s="1"/>
  <c r="AE41" i="7" s="1"/>
  <c r="AE42" i="7" s="1"/>
  <c r="AE43" i="7" s="1"/>
  <c r="AE44" i="7" s="1"/>
  <c r="AE45" i="7" s="1"/>
  <c r="AE46" i="7" s="1"/>
  <c r="AE47" i="7" s="1"/>
  <c r="AE48" i="7" s="1"/>
  <c r="AE49" i="7" s="1"/>
  <c r="AE50" i="7" s="1"/>
  <c r="AE51" i="7" s="1"/>
  <c r="AE52" i="7" s="1"/>
  <c r="AE53" i="7" s="1"/>
  <c r="AE54" i="7" s="1"/>
  <c r="AE55" i="7" s="1"/>
  <c r="AE56" i="7" s="1"/>
  <c r="AE57" i="7" s="1"/>
  <c r="AE58" i="7" s="1"/>
  <c r="AE59" i="7" s="1"/>
  <c r="AE60" i="7" s="1"/>
  <c r="AE61" i="7" s="1"/>
  <c r="AE62" i="7" s="1"/>
  <c r="AE63" i="7" s="1"/>
  <c r="AE64" i="7" s="1"/>
  <c r="AE65" i="7" s="1"/>
  <c r="AE66" i="7" s="1"/>
  <c r="AE67" i="7" s="1"/>
  <c r="AE68" i="7" s="1"/>
  <c r="AE69" i="7" s="1"/>
  <c r="AE70" i="7" s="1"/>
  <c r="AE71" i="7" s="1"/>
  <c r="AE72" i="7" s="1"/>
  <c r="AE73" i="7" s="1"/>
  <c r="AE74" i="7" s="1"/>
  <c r="AE75" i="7" s="1"/>
  <c r="AE76" i="7" s="1"/>
  <c r="AE77" i="7" s="1"/>
  <c r="AE78" i="7" s="1"/>
  <c r="AE79" i="7" s="1"/>
  <c r="AE80" i="7" s="1"/>
  <c r="AE81" i="7" s="1"/>
  <c r="AE82" i="7" s="1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AE113" i="7" s="1"/>
  <c r="AE114" i="7" s="1"/>
  <c r="AE115" i="7" s="1"/>
  <c r="AE116" i="7" s="1"/>
  <c r="AE118" i="7" s="1"/>
  <c r="AE119" i="7" s="1"/>
  <c r="AE120" i="7" s="1"/>
  <c r="AU17" i="7"/>
  <c r="AU18" i="7" s="1"/>
  <c r="AU19" i="7" s="1"/>
  <c r="AU20" i="7" s="1"/>
  <c r="AU21" i="7" s="1"/>
  <c r="AU22" i="7" s="1"/>
  <c r="AU23" i="7" s="1"/>
  <c r="AU24" i="7" s="1"/>
  <c r="AU25" i="7" s="1"/>
  <c r="AU26" i="7" s="1"/>
  <c r="AU27" i="7" s="1"/>
  <c r="AU28" i="7" s="1"/>
  <c r="AU29" i="7" s="1"/>
  <c r="AU30" i="7" s="1"/>
  <c r="AU31" i="7" s="1"/>
  <c r="AU32" i="7" s="1"/>
  <c r="AU33" i="7" s="1"/>
  <c r="AU34" i="7" s="1"/>
  <c r="AU35" i="7" s="1"/>
  <c r="AU36" i="7" s="1"/>
  <c r="AU37" i="7" s="1"/>
  <c r="AU38" i="7" s="1"/>
  <c r="AU39" i="7" s="1"/>
  <c r="AU40" i="7" s="1"/>
  <c r="AU41" i="7" s="1"/>
  <c r="AU42" i="7" s="1"/>
  <c r="AU43" i="7" s="1"/>
  <c r="AU44" i="7" s="1"/>
  <c r="AU45" i="7" s="1"/>
  <c r="AU46" i="7" s="1"/>
  <c r="AU47" i="7" s="1"/>
  <c r="AU48" i="7" s="1"/>
  <c r="AU49" i="7" s="1"/>
  <c r="AU50" i="7" s="1"/>
  <c r="AU51" i="7" s="1"/>
  <c r="AU52" i="7" s="1"/>
  <c r="AU53" i="7" s="1"/>
  <c r="AU54" i="7" s="1"/>
  <c r="AU55" i="7" s="1"/>
  <c r="AU56" i="7" s="1"/>
  <c r="AU57" i="7" s="1"/>
  <c r="AU58" i="7" s="1"/>
  <c r="AU59" i="7" s="1"/>
  <c r="AU60" i="7" s="1"/>
  <c r="AU61" i="7" s="1"/>
  <c r="AU62" i="7" s="1"/>
  <c r="AU63" i="7" s="1"/>
  <c r="AU64" i="7" s="1"/>
  <c r="AU65" i="7" s="1"/>
  <c r="AU66" i="7" s="1"/>
  <c r="AU67" i="7" s="1"/>
  <c r="AU68" i="7" s="1"/>
  <c r="AU69" i="7" s="1"/>
  <c r="AU70" i="7" s="1"/>
  <c r="AU71" i="7" s="1"/>
  <c r="AU72" i="7" s="1"/>
  <c r="AU73" i="7" s="1"/>
  <c r="AU74" i="7" s="1"/>
  <c r="AU75" i="7" s="1"/>
  <c r="AU76" i="7" s="1"/>
  <c r="AU77" i="7" s="1"/>
  <c r="AU78" i="7" s="1"/>
  <c r="AU79" i="7" s="1"/>
  <c r="AU80" i="7" s="1"/>
  <c r="AU81" i="7" s="1"/>
  <c r="AU82" i="7" s="1"/>
  <c r="AU83" i="7" s="1"/>
  <c r="AU84" i="7" s="1"/>
  <c r="AU85" i="7" s="1"/>
  <c r="AU86" i="7" s="1"/>
  <c r="AU87" i="7" s="1"/>
  <c r="AU88" i="7" s="1"/>
  <c r="AU89" i="7" s="1"/>
  <c r="AU90" i="7" s="1"/>
  <c r="AU91" i="7" s="1"/>
  <c r="AU92" i="7" s="1"/>
  <c r="AU93" i="7" s="1"/>
  <c r="AU94" i="7" s="1"/>
  <c r="AU95" i="7" s="1"/>
  <c r="AU96" i="7" s="1"/>
  <c r="AU97" i="7" s="1"/>
  <c r="AU98" i="7" s="1"/>
  <c r="AU99" i="7" s="1"/>
  <c r="AU100" i="7" s="1"/>
  <c r="AU101" i="7" s="1"/>
  <c r="AU102" i="7" s="1"/>
  <c r="AU103" i="7" s="1"/>
  <c r="AU104" i="7" s="1"/>
  <c r="AU105" i="7" s="1"/>
  <c r="AU106" i="7" s="1"/>
  <c r="AU107" i="7" s="1"/>
  <c r="AU108" i="7" s="1"/>
  <c r="AU109" i="7" s="1"/>
  <c r="AU110" i="7" s="1"/>
  <c r="AU111" i="7" s="1"/>
  <c r="AU112" i="7" s="1"/>
  <c r="AU113" i="7" s="1"/>
  <c r="AU114" i="7" s="1"/>
  <c r="AU115" i="7" s="1"/>
  <c r="AU116" i="7" s="1"/>
  <c r="AU118" i="7" s="1"/>
  <c r="AU119" i="7" s="1"/>
  <c r="AU120" i="7" s="1"/>
  <c r="BK17" i="7"/>
  <c r="BK18" i="7" s="1"/>
  <c r="BK19" i="7" s="1"/>
  <c r="BK20" i="7" s="1"/>
  <c r="BK21" i="7" s="1"/>
  <c r="BK22" i="7" s="1"/>
  <c r="BK23" i="7" s="1"/>
  <c r="BK24" i="7" s="1"/>
  <c r="BK25" i="7" s="1"/>
  <c r="BK26" i="7" s="1"/>
  <c r="BK27" i="7" s="1"/>
  <c r="BK28" i="7" s="1"/>
  <c r="BK29" i="7" s="1"/>
  <c r="BK30" i="7" s="1"/>
  <c r="BK31" i="7" s="1"/>
  <c r="BK32" i="7" s="1"/>
  <c r="BK33" i="7" s="1"/>
  <c r="BK34" i="7" s="1"/>
  <c r="BK35" i="7" s="1"/>
  <c r="BK36" i="7" s="1"/>
  <c r="BK37" i="7" s="1"/>
  <c r="BK38" i="7" s="1"/>
  <c r="BK39" i="7" s="1"/>
  <c r="BK40" i="7" s="1"/>
  <c r="BK41" i="7" s="1"/>
  <c r="BK42" i="7" s="1"/>
  <c r="BK43" i="7" s="1"/>
  <c r="BK44" i="7" s="1"/>
  <c r="BK45" i="7" s="1"/>
  <c r="BK46" i="7" s="1"/>
  <c r="BK47" i="7" s="1"/>
  <c r="BK48" i="7" s="1"/>
  <c r="BK49" i="7" s="1"/>
  <c r="BK50" i="7" s="1"/>
  <c r="BK51" i="7" s="1"/>
  <c r="BK52" i="7" s="1"/>
  <c r="BK53" i="7" s="1"/>
  <c r="BK54" i="7" s="1"/>
  <c r="BK55" i="7" s="1"/>
  <c r="BK56" i="7" s="1"/>
  <c r="BK57" i="7" s="1"/>
  <c r="BK58" i="7" s="1"/>
  <c r="BK59" i="7" s="1"/>
  <c r="BK60" i="7" s="1"/>
  <c r="BK61" i="7" s="1"/>
  <c r="BK62" i="7" s="1"/>
  <c r="BK63" i="7" s="1"/>
  <c r="BK64" i="7" s="1"/>
  <c r="BK65" i="7" s="1"/>
  <c r="BK66" i="7" s="1"/>
  <c r="BK67" i="7" s="1"/>
  <c r="BK68" i="7" s="1"/>
  <c r="BK69" i="7" s="1"/>
  <c r="BK70" i="7" s="1"/>
  <c r="BK71" i="7" s="1"/>
  <c r="BK72" i="7" s="1"/>
  <c r="BK73" i="7" s="1"/>
  <c r="BK74" i="7" s="1"/>
  <c r="BK75" i="7" s="1"/>
  <c r="BK76" i="7" s="1"/>
  <c r="BK77" i="7" s="1"/>
  <c r="BK78" i="7" s="1"/>
  <c r="BK79" i="7" s="1"/>
  <c r="BK80" i="7" s="1"/>
  <c r="BK81" i="7" s="1"/>
  <c r="BK82" i="7" s="1"/>
  <c r="BK83" i="7" s="1"/>
  <c r="BK84" i="7" s="1"/>
  <c r="BK85" i="7" s="1"/>
  <c r="BK86" i="7" s="1"/>
  <c r="BK87" i="7" s="1"/>
  <c r="BK88" i="7" s="1"/>
  <c r="BK89" i="7" s="1"/>
  <c r="BK90" i="7" s="1"/>
  <c r="BK91" i="7" s="1"/>
  <c r="BK92" i="7" s="1"/>
  <c r="BK93" i="7" s="1"/>
  <c r="BK94" i="7" s="1"/>
  <c r="BK95" i="7" s="1"/>
  <c r="BK96" i="7" s="1"/>
  <c r="BK97" i="7" s="1"/>
  <c r="BK98" i="7" s="1"/>
  <c r="BK99" i="7" s="1"/>
  <c r="BK100" i="7" s="1"/>
  <c r="BK101" i="7" s="1"/>
  <c r="BK102" i="7" s="1"/>
  <c r="BK103" i="7" s="1"/>
  <c r="BK104" i="7" s="1"/>
  <c r="BK105" i="7" s="1"/>
  <c r="BK106" i="7" s="1"/>
  <c r="BK107" i="7" s="1"/>
  <c r="BK108" i="7" s="1"/>
  <c r="BK109" i="7" s="1"/>
  <c r="BK110" i="7" s="1"/>
  <c r="BK111" i="7" s="1"/>
  <c r="BK112" i="7" s="1"/>
  <c r="BK113" i="7" s="1"/>
  <c r="BK114" i="7" s="1"/>
  <c r="BK115" i="7" s="1"/>
  <c r="BK116" i="7" s="1"/>
  <c r="BK118" i="7" s="1"/>
  <c r="BK119" i="7" s="1"/>
  <c r="BK120" i="7" s="1"/>
  <c r="CA17" i="7"/>
  <c r="CA18" i="7" s="1"/>
  <c r="CA19" i="7" s="1"/>
  <c r="CA20" i="7" s="1"/>
  <c r="CA21" i="7" s="1"/>
  <c r="CA22" i="7" s="1"/>
  <c r="CA23" i="7" s="1"/>
  <c r="CA24" i="7" s="1"/>
  <c r="CA25" i="7" s="1"/>
  <c r="CA26" i="7" s="1"/>
  <c r="CA27" i="7" s="1"/>
  <c r="CA28" i="7" s="1"/>
  <c r="CA29" i="7" s="1"/>
  <c r="CA30" i="7" s="1"/>
  <c r="CA31" i="7" s="1"/>
  <c r="CA32" i="7" s="1"/>
  <c r="CA33" i="7" s="1"/>
  <c r="CA34" i="7" s="1"/>
  <c r="CA35" i="7" s="1"/>
  <c r="CA36" i="7" s="1"/>
  <c r="CA37" i="7" s="1"/>
  <c r="CA38" i="7" s="1"/>
  <c r="CA39" i="7" s="1"/>
  <c r="CA40" i="7" s="1"/>
  <c r="CA41" i="7" s="1"/>
  <c r="CA42" i="7" s="1"/>
  <c r="CA43" i="7" s="1"/>
  <c r="CA44" i="7" s="1"/>
  <c r="CA45" i="7" s="1"/>
  <c r="CA46" i="7" s="1"/>
  <c r="CA47" i="7" s="1"/>
  <c r="CA48" i="7" s="1"/>
  <c r="CA49" i="7" s="1"/>
  <c r="CA50" i="7" s="1"/>
  <c r="CA51" i="7" s="1"/>
  <c r="CA52" i="7" s="1"/>
  <c r="CA53" i="7" s="1"/>
  <c r="CA54" i="7" s="1"/>
  <c r="CA55" i="7" s="1"/>
  <c r="CA56" i="7" s="1"/>
  <c r="CA57" i="7" s="1"/>
  <c r="CA58" i="7" s="1"/>
  <c r="CA59" i="7" s="1"/>
  <c r="CA60" i="7" s="1"/>
  <c r="CA61" i="7" s="1"/>
  <c r="CA62" i="7" s="1"/>
  <c r="CA63" i="7" s="1"/>
  <c r="CA64" i="7" s="1"/>
  <c r="CA65" i="7" s="1"/>
  <c r="CA66" i="7" s="1"/>
  <c r="CA67" i="7" s="1"/>
  <c r="CA68" i="7" s="1"/>
  <c r="CA69" i="7" s="1"/>
  <c r="CA70" i="7" s="1"/>
  <c r="CA71" i="7" s="1"/>
  <c r="CA72" i="7" s="1"/>
  <c r="CA73" i="7" s="1"/>
  <c r="CA74" i="7" s="1"/>
  <c r="CA75" i="7" s="1"/>
  <c r="CA76" i="7" s="1"/>
  <c r="CA77" i="7" s="1"/>
  <c r="CA78" i="7" s="1"/>
  <c r="CA79" i="7" s="1"/>
  <c r="CA80" i="7" s="1"/>
  <c r="CA81" i="7" s="1"/>
  <c r="CA82" i="7" s="1"/>
  <c r="CA83" i="7" s="1"/>
  <c r="CA84" i="7" s="1"/>
  <c r="CA85" i="7" s="1"/>
  <c r="CA86" i="7" s="1"/>
  <c r="CA87" i="7" s="1"/>
  <c r="CA88" i="7" s="1"/>
  <c r="CA89" i="7" s="1"/>
  <c r="CA90" i="7" s="1"/>
  <c r="CA91" i="7" s="1"/>
  <c r="CA92" i="7" s="1"/>
  <c r="CA93" i="7" s="1"/>
  <c r="CA94" i="7" s="1"/>
  <c r="CA95" i="7" s="1"/>
  <c r="CA96" i="7" s="1"/>
  <c r="CA97" i="7" s="1"/>
  <c r="CA98" i="7" s="1"/>
  <c r="CA99" i="7" s="1"/>
  <c r="CA100" i="7" s="1"/>
  <c r="CA101" i="7" s="1"/>
  <c r="CA102" i="7" s="1"/>
  <c r="CA103" i="7" s="1"/>
  <c r="CA104" i="7" s="1"/>
  <c r="CA105" i="7" s="1"/>
  <c r="CA106" i="7" s="1"/>
  <c r="CA107" i="7" s="1"/>
  <c r="CA108" i="7" s="1"/>
  <c r="CA109" i="7" s="1"/>
  <c r="CA110" i="7" s="1"/>
  <c r="CA111" i="7" s="1"/>
  <c r="CA112" i="7" s="1"/>
  <c r="CA113" i="7" s="1"/>
  <c r="CA114" i="7" s="1"/>
  <c r="CA115" i="7" s="1"/>
  <c r="CA116" i="7" s="1"/>
  <c r="CA118" i="7" s="1"/>
  <c r="CA119" i="7" s="1"/>
  <c r="CA120" i="7" s="1"/>
  <c r="CI17" i="7"/>
  <c r="CI18" i="7" s="1"/>
  <c r="CI19" i="7" s="1"/>
  <c r="CI20" i="7" s="1"/>
  <c r="CI21" i="7" s="1"/>
  <c r="CI22" i="7" s="1"/>
  <c r="CI23" i="7" s="1"/>
  <c r="CI24" i="7" s="1"/>
  <c r="CI25" i="7" s="1"/>
  <c r="CI26" i="7" s="1"/>
  <c r="CI27" i="7" s="1"/>
  <c r="CI28" i="7" s="1"/>
  <c r="CI29" i="7" s="1"/>
  <c r="CI30" i="7" s="1"/>
  <c r="CI31" i="7" s="1"/>
  <c r="CI32" i="7" s="1"/>
  <c r="CI33" i="7" s="1"/>
  <c r="CI34" i="7" s="1"/>
  <c r="CI35" i="7" s="1"/>
  <c r="CI36" i="7" s="1"/>
  <c r="CI37" i="7" s="1"/>
  <c r="CI38" i="7" s="1"/>
  <c r="CI39" i="7" s="1"/>
  <c r="CI40" i="7" s="1"/>
  <c r="CI41" i="7" s="1"/>
  <c r="CI42" i="7" s="1"/>
  <c r="CI43" i="7" s="1"/>
  <c r="CI44" i="7" s="1"/>
  <c r="CI45" i="7" s="1"/>
  <c r="CI46" i="7" s="1"/>
  <c r="CI47" i="7" s="1"/>
  <c r="CI48" i="7" s="1"/>
  <c r="CI49" i="7" s="1"/>
  <c r="CI50" i="7" s="1"/>
  <c r="CI51" i="7" s="1"/>
  <c r="CI52" i="7" s="1"/>
  <c r="CI53" i="7" s="1"/>
  <c r="CI54" i="7" s="1"/>
  <c r="CI55" i="7" s="1"/>
  <c r="CI56" i="7" s="1"/>
  <c r="CI57" i="7" s="1"/>
  <c r="CI58" i="7" s="1"/>
  <c r="CI59" i="7" s="1"/>
  <c r="CI60" i="7" s="1"/>
  <c r="CI61" i="7" s="1"/>
  <c r="CI62" i="7" s="1"/>
  <c r="CI63" i="7" s="1"/>
  <c r="CI64" i="7" s="1"/>
  <c r="CI65" i="7" s="1"/>
  <c r="CI66" i="7" s="1"/>
  <c r="CI67" i="7" s="1"/>
  <c r="CI68" i="7" s="1"/>
  <c r="CI69" i="7" s="1"/>
  <c r="CI70" i="7" s="1"/>
  <c r="CI71" i="7" s="1"/>
  <c r="CI72" i="7" s="1"/>
  <c r="CI73" i="7" s="1"/>
  <c r="CI74" i="7" s="1"/>
  <c r="CI75" i="7" s="1"/>
  <c r="CI76" i="7" s="1"/>
  <c r="CI77" i="7" s="1"/>
  <c r="CI78" i="7" s="1"/>
  <c r="CI79" i="7" s="1"/>
  <c r="CI80" i="7" s="1"/>
  <c r="CI81" i="7" s="1"/>
  <c r="CI82" i="7" s="1"/>
  <c r="CI83" i="7" s="1"/>
  <c r="CI84" i="7" s="1"/>
  <c r="CI85" i="7" s="1"/>
  <c r="CI86" i="7" s="1"/>
  <c r="CI87" i="7" s="1"/>
  <c r="CI88" i="7" s="1"/>
  <c r="CI89" i="7" s="1"/>
  <c r="CI90" i="7" s="1"/>
  <c r="CI91" i="7" s="1"/>
  <c r="CI92" i="7" s="1"/>
  <c r="CI93" i="7" s="1"/>
  <c r="CI94" i="7" s="1"/>
  <c r="CI95" i="7" s="1"/>
  <c r="CI96" i="7" s="1"/>
  <c r="CI97" i="7" s="1"/>
  <c r="CI98" i="7" s="1"/>
  <c r="CI99" i="7" s="1"/>
  <c r="CI100" i="7" s="1"/>
  <c r="CI101" i="7" s="1"/>
  <c r="CI102" i="7" s="1"/>
  <c r="CI103" i="7" s="1"/>
  <c r="CI104" i="7" s="1"/>
  <c r="CI105" i="7" s="1"/>
  <c r="CI106" i="7" s="1"/>
  <c r="CI107" i="7" s="1"/>
  <c r="CI108" i="7" s="1"/>
  <c r="CI109" i="7" s="1"/>
  <c r="CI110" i="7" s="1"/>
  <c r="CI111" i="7" s="1"/>
  <c r="CI112" i="7" s="1"/>
  <c r="CI113" i="7" s="1"/>
  <c r="CI114" i="7" s="1"/>
  <c r="CI115" i="7" s="1"/>
  <c r="CI116" i="7" s="1"/>
  <c r="CI118" i="7" s="1"/>
  <c r="CI119" i="7" s="1"/>
  <c r="CI120" i="7" s="1"/>
  <c r="CQ17" i="7"/>
  <c r="CQ18" i="7" s="1"/>
  <c r="CQ19" i="7" s="1"/>
  <c r="CQ20" i="7" s="1"/>
  <c r="CQ21" i="7" s="1"/>
  <c r="CQ22" i="7" s="1"/>
  <c r="CQ23" i="7" s="1"/>
  <c r="CQ24" i="7" s="1"/>
  <c r="CQ25" i="7" s="1"/>
  <c r="CQ26" i="7" s="1"/>
  <c r="CQ27" i="7" s="1"/>
  <c r="CQ28" i="7" s="1"/>
  <c r="CQ29" i="7" s="1"/>
  <c r="CQ30" i="7" s="1"/>
  <c r="CQ31" i="7" s="1"/>
  <c r="CQ32" i="7" s="1"/>
  <c r="CQ33" i="7" s="1"/>
  <c r="CQ34" i="7" s="1"/>
  <c r="CQ35" i="7" s="1"/>
  <c r="CQ36" i="7" s="1"/>
  <c r="CQ37" i="7" s="1"/>
  <c r="CQ38" i="7" s="1"/>
  <c r="CQ39" i="7" s="1"/>
  <c r="CQ40" i="7" s="1"/>
  <c r="CQ41" i="7" s="1"/>
  <c r="CQ42" i="7" s="1"/>
  <c r="CQ43" i="7" s="1"/>
  <c r="CQ44" i="7" s="1"/>
  <c r="CQ45" i="7" s="1"/>
  <c r="CQ46" i="7" s="1"/>
  <c r="CQ47" i="7" s="1"/>
  <c r="CQ48" i="7" s="1"/>
  <c r="CQ49" i="7" s="1"/>
  <c r="CQ50" i="7" s="1"/>
  <c r="CQ51" i="7" s="1"/>
  <c r="CQ52" i="7" s="1"/>
  <c r="CQ53" i="7" s="1"/>
  <c r="CQ54" i="7" s="1"/>
  <c r="CQ55" i="7" s="1"/>
  <c r="CQ56" i="7" s="1"/>
  <c r="CQ57" i="7" s="1"/>
  <c r="CQ58" i="7" s="1"/>
  <c r="CQ59" i="7" s="1"/>
  <c r="CQ60" i="7" s="1"/>
  <c r="CQ61" i="7" s="1"/>
  <c r="CQ62" i="7" s="1"/>
  <c r="CQ63" i="7" s="1"/>
  <c r="CQ64" i="7" s="1"/>
  <c r="CQ65" i="7" s="1"/>
  <c r="CQ66" i="7" s="1"/>
  <c r="CQ67" i="7" s="1"/>
  <c r="CQ68" i="7" s="1"/>
  <c r="CQ69" i="7" s="1"/>
  <c r="CQ70" i="7" s="1"/>
  <c r="CQ71" i="7" s="1"/>
  <c r="CQ72" i="7" s="1"/>
  <c r="CQ73" i="7" s="1"/>
  <c r="CQ74" i="7" s="1"/>
  <c r="CQ75" i="7" s="1"/>
  <c r="CQ76" i="7" s="1"/>
  <c r="CQ77" i="7" s="1"/>
  <c r="CQ78" i="7" s="1"/>
  <c r="CQ79" i="7" s="1"/>
  <c r="CQ80" i="7" s="1"/>
  <c r="CQ81" i="7" s="1"/>
  <c r="CQ82" i="7" s="1"/>
  <c r="CQ83" i="7" s="1"/>
  <c r="CQ84" i="7" s="1"/>
  <c r="CQ85" i="7" s="1"/>
  <c r="CQ86" i="7" s="1"/>
  <c r="CQ87" i="7" s="1"/>
  <c r="CQ88" i="7" s="1"/>
  <c r="CQ89" i="7" s="1"/>
  <c r="CQ90" i="7" s="1"/>
  <c r="CQ91" i="7" s="1"/>
  <c r="CQ92" i="7" s="1"/>
  <c r="CQ93" i="7" s="1"/>
  <c r="CQ94" i="7" s="1"/>
  <c r="CQ95" i="7" s="1"/>
  <c r="CQ96" i="7" s="1"/>
  <c r="CQ97" i="7" s="1"/>
  <c r="CQ98" i="7" s="1"/>
  <c r="CQ99" i="7" s="1"/>
  <c r="CQ100" i="7" s="1"/>
  <c r="CQ101" i="7" s="1"/>
  <c r="CQ102" i="7" s="1"/>
  <c r="CQ103" i="7" s="1"/>
  <c r="CQ104" i="7" s="1"/>
  <c r="CQ105" i="7" s="1"/>
  <c r="CQ106" i="7" s="1"/>
  <c r="CQ107" i="7" s="1"/>
  <c r="CQ108" i="7" s="1"/>
  <c r="CQ109" i="7" s="1"/>
  <c r="CQ110" i="7" s="1"/>
  <c r="CQ111" i="7" s="1"/>
  <c r="CQ112" i="7" s="1"/>
  <c r="CQ113" i="7" s="1"/>
  <c r="CQ114" i="7" s="1"/>
  <c r="CQ115" i="7" s="1"/>
  <c r="CQ116" i="7" s="1"/>
  <c r="CQ118" i="7" s="1"/>
  <c r="CQ119" i="7" s="1"/>
  <c r="CQ120" i="7" s="1"/>
  <c r="CY17" i="7"/>
  <c r="CY18" i="7" s="1"/>
  <c r="CY19" i="7" s="1"/>
  <c r="CY20" i="7" s="1"/>
  <c r="CY21" i="7" s="1"/>
  <c r="CY22" i="7" s="1"/>
  <c r="CY23" i="7" s="1"/>
  <c r="CY24" i="7" s="1"/>
  <c r="CY25" i="7" s="1"/>
  <c r="CY26" i="7" s="1"/>
  <c r="CY27" i="7" s="1"/>
  <c r="CY28" i="7" s="1"/>
  <c r="CY29" i="7" s="1"/>
  <c r="CY30" i="7" s="1"/>
  <c r="CY31" i="7" s="1"/>
  <c r="CY32" i="7" s="1"/>
  <c r="CY33" i="7" s="1"/>
  <c r="CY34" i="7" s="1"/>
  <c r="CY35" i="7" s="1"/>
  <c r="CY36" i="7" s="1"/>
  <c r="CY37" i="7" s="1"/>
  <c r="CY38" i="7" s="1"/>
  <c r="CY39" i="7" s="1"/>
  <c r="CY40" i="7" s="1"/>
  <c r="CY41" i="7" s="1"/>
  <c r="CY42" i="7" s="1"/>
  <c r="CY43" i="7" s="1"/>
  <c r="CY44" i="7" s="1"/>
  <c r="CY45" i="7" s="1"/>
  <c r="CY46" i="7" s="1"/>
  <c r="CY47" i="7" s="1"/>
  <c r="CY48" i="7" s="1"/>
  <c r="CY49" i="7" s="1"/>
  <c r="CY50" i="7" s="1"/>
  <c r="CY51" i="7" s="1"/>
  <c r="CY52" i="7" s="1"/>
  <c r="CY53" i="7" s="1"/>
  <c r="CY54" i="7" s="1"/>
  <c r="CY55" i="7" s="1"/>
  <c r="CY56" i="7" s="1"/>
  <c r="CY57" i="7" s="1"/>
  <c r="CY58" i="7" s="1"/>
  <c r="CY59" i="7" s="1"/>
  <c r="CY60" i="7" s="1"/>
  <c r="CY61" i="7" s="1"/>
  <c r="CY62" i="7" s="1"/>
  <c r="CY63" i="7" s="1"/>
  <c r="CY64" i="7" s="1"/>
  <c r="CY65" i="7" s="1"/>
  <c r="CY66" i="7" s="1"/>
  <c r="CY67" i="7" s="1"/>
  <c r="CY68" i="7" s="1"/>
  <c r="CY69" i="7" s="1"/>
  <c r="CY70" i="7" s="1"/>
  <c r="CY71" i="7" s="1"/>
  <c r="CY72" i="7" s="1"/>
  <c r="CY73" i="7" s="1"/>
  <c r="CY74" i="7" s="1"/>
  <c r="CY75" i="7" s="1"/>
  <c r="CY76" i="7" s="1"/>
  <c r="CY77" i="7" s="1"/>
  <c r="CY78" i="7" s="1"/>
  <c r="CY79" i="7" s="1"/>
  <c r="CY80" i="7" s="1"/>
  <c r="CY81" i="7" s="1"/>
  <c r="CY82" i="7" s="1"/>
  <c r="CY83" i="7" s="1"/>
  <c r="CY84" i="7" s="1"/>
  <c r="CY85" i="7" s="1"/>
  <c r="CY86" i="7" s="1"/>
  <c r="CY87" i="7" s="1"/>
  <c r="CY88" i="7" s="1"/>
  <c r="CY89" i="7" s="1"/>
  <c r="CY90" i="7" s="1"/>
  <c r="CY91" i="7" s="1"/>
  <c r="CY92" i="7" s="1"/>
  <c r="CY93" i="7" s="1"/>
  <c r="CY94" i="7" s="1"/>
  <c r="CY95" i="7" s="1"/>
  <c r="CY96" i="7" s="1"/>
  <c r="CY97" i="7" s="1"/>
  <c r="CY98" i="7" s="1"/>
  <c r="CY99" i="7" s="1"/>
  <c r="CY100" i="7" s="1"/>
  <c r="CY101" i="7" s="1"/>
  <c r="CY102" i="7" s="1"/>
  <c r="CY103" i="7" s="1"/>
  <c r="CY104" i="7" s="1"/>
  <c r="CY105" i="7" s="1"/>
  <c r="CY106" i="7" s="1"/>
  <c r="CY107" i="7" s="1"/>
  <c r="CY108" i="7" s="1"/>
  <c r="CY109" i="7" s="1"/>
  <c r="CY110" i="7" s="1"/>
  <c r="CY111" i="7" s="1"/>
  <c r="CY112" i="7" s="1"/>
  <c r="CY113" i="7" s="1"/>
  <c r="CY114" i="7" s="1"/>
  <c r="CY115" i="7" s="1"/>
  <c r="CY116" i="7" s="1"/>
  <c r="CY118" i="7" s="1"/>
  <c r="CY119" i="7" s="1"/>
  <c r="CY120" i="7" s="1"/>
  <c r="H17" i="7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8" i="7" s="1"/>
  <c r="H119" i="7" s="1"/>
  <c r="H120" i="7" s="1"/>
  <c r="P17" i="7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P31" i="7" s="1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P43" i="7" s="1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P54" i="7" s="1"/>
  <c r="P55" i="7" s="1"/>
  <c r="P56" i="7" s="1"/>
  <c r="P57" i="7" s="1"/>
  <c r="P58" i="7" s="1"/>
  <c r="P59" i="7" s="1"/>
  <c r="P60" i="7" s="1"/>
  <c r="P61" i="7" s="1"/>
  <c r="P62" i="7" s="1"/>
  <c r="P63" i="7" s="1"/>
  <c r="P64" i="7" s="1"/>
  <c r="P65" i="7" s="1"/>
  <c r="P66" i="7" s="1"/>
  <c r="P67" i="7" s="1"/>
  <c r="P68" i="7" s="1"/>
  <c r="P69" i="7" s="1"/>
  <c r="P70" i="7" s="1"/>
  <c r="P71" i="7" s="1"/>
  <c r="P72" i="7" s="1"/>
  <c r="P73" i="7" s="1"/>
  <c r="P74" i="7" s="1"/>
  <c r="P75" i="7" s="1"/>
  <c r="P76" i="7" s="1"/>
  <c r="P77" i="7" s="1"/>
  <c r="P78" i="7" s="1"/>
  <c r="P79" i="7" s="1"/>
  <c r="P80" i="7" s="1"/>
  <c r="P81" i="7" s="1"/>
  <c r="P82" i="7" s="1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P113" i="7" s="1"/>
  <c r="P114" i="7" s="1"/>
  <c r="P115" i="7" s="1"/>
  <c r="P116" i="7" s="1"/>
  <c r="P118" i="7" s="1"/>
  <c r="P119" i="7" s="1"/>
  <c r="P120" i="7" s="1"/>
  <c r="X17" i="7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X113" i="7" s="1"/>
  <c r="X114" i="7" s="1"/>
  <c r="X115" i="7" s="1"/>
  <c r="X116" i="7" s="1"/>
  <c r="X118" i="7" s="1"/>
  <c r="X119" i="7" s="1"/>
  <c r="X120" i="7" s="1"/>
  <c r="AF17" i="7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F35" i="7" s="1"/>
  <c r="AF36" i="7" s="1"/>
  <c r="AF37" i="7" s="1"/>
  <c r="AF38" i="7" s="1"/>
  <c r="AF39" i="7" s="1"/>
  <c r="AF40" i="7" s="1"/>
  <c r="AF41" i="7" s="1"/>
  <c r="AF42" i="7" s="1"/>
  <c r="AF43" i="7" s="1"/>
  <c r="AF44" i="7" s="1"/>
  <c r="AF45" i="7" s="1"/>
  <c r="AF46" i="7" s="1"/>
  <c r="AF47" i="7" s="1"/>
  <c r="AF48" i="7" s="1"/>
  <c r="AF49" i="7" s="1"/>
  <c r="AF50" i="7" s="1"/>
  <c r="AF51" i="7" s="1"/>
  <c r="AF52" i="7" s="1"/>
  <c r="AF53" i="7" s="1"/>
  <c r="AF54" i="7" s="1"/>
  <c r="AF55" i="7" s="1"/>
  <c r="AF56" i="7" s="1"/>
  <c r="AF57" i="7" s="1"/>
  <c r="AF58" i="7" s="1"/>
  <c r="AF59" i="7" s="1"/>
  <c r="AF60" i="7" s="1"/>
  <c r="AF61" i="7" s="1"/>
  <c r="AF62" i="7" s="1"/>
  <c r="AF63" i="7" s="1"/>
  <c r="AF64" i="7" s="1"/>
  <c r="AF65" i="7" s="1"/>
  <c r="AF66" i="7" s="1"/>
  <c r="AF67" i="7" s="1"/>
  <c r="AF68" i="7" s="1"/>
  <c r="AF69" i="7" s="1"/>
  <c r="AF70" i="7" s="1"/>
  <c r="AF71" i="7" s="1"/>
  <c r="AF72" i="7" s="1"/>
  <c r="AF73" i="7" s="1"/>
  <c r="AF74" i="7" s="1"/>
  <c r="AF75" i="7" s="1"/>
  <c r="AF76" i="7" s="1"/>
  <c r="AF77" i="7" s="1"/>
  <c r="AF78" i="7" s="1"/>
  <c r="AF79" i="7" s="1"/>
  <c r="AF80" i="7" s="1"/>
  <c r="AF81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F113" i="7" s="1"/>
  <c r="AF114" i="7" s="1"/>
  <c r="AF115" i="7" s="1"/>
  <c r="AF116" i="7" s="1"/>
  <c r="AF118" i="7" s="1"/>
  <c r="AF119" i="7" s="1"/>
  <c r="AF120" i="7" s="1"/>
  <c r="AN17" i="7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N28" i="7" s="1"/>
  <c r="AN29" i="7" s="1"/>
  <c r="AN30" i="7" s="1"/>
  <c r="AN31" i="7" s="1"/>
  <c r="AN32" i="7" s="1"/>
  <c r="AN33" i="7" s="1"/>
  <c r="AN34" i="7" s="1"/>
  <c r="AN35" i="7" s="1"/>
  <c r="AN36" i="7" s="1"/>
  <c r="AN37" i="7" s="1"/>
  <c r="AN38" i="7" s="1"/>
  <c r="AN39" i="7" s="1"/>
  <c r="AN40" i="7" s="1"/>
  <c r="AN41" i="7" s="1"/>
  <c r="AN42" i="7" s="1"/>
  <c r="AN43" i="7" s="1"/>
  <c r="AN44" i="7" s="1"/>
  <c r="AN45" i="7" s="1"/>
  <c r="AN46" i="7" s="1"/>
  <c r="AN47" i="7" s="1"/>
  <c r="AN48" i="7" s="1"/>
  <c r="AN49" i="7" s="1"/>
  <c r="AN50" i="7" s="1"/>
  <c r="AN51" i="7" s="1"/>
  <c r="AN52" i="7" s="1"/>
  <c r="AN53" i="7" s="1"/>
  <c r="AN54" i="7" s="1"/>
  <c r="AN55" i="7" s="1"/>
  <c r="AN56" i="7" s="1"/>
  <c r="AN57" i="7" s="1"/>
  <c r="AN58" i="7" s="1"/>
  <c r="AN59" i="7" s="1"/>
  <c r="AN60" i="7" s="1"/>
  <c r="AN61" i="7" s="1"/>
  <c r="AN62" i="7" s="1"/>
  <c r="AN63" i="7" s="1"/>
  <c r="AN64" i="7" s="1"/>
  <c r="AN65" i="7" s="1"/>
  <c r="AN66" i="7" s="1"/>
  <c r="AN67" i="7" s="1"/>
  <c r="AN68" i="7" s="1"/>
  <c r="AN69" i="7" s="1"/>
  <c r="AN70" i="7" s="1"/>
  <c r="AN71" i="7" s="1"/>
  <c r="AN72" i="7" s="1"/>
  <c r="AN73" i="7" s="1"/>
  <c r="AN74" i="7" s="1"/>
  <c r="AN75" i="7" s="1"/>
  <c r="AN76" i="7" s="1"/>
  <c r="AN77" i="7" s="1"/>
  <c r="AN78" i="7" s="1"/>
  <c r="AN79" i="7" s="1"/>
  <c r="AN80" i="7" s="1"/>
  <c r="AN81" i="7" s="1"/>
  <c r="AN82" i="7" s="1"/>
  <c r="AN83" i="7" s="1"/>
  <c r="AN84" i="7" s="1"/>
  <c r="AN85" i="7" s="1"/>
  <c r="AN86" i="7" s="1"/>
  <c r="AN87" i="7" s="1"/>
  <c r="AN88" i="7" s="1"/>
  <c r="AN89" i="7" s="1"/>
  <c r="AN90" i="7" s="1"/>
  <c r="AN91" i="7" s="1"/>
  <c r="AN92" i="7" s="1"/>
  <c r="AN93" i="7" s="1"/>
  <c r="AN94" i="7" s="1"/>
  <c r="AN95" i="7" s="1"/>
  <c r="AN96" i="7" s="1"/>
  <c r="AN97" i="7" s="1"/>
  <c r="AN98" i="7" s="1"/>
  <c r="AN99" i="7" s="1"/>
  <c r="AN100" i="7" s="1"/>
  <c r="AN101" i="7" s="1"/>
  <c r="AN102" i="7" s="1"/>
  <c r="AN103" i="7" s="1"/>
  <c r="AN104" i="7" s="1"/>
  <c r="AN105" i="7" s="1"/>
  <c r="AN106" i="7" s="1"/>
  <c r="AN107" i="7" s="1"/>
  <c r="AN108" i="7" s="1"/>
  <c r="AN109" i="7" s="1"/>
  <c r="AN110" i="7" s="1"/>
  <c r="AN111" i="7" s="1"/>
  <c r="AN112" i="7" s="1"/>
  <c r="AN113" i="7" s="1"/>
  <c r="AN114" i="7" s="1"/>
  <c r="AN115" i="7" s="1"/>
  <c r="AN116" i="7" s="1"/>
  <c r="AN118" i="7" s="1"/>
  <c r="AN119" i="7" s="1"/>
  <c r="AN120" i="7" s="1"/>
  <c r="AV17" i="7"/>
  <c r="AV18" i="7" s="1"/>
  <c r="AV19" i="7" s="1"/>
  <c r="AV20" i="7" s="1"/>
  <c r="AV21" i="7" s="1"/>
  <c r="AV22" i="7" s="1"/>
  <c r="AV23" i="7" s="1"/>
  <c r="AV24" i="7" s="1"/>
  <c r="AV25" i="7" s="1"/>
  <c r="AV26" i="7" s="1"/>
  <c r="AV27" i="7" s="1"/>
  <c r="AV28" i="7" s="1"/>
  <c r="AV29" i="7" s="1"/>
  <c r="AV30" i="7" s="1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V56" i="7" s="1"/>
  <c r="AV57" i="7" s="1"/>
  <c r="AV58" i="7" s="1"/>
  <c r="AV59" i="7" s="1"/>
  <c r="AV60" i="7" s="1"/>
  <c r="AV61" i="7" s="1"/>
  <c r="AV62" i="7" s="1"/>
  <c r="AV63" i="7" s="1"/>
  <c r="AV64" i="7" s="1"/>
  <c r="AV65" i="7" s="1"/>
  <c r="AV66" i="7" s="1"/>
  <c r="AV67" i="7" s="1"/>
  <c r="AV68" i="7" s="1"/>
  <c r="AV69" i="7" s="1"/>
  <c r="AV70" i="7" s="1"/>
  <c r="AV71" i="7" s="1"/>
  <c r="AV72" i="7" s="1"/>
  <c r="AV73" i="7" s="1"/>
  <c r="AV74" i="7" s="1"/>
  <c r="AV75" i="7" s="1"/>
  <c r="AV76" i="7" s="1"/>
  <c r="AV77" i="7" s="1"/>
  <c r="AV78" i="7" s="1"/>
  <c r="AV79" i="7" s="1"/>
  <c r="AV80" i="7" s="1"/>
  <c r="AV81" i="7" s="1"/>
  <c r="AV82" i="7" s="1"/>
  <c r="AV83" i="7" s="1"/>
  <c r="AV84" i="7" s="1"/>
  <c r="AV85" i="7" s="1"/>
  <c r="AV86" i="7" s="1"/>
  <c r="AV87" i="7" s="1"/>
  <c r="AV88" i="7" s="1"/>
  <c r="AV89" i="7" s="1"/>
  <c r="AV90" i="7" s="1"/>
  <c r="AV91" i="7" s="1"/>
  <c r="AV92" i="7" s="1"/>
  <c r="AV93" i="7" s="1"/>
  <c r="AV94" i="7" s="1"/>
  <c r="AV95" i="7" s="1"/>
  <c r="AV96" i="7" s="1"/>
  <c r="AV97" i="7" s="1"/>
  <c r="AV98" i="7" s="1"/>
  <c r="AV99" i="7" s="1"/>
  <c r="AV100" i="7" s="1"/>
  <c r="AV101" i="7" s="1"/>
  <c r="AV102" i="7" s="1"/>
  <c r="AV103" i="7" s="1"/>
  <c r="AV104" i="7" s="1"/>
  <c r="AV105" i="7" s="1"/>
  <c r="AV106" i="7" s="1"/>
  <c r="AV107" i="7" s="1"/>
  <c r="AV108" i="7" s="1"/>
  <c r="AV109" i="7" s="1"/>
  <c r="AV110" i="7" s="1"/>
  <c r="AV111" i="7" s="1"/>
  <c r="AV112" i="7" s="1"/>
  <c r="AV113" i="7" s="1"/>
  <c r="AV114" i="7" s="1"/>
  <c r="AV115" i="7" s="1"/>
  <c r="AV116" i="7" s="1"/>
  <c r="AV118" i="7" s="1"/>
  <c r="AV119" i="7" s="1"/>
  <c r="AV120" i="7" s="1"/>
  <c r="BD17" i="7"/>
  <c r="BD18" i="7" s="1"/>
  <c r="BD19" i="7" s="1"/>
  <c r="BD20" i="7" s="1"/>
  <c r="BD21" i="7" s="1"/>
  <c r="BD22" i="7" s="1"/>
  <c r="BD23" i="7" s="1"/>
  <c r="BD24" i="7" s="1"/>
  <c r="BD25" i="7" s="1"/>
  <c r="BD26" i="7" s="1"/>
  <c r="BD27" i="7" s="1"/>
  <c r="BD28" i="7" s="1"/>
  <c r="BD29" i="7" s="1"/>
  <c r="BD30" i="7" s="1"/>
  <c r="BD31" i="7" s="1"/>
  <c r="BD32" i="7" s="1"/>
  <c r="BD33" i="7" s="1"/>
  <c r="BD34" i="7" s="1"/>
  <c r="BD35" i="7" s="1"/>
  <c r="BD36" i="7" s="1"/>
  <c r="BD37" i="7" s="1"/>
  <c r="BD38" i="7" s="1"/>
  <c r="BD39" i="7" s="1"/>
  <c r="BD40" i="7" s="1"/>
  <c r="BD41" i="7" s="1"/>
  <c r="BD42" i="7" s="1"/>
  <c r="BD43" i="7" s="1"/>
  <c r="BD44" i="7" s="1"/>
  <c r="BD45" i="7" s="1"/>
  <c r="BD46" i="7" s="1"/>
  <c r="BD47" i="7" s="1"/>
  <c r="BD48" i="7" s="1"/>
  <c r="BD49" i="7" s="1"/>
  <c r="BD50" i="7" s="1"/>
  <c r="BD51" i="7" s="1"/>
  <c r="BD52" i="7" s="1"/>
  <c r="BD53" i="7" s="1"/>
  <c r="BD54" i="7" s="1"/>
  <c r="BD55" i="7" s="1"/>
  <c r="BD56" i="7" s="1"/>
  <c r="BD57" i="7" s="1"/>
  <c r="BD58" i="7" s="1"/>
  <c r="BD59" i="7" s="1"/>
  <c r="BD60" i="7" s="1"/>
  <c r="BD61" i="7" s="1"/>
  <c r="BD62" i="7" s="1"/>
  <c r="BD63" i="7" s="1"/>
  <c r="BD64" i="7" s="1"/>
  <c r="BD65" i="7" s="1"/>
  <c r="BD66" i="7" s="1"/>
  <c r="BD67" i="7" s="1"/>
  <c r="BD68" i="7" s="1"/>
  <c r="BD69" i="7" s="1"/>
  <c r="BD70" i="7" s="1"/>
  <c r="BD71" i="7" s="1"/>
  <c r="BD72" i="7" s="1"/>
  <c r="BD73" i="7" s="1"/>
  <c r="BD74" i="7" s="1"/>
  <c r="BD75" i="7" s="1"/>
  <c r="BD76" i="7" s="1"/>
  <c r="BD77" i="7" s="1"/>
  <c r="BD78" i="7" s="1"/>
  <c r="BD79" i="7" s="1"/>
  <c r="BD80" i="7" s="1"/>
  <c r="BD81" i="7" s="1"/>
  <c r="BD82" i="7" s="1"/>
  <c r="BD83" i="7" s="1"/>
  <c r="BD84" i="7" s="1"/>
  <c r="BD85" i="7" s="1"/>
  <c r="BD86" i="7" s="1"/>
  <c r="BD87" i="7" s="1"/>
  <c r="BD88" i="7" s="1"/>
  <c r="BD89" i="7" s="1"/>
  <c r="BD90" i="7" s="1"/>
  <c r="BD91" i="7" s="1"/>
  <c r="BD92" i="7" s="1"/>
  <c r="BD93" i="7" s="1"/>
  <c r="BD94" i="7" s="1"/>
  <c r="BD95" i="7" s="1"/>
  <c r="BD96" i="7" s="1"/>
  <c r="BD97" i="7" s="1"/>
  <c r="BD98" i="7" s="1"/>
  <c r="BD99" i="7" s="1"/>
  <c r="BD100" i="7" s="1"/>
  <c r="BD101" i="7" s="1"/>
  <c r="BD102" i="7" s="1"/>
  <c r="BD103" i="7" s="1"/>
  <c r="BD104" i="7" s="1"/>
  <c r="BD105" i="7" s="1"/>
  <c r="BD106" i="7" s="1"/>
  <c r="BD107" i="7" s="1"/>
  <c r="BD108" i="7" s="1"/>
  <c r="BD109" i="7" s="1"/>
  <c r="BD110" i="7" s="1"/>
  <c r="BD111" i="7" s="1"/>
  <c r="BD112" i="7" s="1"/>
  <c r="BD113" i="7" s="1"/>
  <c r="BD114" i="7" s="1"/>
  <c r="BD115" i="7" s="1"/>
  <c r="BD116" i="7" s="1"/>
  <c r="BD118" i="7" s="1"/>
  <c r="BD119" i="7" s="1"/>
  <c r="BD120" i="7" s="1"/>
  <c r="BL17" i="7"/>
  <c r="BL18" i="7" s="1"/>
  <c r="BL19" i="7" s="1"/>
  <c r="BL20" i="7" s="1"/>
  <c r="BL21" i="7" s="1"/>
  <c r="BL22" i="7" s="1"/>
  <c r="BL23" i="7" s="1"/>
  <c r="BL24" i="7" s="1"/>
  <c r="BL25" i="7" s="1"/>
  <c r="BL26" i="7" s="1"/>
  <c r="BL27" i="7" s="1"/>
  <c r="BL28" i="7" s="1"/>
  <c r="BL29" i="7" s="1"/>
  <c r="BL30" i="7" s="1"/>
  <c r="BL31" i="7" s="1"/>
  <c r="BL32" i="7" s="1"/>
  <c r="BL33" i="7" s="1"/>
  <c r="BL34" i="7" s="1"/>
  <c r="BL35" i="7" s="1"/>
  <c r="BL36" i="7" s="1"/>
  <c r="BL37" i="7" s="1"/>
  <c r="BL38" i="7" s="1"/>
  <c r="BL39" i="7" s="1"/>
  <c r="BL40" i="7" s="1"/>
  <c r="BL41" i="7" s="1"/>
  <c r="BL42" i="7" s="1"/>
  <c r="BL43" i="7" s="1"/>
  <c r="BL44" i="7" s="1"/>
  <c r="BL45" i="7" s="1"/>
  <c r="BL46" i="7" s="1"/>
  <c r="BL47" i="7" s="1"/>
  <c r="BL48" i="7" s="1"/>
  <c r="BL49" i="7" s="1"/>
  <c r="BL50" i="7" s="1"/>
  <c r="BL51" i="7" s="1"/>
  <c r="BL52" i="7" s="1"/>
  <c r="BL53" i="7" s="1"/>
  <c r="BL54" i="7" s="1"/>
  <c r="BL55" i="7" s="1"/>
  <c r="BL56" i="7" s="1"/>
  <c r="BL57" i="7" s="1"/>
  <c r="BL58" i="7" s="1"/>
  <c r="BL59" i="7" s="1"/>
  <c r="BL60" i="7" s="1"/>
  <c r="BL61" i="7" s="1"/>
  <c r="BL62" i="7" s="1"/>
  <c r="BL63" i="7" s="1"/>
  <c r="BL64" i="7" s="1"/>
  <c r="BL65" i="7" s="1"/>
  <c r="BL66" i="7" s="1"/>
  <c r="BL67" i="7" s="1"/>
  <c r="BL68" i="7" s="1"/>
  <c r="BL69" i="7" s="1"/>
  <c r="BL70" i="7" s="1"/>
  <c r="BL71" i="7" s="1"/>
  <c r="BL72" i="7" s="1"/>
  <c r="BL73" i="7" s="1"/>
  <c r="BL74" i="7" s="1"/>
  <c r="BL75" i="7" s="1"/>
  <c r="BL76" i="7" s="1"/>
  <c r="BL77" i="7" s="1"/>
  <c r="BL78" i="7" s="1"/>
  <c r="BL79" i="7" s="1"/>
  <c r="BL80" i="7" s="1"/>
  <c r="BL81" i="7" s="1"/>
  <c r="BL82" i="7" s="1"/>
  <c r="BL83" i="7" s="1"/>
  <c r="BL84" i="7" s="1"/>
  <c r="BL85" i="7" s="1"/>
  <c r="BL86" i="7" s="1"/>
  <c r="BL87" i="7" s="1"/>
  <c r="BL88" i="7" s="1"/>
  <c r="BL89" i="7" s="1"/>
  <c r="BL90" i="7" s="1"/>
  <c r="BL91" i="7" s="1"/>
  <c r="BL92" i="7" s="1"/>
  <c r="BL93" i="7" s="1"/>
  <c r="BL94" i="7" s="1"/>
  <c r="BL95" i="7" s="1"/>
  <c r="BL96" i="7" s="1"/>
  <c r="BL97" i="7" s="1"/>
  <c r="BL98" i="7" s="1"/>
  <c r="BL99" i="7" s="1"/>
  <c r="BL100" i="7" s="1"/>
  <c r="BL101" i="7" s="1"/>
  <c r="BL102" i="7" s="1"/>
  <c r="BL103" i="7" s="1"/>
  <c r="BL104" i="7" s="1"/>
  <c r="BL105" i="7" s="1"/>
  <c r="BL106" i="7" s="1"/>
  <c r="BL107" i="7" s="1"/>
  <c r="BL108" i="7" s="1"/>
  <c r="BL109" i="7" s="1"/>
  <c r="BL110" i="7" s="1"/>
  <c r="BL111" i="7" s="1"/>
  <c r="BL112" i="7" s="1"/>
  <c r="BL113" i="7" s="1"/>
  <c r="BL114" i="7" s="1"/>
  <c r="BL115" i="7" s="1"/>
  <c r="BL116" i="7" s="1"/>
  <c r="BL118" i="7" s="1"/>
  <c r="BL119" i="7" s="1"/>
  <c r="BL120" i="7" s="1"/>
  <c r="BT17" i="7"/>
  <c r="BT18" i="7" s="1"/>
  <c r="BT19" i="7" s="1"/>
  <c r="BT20" i="7" s="1"/>
  <c r="BT21" i="7" s="1"/>
  <c r="BT22" i="7" s="1"/>
  <c r="BT23" i="7" s="1"/>
  <c r="BT24" i="7" s="1"/>
  <c r="BT25" i="7" s="1"/>
  <c r="BT26" i="7" s="1"/>
  <c r="BT27" i="7" s="1"/>
  <c r="BT28" i="7" s="1"/>
  <c r="BT29" i="7" s="1"/>
  <c r="BT30" i="7" s="1"/>
  <c r="BT31" i="7" s="1"/>
  <c r="BT32" i="7" s="1"/>
  <c r="BT33" i="7" s="1"/>
  <c r="BT34" i="7" s="1"/>
  <c r="BT35" i="7" s="1"/>
  <c r="BT36" i="7" s="1"/>
  <c r="BT37" i="7" s="1"/>
  <c r="BT38" i="7" s="1"/>
  <c r="BT39" i="7" s="1"/>
  <c r="BT40" i="7" s="1"/>
  <c r="BT41" i="7" s="1"/>
  <c r="BT42" i="7" s="1"/>
  <c r="BT43" i="7" s="1"/>
  <c r="BT44" i="7" s="1"/>
  <c r="BT45" i="7" s="1"/>
  <c r="BT46" i="7" s="1"/>
  <c r="BT47" i="7" s="1"/>
  <c r="BT48" i="7" s="1"/>
  <c r="BT49" i="7" s="1"/>
  <c r="BT50" i="7" s="1"/>
  <c r="BT51" i="7" s="1"/>
  <c r="BT52" i="7" s="1"/>
  <c r="BT53" i="7" s="1"/>
  <c r="BT54" i="7" s="1"/>
  <c r="BT55" i="7" s="1"/>
  <c r="BT56" i="7" s="1"/>
  <c r="BT57" i="7" s="1"/>
  <c r="BT58" i="7" s="1"/>
  <c r="BT59" i="7" s="1"/>
  <c r="BT60" i="7" s="1"/>
  <c r="BT61" i="7" s="1"/>
  <c r="BT62" i="7" s="1"/>
  <c r="BT63" i="7" s="1"/>
  <c r="BT64" i="7" s="1"/>
  <c r="BT65" i="7" s="1"/>
  <c r="BT66" i="7" s="1"/>
  <c r="BT67" i="7" s="1"/>
  <c r="BT68" i="7" s="1"/>
  <c r="BT69" i="7" s="1"/>
  <c r="BT70" i="7" s="1"/>
  <c r="BT71" i="7" s="1"/>
  <c r="BT72" i="7" s="1"/>
  <c r="BT73" i="7" s="1"/>
  <c r="BT74" i="7" s="1"/>
  <c r="BT75" i="7" s="1"/>
  <c r="BT76" i="7" s="1"/>
  <c r="BT77" i="7" s="1"/>
  <c r="BT78" i="7" s="1"/>
  <c r="BT79" i="7" s="1"/>
  <c r="BT80" i="7" s="1"/>
  <c r="BT81" i="7" s="1"/>
  <c r="BT82" i="7" s="1"/>
  <c r="BT83" i="7" s="1"/>
  <c r="BT84" i="7" s="1"/>
  <c r="BT85" i="7" s="1"/>
  <c r="BT86" i="7" s="1"/>
  <c r="BT87" i="7" s="1"/>
  <c r="BT88" i="7" s="1"/>
  <c r="BT89" i="7" s="1"/>
  <c r="BT90" i="7" s="1"/>
  <c r="BT91" i="7" s="1"/>
  <c r="BT92" i="7" s="1"/>
  <c r="BT93" i="7" s="1"/>
  <c r="BT94" i="7" s="1"/>
  <c r="BT95" i="7" s="1"/>
  <c r="BT96" i="7" s="1"/>
  <c r="BT97" i="7" s="1"/>
  <c r="BT98" i="7" s="1"/>
  <c r="BT99" i="7" s="1"/>
  <c r="BT100" i="7" s="1"/>
  <c r="BT101" i="7" s="1"/>
  <c r="BT102" i="7" s="1"/>
  <c r="BT103" i="7" s="1"/>
  <c r="BT104" i="7" s="1"/>
  <c r="BT105" i="7" s="1"/>
  <c r="BT106" i="7" s="1"/>
  <c r="BT107" i="7" s="1"/>
  <c r="BT108" i="7" s="1"/>
  <c r="BT109" i="7" s="1"/>
  <c r="BT110" i="7" s="1"/>
  <c r="BT111" i="7" s="1"/>
  <c r="BT112" i="7" s="1"/>
  <c r="BT113" i="7" s="1"/>
  <c r="BT114" i="7" s="1"/>
  <c r="BT115" i="7" s="1"/>
  <c r="BT116" i="7" s="1"/>
  <c r="BT118" i="7" s="1"/>
  <c r="BT119" i="7" s="1"/>
  <c r="BT120" i="7" s="1"/>
  <c r="CB17" i="7"/>
  <c r="CB18" i="7" s="1"/>
  <c r="CB19" i="7" s="1"/>
  <c r="CB20" i="7" s="1"/>
  <c r="CB21" i="7" s="1"/>
  <c r="CB22" i="7" s="1"/>
  <c r="CB23" i="7" s="1"/>
  <c r="CB24" i="7" s="1"/>
  <c r="CB25" i="7" s="1"/>
  <c r="CB26" i="7" s="1"/>
  <c r="CB27" i="7" s="1"/>
  <c r="CB28" i="7" s="1"/>
  <c r="CB29" i="7" s="1"/>
  <c r="CB30" i="7" s="1"/>
  <c r="CB31" i="7" s="1"/>
  <c r="CB32" i="7" s="1"/>
  <c r="CB33" i="7" s="1"/>
  <c r="CB34" i="7" s="1"/>
  <c r="CB35" i="7" s="1"/>
  <c r="CB36" i="7" s="1"/>
  <c r="CB37" i="7" s="1"/>
  <c r="CB38" i="7" s="1"/>
  <c r="CB39" i="7" s="1"/>
  <c r="CB40" i="7" s="1"/>
  <c r="CB41" i="7" s="1"/>
  <c r="CB42" i="7" s="1"/>
  <c r="CB43" i="7" s="1"/>
  <c r="CB44" i="7" s="1"/>
  <c r="CB45" i="7" s="1"/>
  <c r="CB46" i="7" s="1"/>
  <c r="CB47" i="7" s="1"/>
  <c r="CB48" i="7" s="1"/>
  <c r="CB49" i="7" s="1"/>
  <c r="CB50" i="7" s="1"/>
  <c r="CB51" i="7" s="1"/>
  <c r="CB52" i="7" s="1"/>
  <c r="CB53" i="7" s="1"/>
  <c r="CB54" i="7" s="1"/>
  <c r="CB55" i="7" s="1"/>
  <c r="CB56" i="7" s="1"/>
  <c r="CB57" i="7" s="1"/>
  <c r="CB58" i="7" s="1"/>
  <c r="CB59" i="7" s="1"/>
  <c r="CB60" i="7" s="1"/>
  <c r="CB61" i="7" s="1"/>
  <c r="CB62" i="7" s="1"/>
  <c r="CB63" i="7" s="1"/>
  <c r="CB64" i="7" s="1"/>
  <c r="CB65" i="7" s="1"/>
  <c r="CB66" i="7" s="1"/>
  <c r="CB67" i="7" s="1"/>
  <c r="CB68" i="7" s="1"/>
  <c r="CB69" i="7" s="1"/>
  <c r="CB70" i="7" s="1"/>
  <c r="CB71" i="7" s="1"/>
  <c r="CB72" i="7" s="1"/>
  <c r="CB73" i="7" s="1"/>
  <c r="CB74" i="7" s="1"/>
  <c r="CB75" i="7" s="1"/>
  <c r="CB76" i="7" s="1"/>
  <c r="CB77" i="7" s="1"/>
  <c r="CB78" i="7" s="1"/>
  <c r="CB79" i="7" s="1"/>
  <c r="CB80" i="7" s="1"/>
  <c r="CB81" i="7" s="1"/>
  <c r="CB82" i="7" s="1"/>
  <c r="CB83" i="7" s="1"/>
  <c r="CB84" i="7" s="1"/>
  <c r="CB85" i="7" s="1"/>
  <c r="CB86" i="7" s="1"/>
  <c r="CB87" i="7" s="1"/>
  <c r="CB88" i="7" s="1"/>
  <c r="CB89" i="7" s="1"/>
  <c r="CB90" i="7" s="1"/>
  <c r="CB91" i="7" s="1"/>
  <c r="CB92" i="7" s="1"/>
  <c r="CB93" i="7" s="1"/>
  <c r="CB94" i="7" s="1"/>
  <c r="CB95" i="7" s="1"/>
  <c r="CB96" i="7" s="1"/>
  <c r="CB97" i="7" s="1"/>
  <c r="CB98" i="7" s="1"/>
  <c r="CB99" i="7" s="1"/>
  <c r="CB100" i="7" s="1"/>
  <c r="CB101" i="7" s="1"/>
  <c r="CB102" i="7" s="1"/>
  <c r="CB103" i="7" s="1"/>
  <c r="CB104" i="7" s="1"/>
  <c r="CB105" i="7" s="1"/>
  <c r="CB106" i="7" s="1"/>
  <c r="CB107" i="7" s="1"/>
  <c r="CB108" i="7" s="1"/>
  <c r="CB109" i="7" s="1"/>
  <c r="CB110" i="7" s="1"/>
  <c r="CB111" i="7" s="1"/>
  <c r="CB112" i="7" s="1"/>
  <c r="CB113" i="7" s="1"/>
  <c r="CB114" i="7" s="1"/>
  <c r="CB115" i="7" s="1"/>
  <c r="CB116" i="7" s="1"/>
  <c r="CB118" i="7" s="1"/>
  <c r="CB119" i="7" s="1"/>
  <c r="CB120" i="7" s="1"/>
  <c r="CJ17" i="7"/>
  <c r="CJ18" i="7" s="1"/>
  <c r="CJ19" i="7" s="1"/>
  <c r="CJ20" i="7" s="1"/>
  <c r="CJ21" i="7" s="1"/>
  <c r="CJ22" i="7" s="1"/>
  <c r="CJ23" i="7" s="1"/>
  <c r="CJ24" i="7" s="1"/>
  <c r="CJ25" i="7" s="1"/>
  <c r="CJ26" i="7" s="1"/>
  <c r="CJ27" i="7" s="1"/>
  <c r="CJ28" i="7" s="1"/>
  <c r="CJ29" i="7" s="1"/>
  <c r="CJ30" i="7" s="1"/>
  <c r="CJ31" i="7" s="1"/>
  <c r="CJ32" i="7" s="1"/>
  <c r="CJ33" i="7" s="1"/>
  <c r="CJ34" i="7" s="1"/>
  <c r="CJ35" i="7" s="1"/>
  <c r="CJ36" i="7" s="1"/>
  <c r="CJ37" i="7" s="1"/>
  <c r="CJ38" i="7" s="1"/>
  <c r="CJ39" i="7" s="1"/>
  <c r="CJ40" i="7" s="1"/>
  <c r="CJ41" i="7" s="1"/>
  <c r="CJ42" i="7" s="1"/>
  <c r="CJ43" i="7" s="1"/>
  <c r="CJ44" i="7" s="1"/>
  <c r="CJ45" i="7" s="1"/>
  <c r="CJ46" i="7" s="1"/>
  <c r="CJ47" i="7" s="1"/>
  <c r="CJ48" i="7" s="1"/>
  <c r="CJ49" i="7" s="1"/>
  <c r="CJ50" i="7" s="1"/>
  <c r="CJ51" i="7" s="1"/>
  <c r="CJ52" i="7" s="1"/>
  <c r="CJ53" i="7" s="1"/>
  <c r="CJ54" i="7" s="1"/>
  <c r="CJ55" i="7" s="1"/>
  <c r="CJ56" i="7" s="1"/>
  <c r="CJ57" i="7" s="1"/>
  <c r="CJ58" i="7" s="1"/>
  <c r="CJ59" i="7" s="1"/>
  <c r="CJ60" i="7" s="1"/>
  <c r="CJ61" i="7" s="1"/>
  <c r="CJ62" i="7" s="1"/>
  <c r="CJ63" i="7" s="1"/>
  <c r="CJ64" i="7" s="1"/>
  <c r="CJ65" i="7" s="1"/>
  <c r="CJ66" i="7" s="1"/>
  <c r="CJ67" i="7" s="1"/>
  <c r="CJ68" i="7" s="1"/>
  <c r="CJ69" i="7" s="1"/>
  <c r="CJ70" i="7" s="1"/>
  <c r="CJ71" i="7" s="1"/>
  <c r="CJ72" i="7" s="1"/>
  <c r="CJ73" i="7" s="1"/>
  <c r="CJ74" i="7" s="1"/>
  <c r="CJ75" i="7" s="1"/>
  <c r="CJ76" i="7" s="1"/>
  <c r="CJ77" i="7" s="1"/>
  <c r="CJ78" i="7" s="1"/>
  <c r="CJ79" i="7" s="1"/>
  <c r="CJ80" i="7" s="1"/>
  <c r="CJ81" i="7" s="1"/>
  <c r="CJ82" i="7" s="1"/>
  <c r="CJ83" i="7" s="1"/>
  <c r="CJ84" i="7" s="1"/>
  <c r="CJ85" i="7" s="1"/>
  <c r="CJ86" i="7" s="1"/>
  <c r="CJ87" i="7" s="1"/>
  <c r="CJ88" i="7" s="1"/>
  <c r="CJ89" i="7" s="1"/>
  <c r="CJ90" i="7" s="1"/>
  <c r="CJ91" i="7" s="1"/>
  <c r="CJ92" i="7" s="1"/>
  <c r="CJ93" i="7" s="1"/>
  <c r="CJ94" i="7" s="1"/>
  <c r="CJ95" i="7" s="1"/>
  <c r="CJ96" i="7" s="1"/>
  <c r="CJ97" i="7" s="1"/>
  <c r="CJ98" i="7" s="1"/>
  <c r="CJ99" i="7" s="1"/>
  <c r="CJ100" i="7" s="1"/>
  <c r="CJ101" i="7" s="1"/>
  <c r="CJ102" i="7" s="1"/>
  <c r="CJ103" i="7" s="1"/>
  <c r="CJ104" i="7" s="1"/>
  <c r="CJ105" i="7" s="1"/>
  <c r="CJ106" i="7" s="1"/>
  <c r="CJ107" i="7" s="1"/>
  <c r="CJ108" i="7" s="1"/>
  <c r="CJ109" i="7" s="1"/>
  <c r="CJ110" i="7" s="1"/>
  <c r="CJ111" i="7" s="1"/>
  <c r="CJ112" i="7" s="1"/>
  <c r="CJ113" i="7" s="1"/>
  <c r="CJ114" i="7" s="1"/>
  <c r="CJ115" i="7" s="1"/>
  <c r="CJ116" i="7" s="1"/>
  <c r="CJ118" i="7" s="1"/>
  <c r="CJ119" i="7" s="1"/>
  <c r="CJ120" i="7" s="1"/>
  <c r="CR17" i="7"/>
  <c r="CR18" i="7" s="1"/>
  <c r="CR19" i="7" s="1"/>
  <c r="CR20" i="7" s="1"/>
  <c r="CR21" i="7" s="1"/>
  <c r="CR22" i="7" s="1"/>
  <c r="CR23" i="7" s="1"/>
  <c r="CR24" i="7" s="1"/>
  <c r="CR25" i="7" s="1"/>
  <c r="CR26" i="7" s="1"/>
  <c r="CR27" i="7" s="1"/>
  <c r="CR28" i="7" s="1"/>
  <c r="CR29" i="7" s="1"/>
  <c r="CR30" i="7" s="1"/>
  <c r="CR31" i="7" s="1"/>
  <c r="CR32" i="7" s="1"/>
  <c r="CR33" i="7" s="1"/>
  <c r="CR34" i="7" s="1"/>
  <c r="CR35" i="7" s="1"/>
  <c r="CR36" i="7" s="1"/>
  <c r="CR37" i="7" s="1"/>
  <c r="CR38" i="7" s="1"/>
  <c r="CR39" i="7" s="1"/>
  <c r="CR40" i="7" s="1"/>
  <c r="CR41" i="7" s="1"/>
  <c r="CR42" i="7" s="1"/>
  <c r="CR43" i="7" s="1"/>
  <c r="CR44" i="7" s="1"/>
  <c r="CR45" i="7" s="1"/>
  <c r="CR46" i="7" s="1"/>
  <c r="CR47" i="7" s="1"/>
  <c r="CR48" i="7" s="1"/>
  <c r="CR49" i="7" s="1"/>
  <c r="CR50" i="7" s="1"/>
  <c r="CR51" i="7" s="1"/>
  <c r="CR52" i="7" s="1"/>
  <c r="CR53" i="7" s="1"/>
  <c r="CR54" i="7" s="1"/>
  <c r="CR55" i="7" s="1"/>
  <c r="CR56" i="7" s="1"/>
  <c r="CR57" i="7" s="1"/>
  <c r="CR58" i="7" s="1"/>
  <c r="CR59" i="7" s="1"/>
  <c r="CR60" i="7" s="1"/>
  <c r="CR61" i="7" s="1"/>
  <c r="CR62" i="7" s="1"/>
  <c r="CR63" i="7" s="1"/>
  <c r="CR64" i="7" s="1"/>
  <c r="CR65" i="7" s="1"/>
  <c r="CR66" i="7" s="1"/>
  <c r="CR67" i="7" s="1"/>
  <c r="CR68" i="7" s="1"/>
  <c r="CR69" i="7" s="1"/>
  <c r="CR70" i="7" s="1"/>
  <c r="CR71" i="7" s="1"/>
  <c r="CR72" i="7" s="1"/>
  <c r="CR73" i="7" s="1"/>
  <c r="CR74" i="7" s="1"/>
  <c r="CR75" i="7" s="1"/>
  <c r="CR76" i="7" s="1"/>
  <c r="CR77" i="7" s="1"/>
  <c r="CR78" i="7" s="1"/>
  <c r="CR79" i="7" s="1"/>
  <c r="CR80" i="7" s="1"/>
  <c r="CR81" i="7" s="1"/>
  <c r="CR82" i="7" s="1"/>
  <c r="CR83" i="7" s="1"/>
  <c r="CR84" i="7" s="1"/>
  <c r="CR85" i="7" s="1"/>
  <c r="CR86" i="7" s="1"/>
  <c r="CR87" i="7" s="1"/>
  <c r="CR88" i="7" s="1"/>
  <c r="CR89" i="7" s="1"/>
  <c r="CR90" i="7" s="1"/>
  <c r="CR91" i="7" s="1"/>
  <c r="CR92" i="7" s="1"/>
  <c r="CR93" i="7" s="1"/>
  <c r="CR94" i="7" s="1"/>
  <c r="CR95" i="7" s="1"/>
  <c r="CR96" i="7" s="1"/>
  <c r="CR97" i="7" s="1"/>
  <c r="CR98" i="7" s="1"/>
  <c r="CR99" i="7" s="1"/>
  <c r="CR100" i="7" s="1"/>
  <c r="CR101" i="7" s="1"/>
  <c r="CR102" i="7" s="1"/>
  <c r="CR103" i="7" s="1"/>
  <c r="CR104" i="7" s="1"/>
  <c r="CR105" i="7" s="1"/>
  <c r="CR106" i="7" s="1"/>
  <c r="CR107" i="7" s="1"/>
  <c r="CR108" i="7" s="1"/>
  <c r="CR109" i="7" s="1"/>
  <c r="CR110" i="7" s="1"/>
  <c r="CR111" i="7" s="1"/>
  <c r="CR112" i="7" s="1"/>
  <c r="CR113" i="7" s="1"/>
  <c r="CR114" i="7" s="1"/>
  <c r="CR115" i="7" s="1"/>
  <c r="CR116" i="7" s="1"/>
  <c r="CR118" i="7" s="1"/>
  <c r="CR119" i="7" s="1"/>
  <c r="CR120" i="7" s="1"/>
  <c r="E17" i="7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8" i="7" s="1"/>
  <c r="E119" i="7" s="1"/>
  <c r="E120" i="7" s="1"/>
  <c r="M17" i="7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M55" i="7" s="1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M67" i="7" s="1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M79" i="7" s="1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M115" i="7" s="1"/>
  <c r="M116" i="7" s="1"/>
  <c r="M118" i="7" s="1"/>
  <c r="M119" i="7" s="1"/>
  <c r="M120" i="7" s="1"/>
  <c r="U17" i="7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U35" i="7" s="1"/>
  <c r="U36" i="7" s="1"/>
  <c r="U37" i="7" s="1"/>
  <c r="U38" i="7" s="1"/>
  <c r="U39" i="7" s="1"/>
  <c r="U40" i="7" s="1"/>
  <c r="U41" i="7" s="1"/>
  <c r="U42" i="7" s="1"/>
  <c r="U43" i="7" s="1"/>
  <c r="U44" i="7" s="1"/>
  <c r="U45" i="7" s="1"/>
  <c r="U46" i="7" s="1"/>
  <c r="U47" i="7" s="1"/>
  <c r="U48" i="7" s="1"/>
  <c r="U49" i="7" s="1"/>
  <c r="U50" i="7" s="1"/>
  <c r="U51" i="7" s="1"/>
  <c r="U52" i="7" s="1"/>
  <c r="U53" i="7" s="1"/>
  <c r="U54" i="7" s="1"/>
  <c r="U55" i="7" s="1"/>
  <c r="U56" i="7" s="1"/>
  <c r="U57" i="7" s="1"/>
  <c r="U58" i="7" s="1"/>
  <c r="U59" i="7" s="1"/>
  <c r="U60" i="7" s="1"/>
  <c r="U61" i="7" s="1"/>
  <c r="U62" i="7" s="1"/>
  <c r="U63" i="7" s="1"/>
  <c r="U64" i="7" s="1"/>
  <c r="U65" i="7" s="1"/>
  <c r="U66" i="7" s="1"/>
  <c r="U67" i="7" s="1"/>
  <c r="U68" i="7" s="1"/>
  <c r="U69" i="7" s="1"/>
  <c r="U70" i="7" s="1"/>
  <c r="U71" i="7" s="1"/>
  <c r="U72" i="7" s="1"/>
  <c r="U73" i="7" s="1"/>
  <c r="U74" i="7" s="1"/>
  <c r="U75" i="7" s="1"/>
  <c r="U76" i="7" s="1"/>
  <c r="U77" i="7" s="1"/>
  <c r="U78" i="7" s="1"/>
  <c r="U79" i="7" s="1"/>
  <c r="U80" i="7" s="1"/>
  <c r="U81" i="7" s="1"/>
  <c r="U82" i="7" s="1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U113" i="7" s="1"/>
  <c r="U114" i="7" s="1"/>
  <c r="U115" i="7" s="1"/>
  <c r="U116" i="7" s="1"/>
  <c r="U118" i="7" s="1"/>
  <c r="U119" i="7" s="1"/>
  <c r="U120" i="7" s="1"/>
  <c r="AC17" i="7"/>
  <c r="AC18" i="7" s="1"/>
  <c r="AC19" i="7" s="1"/>
  <c r="AC20" i="7" s="1"/>
  <c r="AC21" i="7" s="1"/>
  <c r="AC22" i="7" s="1"/>
  <c r="AC23" i="7" s="1"/>
  <c r="AC24" i="7" s="1"/>
  <c r="AC25" i="7" s="1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C39" i="7" s="1"/>
  <c r="AC40" i="7" s="1"/>
  <c r="AC41" i="7" s="1"/>
  <c r="AC42" i="7" s="1"/>
  <c r="AC43" i="7" s="1"/>
  <c r="AC44" i="7" s="1"/>
  <c r="AC45" i="7" s="1"/>
  <c r="AC46" i="7" s="1"/>
  <c r="AC47" i="7" s="1"/>
  <c r="AC48" i="7" s="1"/>
  <c r="AC49" i="7" s="1"/>
  <c r="AC50" i="7" s="1"/>
  <c r="AC51" i="7" s="1"/>
  <c r="AC52" i="7" s="1"/>
  <c r="AC53" i="7" s="1"/>
  <c r="AC54" i="7" s="1"/>
  <c r="AC55" i="7" s="1"/>
  <c r="AC56" i="7" s="1"/>
  <c r="AC57" i="7" s="1"/>
  <c r="AC58" i="7" s="1"/>
  <c r="AC59" i="7" s="1"/>
  <c r="AC60" i="7" s="1"/>
  <c r="AC61" i="7" s="1"/>
  <c r="AC62" i="7" s="1"/>
  <c r="AC63" i="7" s="1"/>
  <c r="AC64" i="7" s="1"/>
  <c r="AC65" i="7" s="1"/>
  <c r="AC66" i="7" s="1"/>
  <c r="AC67" i="7" s="1"/>
  <c r="AC68" i="7" s="1"/>
  <c r="AC69" i="7" s="1"/>
  <c r="AC70" i="7" s="1"/>
  <c r="AC71" i="7" s="1"/>
  <c r="AC72" i="7" s="1"/>
  <c r="AC73" i="7" s="1"/>
  <c r="AC74" i="7" s="1"/>
  <c r="AC75" i="7" s="1"/>
  <c r="AC76" i="7" s="1"/>
  <c r="AC77" i="7" s="1"/>
  <c r="AC78" i="7" s="1"/>
  <c r="AC79" i="7" s="1"/>
  <c r="AC80" i="7" s="1"/>
  <c r="AC81" i="7" s="1"/>
  <c r="AC82" i="7" s="1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AC113" i="7" s="1"/>
  <c r="AC114" i="7" s="1"/>
  <c r="AC115" i="7" s="1"/>
  <c r="AC116" i="7" s="1"/>
  <c r="AC118" i="7" s="1"/>
  <c r="AC119" i="7" s="1"/>
  <c r="AC120" i="7" s="1"/>
  <c r="AK17" i="7"/>
  <c r="AK18" i="7" s="1"/>
  <c r="AK19" i="7" s="1"/>
  <c r="AK20" i="7" s="1"/>
  <c r="AK21" i="7" s="1"/>
  <c r="AK22" i="7" s="1"/>
  <c r="AK23" i="7" s="1"/>
  <c r="AK24" i="7" s="1"/>
  <c r="AK25" i="7" s="1"/>
  <c r="AK26" i="7" s="1"/>
  <c r="AK27" i="7" s="1"/>
  <c r="AK28" i="7" s="1"/>
  <c r="AK29" i="7" s="1"/>
  <c r="AK30" i="7" s="1"/>
  <c r="AK31" i="7" s="1"/>
  <c r="AK32" i="7" s="1"/>
  <c r="AK33" i="7" s="1"/>
  <c r="AK34" i="7" s="1"/>
  <c r="AK35" i="7" s="1"/>
  <c r="AK36" i="7" s="1"/>
  <c r="AK37" i="7" s="1"/>
  <c r="AK38" i="7" s="1"/>
  <c r="AK39" i="7" s="1"/>
  <c r="AK40" i="7" s="1"/>
  <c r="AK41" i="7" s="1"/>
  <c r="AK42" i="7" s="1"/>
  <c r="AK43" i="7" s="1"/>
  <c r="AK44" i="7" s="1"/>
  <c r="AK45" i="7" s="1"/>
  <c r="AK46" i="7" s="1"/>
  <c r="AK47" i="7" s="1"/>
  <c r="AK48" i="7" s="1"/>
  <c r="AK49" i="7" s="1"/>
  <c r="AK50" i="7" s="1"/>
  <c r="AK51" i="7" s="1"/>
  <c r="AK52" i="7" s="1"/>
  <c r="AK53" i="7" s="1"/>
  <c r="AK54" i="7" s="1"/>
  <c r="AK55" i="7" s="1"/>
  <c r="AK56" i="7" s="1"/>
  <c r="AK57" i="7" s="1"/>
  <c r="AK58" i="7" s="1"/>
  <c r="AK59" i="7" s="1"/>
  <c r="AK60" i="7" s="1"/>
  <c r="AK61" i="7" s="1"/>
  <c r="AK62" i="7" s="1"/>
  <c r="AK63" i="7" s="1"/>
  <c r="AK64" i="7" s="1"/>
  <c r="AK65" i="7" s="1"/>
  <c r="AK66" i="7" s="1"/>
  <c r="AK67" i="7" s="1"/>
  <c r="AK68" i="7" s="1"/>
  <c r="AK69" i="7" s="1"/>
  <c r="AK70" i="7" s="1"/>
  <c r="AK71" i="7" s="1"/>
  <c r="AK72" i="7" s="1"/>
  <c r="AK73" i="7" s="1"/>
  <c r="AK74" i="7" s="1"/>
  <c r="AK75" i="7" s="1"/>
  <c r="AK76" i="7" s="1"/>
  <c r="AK77" i="7" s="1"/>
  <c r="AK78" i="7" s="1"/>
  <c r="AK79" i="7" s="1"/>
  <c r="AK80" i="7" s="1"/>
  <c r="AK81" i="7" s="1"/>
  <c r="AK82" i="7" s="1"/>
  <c r="AK83" i="7" s="1"/>
  <c r="AK84" i="7" s="1"/>
  <c r="AK85" i="7" s="1"/>
  <c r="AK86" i="7" s="1"/>
  <c r="AK87" i="7" s="1"/>
  <c r="AK88" i="7" s="1"/>
  <c r="AK89" i="7" s="1"/>
  <c r="AK90" i="7" s="1"/>
  <c r="AK91" i="7" s="1"/>
  <c r="AK92" i="7" s="1"/>
  <c r="AK93" i="7" s="1"/>
  <c r="AK94" i="7" s="1"/>
  <c r="AK95" i="7" s="1"/>
  <c r="AK96" i="7" s="1"/>
  <c r="AK97" i="7" s="1"/>
  <c r="AK98" i="7" s="1"/>
  <c r="AK99" i="7" s="1"/>
  <c r="AK100" i="7" s="1"/>
  <c r="AK101" i="7" s="1"/>
  <c r="AK102" i="7" s="1"/>
  <c r="AK103" i="7" s="1"/>
  <c r="AK104" i="7" s="1"/>
  <c r="AK105" i="7" s="1"/>
  <c r="AK106" i="7" s="1"/>
  <c r="AK107" i="7" s="1"/>
  <c r="AK108" i="7" s="1"/>
  <c r="AK109" i="7" s="1"/>
  <c r="AK110" i="7" s="1"/>
  <c r="AK111" i="7" s="1"/>
  <c r="AK112" i="7" s="1"/>
  <c r="AK113" i="7" s="1"/>
  <c r="AK114" i="7" s="1"/>
  <c r="AK115" i="7" s="1"/>
  <c r="AK116" i="7" s="1"/>
  <c r="AK118" i="7" s="1"/>
  <c r="AK119" i="7" s="1"/>
  <c r="AK120" i="7" s="1"/>
  <c r="AS17" i="7"/>
  <c r="AS18" i="7" s="1"/>
  <c r="AS19" i="7" s="1"/>
  <c r="AS20" i="7" s="1"/>
  <c r="AS21" i="7" s="1"/>
  <c r="AS22" i="7" s="1"/>
  <c r="AS23" i="7" s="1"/>
  <c r="AS24" i="7" s="1"/>
  <c r="AS25" i="7" s="1"/>
  <c r="AS26" i="7" s="1"/>
  <c r="AS27" i="7" s="1"/>
  <c r="AS28" i="7" s="1"/>
  <c r="AS29" i="7" s="1"/>
  <c r="AS30" i="7" s="1"/>
  <c r="AS31" i="7" s="1"/>
  <c r="AS32" i="7" s="1"/>
  <c r="AS33" i="7" s="1"/>
  <c r="AS34" i="7" s="1"/>
  <c r="AS35" i="7" s="1"/>
  <c r="AS36" i="7" s="1"/>
  <c r="AS37" i="7" s="1"/>
  <c r="AS38" i="7" s="1"/>
  <c r="AS39" i="7" s="1"/>
  <c r="AS40" i="7" s="1"/>
  <c r="AS41" i="7" s="1"/>
  <c r="AS42" i="7" s="1"/>
  <c r="AS43" i="7" s="1"/>
  <c r="AS44" i="7" s="1"/>
  <c r="AS45" i="7" s="1"/>
  <c r="AS46" i="7" s="1"/>
  <c r="AS47" i="7" s="1"/>
  <c r="AS48" i="7" s="1"/>
  <c r="AS49" i="7" s="1"/>
  <c r="AS50" i="7" s="1"/>
  <c r="AS51" i="7" s="1"/>
  <c r="AS52" i="7" s="1"/>
  <c r="AS53" i="7" s="1"/>
  <c r="AS54" i="7" s="1"/>
  <c r="AS55" i="7" s="1"/>
  <c r="AS56" i="7" s="1"/>
  <c r="AS57" i="7" s="1"/>
  <c r="AS58" i="7" s="1"/>
  <c r="AS59" i="7" s="1"/>
  <c r="AS60" i="7" s="1"/>
  <c r="AS61" i="7" s="1"/>
  <c r="AS62" i="7" s="1"/>
  <c r="AS63" i="7" s="1"/>
  <c r="AS64" i="7" s="1"/>
  <c r="AS65" i="7" s="1"/>
  <c r="AS66" i="7" s="1"/>
  <c r="AS67" i="7" s="1"/>
  <c r="AS68" i="7" s="1"/>
  <c r="AS69" i="7" s="1"/>
  <c r="AS70" i="7" s="1"/>
  <c r="AS71" i="7" s="1"/>
  <c r="AS72" i="7" s="1"/>
  <c r="AS73" i="7" s="1"/>
  <c r="AS74" i="7" s="1"/>
  <c r="AS75" i="7" s="1"/>
  <c r="AS76" i="7" s="1"/>
  <c r="AS77" i="7" s="1"/>
  <c r="AS78" i="7" s="1"/>
  <c r="AS79" i="7" s="1"/>
  <c r="AS80" i="7" s="1"/>
  <c r="AS81" i="7" s="1"/>
  <c r="AS82" i="7" s="1"/>
  <c r="AS83" i="7" s="1"/>
  <c r="AS84" i="7" s="1"/>
  <c r="AS85" i="7" s="1"/>
  <c r="AS86" i="7" s="1"/>
  <c r="AS87" i="7" s="1"/>
  <c r="AS88" i="7" s="1"/>
  <c r="AS89" i="7" s="1"/>
  <c r="AS90" i="7" s="1"/>
  <c r="AS91" i="7" s="1"/>
  <c r="AS92" i="7" s="1"/>
  <c r="AS93" i="7" s="1"/>
  <c r="AS94" i="7" s="1"/>
  <c r="AS95" i="7" s="1"/>
  <c r="AS96" i="7" s="1"/>
  <c r="AS97" i="7" s="1"/>
  <c r="AS98" i="7" s="1"/>
  <c r="AS99" i="7" s="1"/>
  <c r="AS100" i="7" s="1"/>
  <c r="AS101" i="7" s="1"/>
  <c r="AS102" i="7" s="1"/>
  <c r="AS103" i="7" s="1"/>
  <c r="AS104" i="7" s="1"/>
  <c r="AS105" i="7" s="1"/>
  <c r="AS106" i="7" s="1"/>
  <c r="AS107" i="7" s="1"/>
  <c r="AS108" i="7" s="1"/>
  <c r="AS109" i="7" s="1"/>
  <c r="AS110" i="7" s="1"/>
  <c r="AS111" i="7" s="1"/>
  <c r="AS112" i="7" s="1"/>
  <c r="AS113" i="7" s="1"/>
  <c r="AS114" i="7" s="1"/>
  <c r="AS115" i="7" s="1"/>
  <c r="AS116" i="7" s="1"/>
  <c r="AS118" i="7" s="1"/>
  <c r="AS119" i="7" s="1"/>
  <c r="AS120" i="7" s="1"/>
  <c r="BA17" i="7"/>
  <c r="BA18" i="7" s="1"/>
  <c r="BA19" i="7" s="1"/>
  <c r="BA20" i="7" s="1"/>
  <c r="BA21" i="7" s="1"/>
  <c r="BA22" i="7" s="1"/>
  <c r="BA23" i="7" s="1"/>
  <c r="BA24" i="7" s="1"/>
  <c r="BA25" i="7" s="1"/>
  <c r="BA26" i="7" s="1"/>
  <c r="BA27" i="7" s="1"/>
  <c r="BA28" i="7" s="1"/>
  <c r="BA29" i="7" s="1"/>
  <c r="BA30" i="7" s="1"/>
  <c r="BA31" i="7" s="1"/>
  <c r="BA32" i="7" s="1"/>
  <c r="BA33" i="7" s="1"/>
  <c r="BA34" i="7" s="1"/>
  <c r="BA35" i="7" s="1"/>
  <c r="BA36" i="7" s="1"/>
  <c r="BA37" i="7" s="1"/>
  <c r="BA38" i="7" s="1"/>
  <c r="BA39" i="7" s="1"/>
  <c r="BA40" i="7" s="1"/>
  <c r="BA41" i="7" s="1"/>
  <c r="BA42" i="7" s="1"/>
  <c r="BA43" i="7" s="1"/>
  <c r="BA44" i="7" s="1"/>
  <c r="BA45" i="7" s="1"/>
  <c r="BA46" i="7" s="1"/>
  <c r="BA47" i="7" s="1"/>
  <c r="BA48" i="7" s="1"/>
  <c r="BA49" i="7" s="1"/>
  <c r="BA50" i="7" s="1"/>
  <c r="BA51" i="7" s="1"/>
  <c r="BA52" i="7" s="1"/>
  <c r="BA53" i="7" s="1"/>
  <c r="BA54" i="7" s="1"/>
  <c r="BA55" i="7" s="1"/>
  <c r="BA56" i="7" s="1"/>
  <c r="BA57" i="7" s="1"/>
  <c r="BA58" i="7" s="1"/>
  <c r="BA59" i="7" s="1"/>
  <c r="BA60" i="7" s="1"/>
  <c r="BA61" i="7" s="1"/>
  <c r="BA62" i="7" s="1"/>
  <c r="BA63" i="7" s="1"/>
  <c r="BA64" i="7" s="1"/>
  <c r="BA65" i="7" s="1"/>
  <c r="BA66" i="7" s="1"/>
  <c r="BA67" i="7" s="1"/>
  <c r="BA68" i="7" s="1"/>
  <c r="BA69" i="7" s="1"/>
  <c r="BA70" i="7" s="1"/>
  <c r="BA71" i="7" s="1"/>
  <c r="BA72" i="7" s="1"/>
  <c r="BA73" i="7" s="1"/>
  <c r="BA74" i="7" s="1"/>
  <c r="BA75" i="7" s="1"/>
  <c r="BA76" i="7" s="1"/>
  <c r="BA77" i="7" s="1"/>
  <c r="BA78" i="7" s="1"/>
  <c r="BA79" i="7" s="1"/>
  <c r="BA80" i="7" s="1"/>
  <c r="BA81" i="7" s="1"/>
  <c r="BA82" i="7" s="1"/>
  <c r="BA83" i="7" s="1"/>
  <c r="BA84" i="7" s="1"/>
  <c r="BA85" i="7" s="1"/>
  <c r="BA86" i="7" s="1"/>
  <c r="BA87" i="7" s="1"/>
  <c r="BA88" i="7" s="1"/>
  <c r="BA89" i="7" s="1"/>
  <c r="BA90" i="7" s="1"/>
  <c r="BA91" i="7" s="1"/>
  <c r="BA92" i="7" s="1"/>
  <c r="BA93" i="7" s="1"/>
  <c r="BA94" i="7" s="1"/>
  <c r="BA95" i="7" s="1"/>
  <c r="BA96" i="7" s="1"/>
  <c r="BA97" i="7" s="1"/>
  <c r="BA98" i="7" s="1"/>
  <c r="BA99" i="7" s="1"/>
  <c r="BA100" i="7" s="1"/>
  <c r="BA101" i="7" s="1"/>
  <c r="BA102" i="7" s="1"/>
  <c r="BA103" i="7" s="1"/>
  <c r="BA104" i="7" s="1"/>
  <c r="BA105" i="7" s="1"/>
  <c r="BA106" i="7" s="1"/>
  <c r="BA107" i="7" s="1"/>
  <c r="BA108" i="7" s="1"/>
  <c r="BA109" i="7" s="1"/>
  <c r="BA110" i="7" s="1"/>
  <c r="BA111" i="7" s="1"/>
  <c r="BA112" i="7" s="1"/>
  <c r="BA113" i="7" s="1"/>
  <c r="BA114" i="7" s="1"/>
  <c r="BA115" i="7" s="1"/>
  <c r="BA116" i="7" s="1"/>
  <c r="BA118" i="7" s="1"/>
  <c r="BA119" i="7" s="1"/>
  <c r="BA120" i="7" s="1"/>
  <c r="BI17" i="7"/>
  <c r="BI18" i="7" s="1"/>
  <c r="BI19" i="7" s="1"/>
  <c r="BI20" i="7" s="1"/>
  <c r="BI21" i="7" s="1"/>
  <c r="BI22" i="7" s="1"/>
  <c r="BI23" i="7" s="1"/>
  <c r="BI24" i="7" s="1"/>
  <c r="BI25" i="7" s="1"/>
  <c r="BI26" i="7" s="1"/>
  <c r="BI27" i="7" s="1"/>
  <c r="BI28" i="7" s="1"/>
  <c r="BI29" i="7" s="1"/>
  <c r="BI30" i="7" s="1"/>
  <c r="BI31" i="7" s="1"/>
  <c r="BI32" i="7" s="1"/>
  <c r="BI33" i="7" s="1"/>
  <c r="BI34" i="7" s="1"/>
  <c r="BI35" i="7" s="1"/>
  <c r="BI36" i="7" s="1"/>
  <c r="BI37" i="7" s="1"/>
  <c r="BI38" i="7" s="1"/>
  <c r="BI39" i="7" s="1"/>
  <c r="BI40" i="7" s="1"/>
  <c r="BI41" i="7" s="1"/>
  <c r="BI42" i="7" s="1"/>
  <c r="BI43" i="7" s="1"/>
  <c r="BI44" i="7" s="1"/>
  <c r="BI45" i="7" s="1"/>
  <c r="BI46" i="7" s="1"/>
  <c r="BI47" i="7" s="1"/>
  <c r="BI48" i="7" s="1"/>
  <c r="BI49" i="7" s="1"/>
  <c r="BI50" i="7" s="1"/>
  <c r="BI51" i="7" s="1"/>
  <c r="BI52" i="7" s="1"/>
  <c r="BI53" i="7" s="1"/>
  <c r="BI54" i="7" s="1"/>
  <c r="BI55" i="7" s="1"/>
  <c r="BI56" i="7" s="1"/>
  <c r="BI57" i="7" s="1"/>
  <c r="BI58" i="7" s="1"/>
  <c r="BI59" i="7" s="1"/>
  <c r="BI60" i="7" s="1"/>
  <c r="BI61" i="7" s="1"/>
  <c r="BI62" i="7" s="1"/>
  <c r="BI63" i="7" s="1"/>
  <c r="BI64" i="7" s="1"/>
  <c r="BI65" i="7" s="1"/>
  <c r="BI66" i="7" s="1"/>
  <c r="BI67" i="7" s="1"/>
  <c r="BI68" i="7" s="1"/>
  <c r="BI69" i="7" s="1"/>
  <c r="BI70" i="7" s="1"/>
  <c r="BI71" i="7" s="1"/>
  <c r="BI72" i="7" s="1"/>
  <c r="BI73" i="7" s="1"/>
  <c r="BI74" i="7" s="1"/>
  <c r="BI75" i="7" s="1"/>
  <c r="BI76" i="7" s="1"/>
  <c r="BI77" i="7" s="1"/>
  <c r="BI78" i="7" s="1"/>
  <c r="BI79" i="7" s="1"/>
  <c r="BI80" i="7" s="1"/>
  <c r="BI81" i="7" s="1"/>
  <c r="BI82" i="7" s="1"/>
  <c r="BI83" i="7" s="1"/>
  <c r="BI84" i="7" s="1"/>
  <c r="BI85" i="7" s="1"/>
  <c r="BI86" i="7" s="1"/>
  <c r="BI87" i="7" s="1"/>
  <c r="BI88" i="7" s="1"/>
  <c r="BI89" i="7" s="1"/>
  <c r="BI90" i="7" s="1"/>
  <c r="BI91" i="7" s="1"/>
  <c r="BI92" i="7" s="1"/>
  <c r="BI93" i="7" s="1"/>
  <c r="BI94" i="7" s="1"/>
  <c r="BI95" i="7" s="1"/>
  <c r="BI96" i="7" s="1"/>
  <c r="BI97" i="7" s="1"/>
  <c r="BI98" i="7" s="1"/>
  <c r="BI99" i="7" s="1"/>
  <c r="BI100" i="7" s="1"/>
  <c r="BI101" i="7" s="1"/>
  <c r="BI102" i="7" s="1"/>
  <c r="BI103" i="7" s="1"/>
  <c r="BI104" i="7" s="1"/>
  <c r="BI105" i="7" s="1"/>
  <c r="BI106" i="7" s="1"/>
  <c r="BI107" i="7" s="1"/>
  <c r="BI108" i="7" s="1"/>
  <c r="BI109" i="7" s="1"/>
  <c r="BI110" i="7" s="1"/>
  <c r="BI111" i="7" s="1"/>
  <c r="BI112" i="7" s="1"/>
  <c r="BI113" i="7" s="1"/>
  <c r="BI114" i="7" s="1"/>
  <c r="BI115" i="7" s="1"/>
  <c r="BI116" i="7" s="1"/>
  <c r="BI118" i="7" s="1"/>
  <c r="BI119" i="7" s="1"/>
  <c r="BI120" i="7" s="1"/>
  <c r="BQ17" i="7"/>
  <c r="BQ18" i="7" s="1"/>
  <c r="BQ19" i="7" s="1"/>
  <c r="BQ20" i="7" s="1"/>
  <c r="BQ21" i="7" s="1"/>
  <c r="BQ22" i="7" s="1"/>
  <c r="BQ23" i="7" s="1"/>
  <c r="BQ24" i="7" s="1"/>
  <c r="BQ25" i="7" s="1"/>
  <c r="BQ26" i="7" s="1"/>
  <c r="BQ27" i="7" s="1"/>
  <c r="BQ28" i="7" s="1"/>
  <c r="BQ29" i="7" s="1"/>
  <c r="BQ30" i="7" s="1"/>
  <c r="BQ31" i="7" s="1"/>
  <c r="BQ32" i="7" s="1"/>
  <c r="BQ33" i="7" s="1"/>
  <c r="BQ34" i="7" s="1"/>
  <c r="BQ35" i="7" s="1"/>
  <c r="BQ36" i="7" s="1"/>
  <c r="BQ37" i="7" s="1"/>
  <c r="BQ38" i="7" s="1"/>
  <c r="BQ39" i="7" s="1"/>
  <c r="BQ40" i="7" s="1"/>
  <c r="BQ41" i="7" s="1"/>
  <c r="BQ42" i="7" s="1"/>
  <c r="BQ43" i="7" s="1"/>
  <c r="BQ44" i="7" s="1"/>
  <c r="BQ45" i="7" s="1"/>
  <c r="BQ46" i="7" s="1"/>
  <c r="BQ47" i="7" s="1"/>
  <c r="BQ48" i="7" s="1"/>
  <c r="BQ49" i="7" s="1"/>
  <c r="BQ50" i="7" s="1"/>
  <c r="BQ51" i="7" s="1"/>
  <c r="BQ52" i="7" s="1"/>
  <c r="BQ53" i="7" s="1"/>
  <c r="BQ54" i="7" s="1"/>
  <c r="BQ55" i="7" s="1"/>
  <c r="BQ56" i="7" s="1"/>
  <c r="BQ57" i="7" s="1"/>
  <c r="BQ58" i="7" s="1"/>
  <c r="BQ59" i="7" s="1"/>
  <c r="BQ60" i="7" s="1"/>
  <c r="BQ61" i="7" s="1"/>
  <c r="BQ62" i="7" s="1"/>
  <c r="BQ63" i="7" s="1"/>
  <c r="BQ64" i="7" s="1"/>
  <c r="BQ65" i="7" s="1"/>
  <c r="BQ66" i="7" s="1"/>
  <c r="BQ67" i="7" s="1"/>
  <c r="BQ68" i="7" s="1"/>
  <c r="BQ69" i="7" s="1"/>
  <c r="BQ70" i="7" s="1"/>
  <c r="BQ71" i="7" s="1"/>
  <c r="BQ72" i="7" s="1"/>
  <c r="BQ73" i="7" s="1"/>
  <c r="BQ74" i="7" s="1"/>
  <c r="BQ75" i="7" s="1"/>
  <c r="BQ76" i="7" s="1"/>
  <c r="BQ77" i="7" s="1"/>
  <c r="BQ78" i="7" s="1"/>
  <c r="BQ79" i="7" s="1"/>
  <c r="BQ80" i="7" s="1"/>
  <c r="BQ81" i="7" s="1"/>
  <c r="BQ82" i="7" s="1"/>
  <c r="BQ83" i="7" s="1"/>
  <c r="BQ84" i="7" s="1"/>
  <c r="BQ85" i="7" s="1"/>
  <c r="BQ86" i="7" s="1"/>
  <c r="BQ87" i="7" s="1"/>
  <c r="BQ88" i="7" s="1"/>
  <c r="BQ89" i="7" s="1"/>
  <c r="BQ90" i="7" s="1"/>
  <c r="BQ91" i="7" s="1"/>
  <c r="BQ92" i="7" s="1"/>
  <c r="BQ93" i="7" s="1"/>
  <c r="BQ94" i="7" s="1"/>
  <c r="BQ95" i="7" s="1"/>
  <c r="BQ96" i="7" s="1"/>
  <c r="BQ97" i="7" s="1"/>
  <c r="BQ98" i="7" s="1"/>
  <c r="BQ99" i="7" s="1"/>
  <c r="BQ100" i="7" s="1"/>
  <c r="BQ101" i="7" s="1"/>
  <c r="BQ102" i="7" s="1"/>
  <c r="BQ103" i="7" s="1"/>
  <c r="BQ104" i="7" s="1"/>
  <c r="BQ105" i="7" s="1"/>
  <c r="BQ106" i="7" s="1"/>
  <c r="BQ107" i="7" s="1"/>
  <c r="BQ108" i="7" s="1"/>
  <c r="BQ109" i="7" s="1"/>
  <c r="BQ110" i="7" s="1"/>
  <c r="BQ111" i="7" s="1"/>
  <c r="BQ112" i="7" s="1"/>
  <c r="BQ113" i="7" s="1"/>
  <c r="BQ114" i="7" s="1"/>
  <c r="BQ115" i="7" s="1"/>
  <c r="BQ116" i="7" s="1"/>
  <c r="BQ118" i="7" s="1"/>
  <c r="BQ119" i="7" s="1"/>
  <c r="BQ120" i="7" s="1"/>
  <c r="BY17" i="7"/>
  <c r="BY18" i="7" s="1"/>
  <c r="BY19" i="7" s="1"/>
  <c r="BY20" i="7" s="1"/>
  <c r="BY21" i="7" s="1"/>
  <c r="BY22" i="7" s="1"/>
  <c r="BY23" i="7" s="1"/>
  <c r="BY24" i="7" s="1"/>
  <c r="BY25" i="7" s="1"/>
  <c r="BY26" i="7" s="1"/>
  <c r="BY27" i="7" s="1"/>
  <c r="BY28" i="7" s="1"/>
  <c r="BY29" i="7" s="1"/>
  <c r="BY30" i="7" s="1"/>
  <c r="BY31" i="7" s="1"/>
  <c r="BY32" i="7" s="1"/>
  <c r="BY33" i="7" s="1"/>
  <c r="BY34" i="7" s="1"/>
  <c r="BY35" i="7" s="1"/>
  <c r="BY36" i="7" s="1"/>
  <c r="BY37" i="7" s="1"/>
  <c r="BY38" i="7" s="1"/>
  <c r="BY39" i="7" s="1"/>
  <c r="BY40" i="7" s="1"/>
  <c r="BY41" i="7" s="1"/>
  <c r="BY42" i="7" s="1"/>
  <c r="BY43" i="7" s="1"/>
  <c r="BY44" i="7" s="1"/>
  <c r="BY45" i="7" s="1"/>
  <c r="BY46" i="7" s="1"/>
  <c r="BY47" i="7" s="1"/>
  <c r="BY48" i="7" s="1"/>
  <c r="BY49" i="7" s="1"/>
  <c r="BY50" i="7" s="1"/>
  <c r="BY51" i="7" s="1"/>
  <c r="BY52" i="7" s="1"/>
  <c r="BY53" i="7" s="1"/>
  <c r="BY54" i="7" s="1"/>
  <c r="BY55" i="7" s="1"/>
  <c r="BY56" i="7" s="1"/>
  <c r="BY57" i="7" s="1"/>
  <c r="BY58" i="7" s="1"/>
  <c r="BY59" i="7" s="1"/>
  <c r="BY60" i="7" s="1"/>
  <c r="BY61" i="7" s="1"/>
  <c r="BY62" i="7" s="1"/>
  <c r="BY63" i="7" s="1"/>
  <c r="BY64" i="7" s="1"/>
  <c r="BY65" i="7" s="1"/>
  <c r="BY66" i="7" s="1"/>
  <c r="BY67" i="7" s="1"/>
  <c r="BY68" i="7" s="1"/>
  <c r="BY69" i="7" s="1"/>
  <c r="BY70" i="7" s="1"/>
  <c r="BY71" i="7" s="1"/>
  <c r="BY72" i="7" s="1"/>
  <c r="BY73" i="7" s="1"/>
  <c r="BY74" i="7" s="1"/>
  <c r="BY75" i="7" s="1"/>
  <c r="BY76" i="7" s="1"/>
  <c r="BY77" i="7" s="1"/>
  <c r="BY78" i="7" s="1"/>
  <c r="BY79" i="7" s="1"/>
  <c r="BY80" i="7" s="1"/>
  <c r="BY81" i="7" s="1"/>
  <c r="BY82" i="7" s="1"/>
  <c r="BY83" i="7" s="1"/>
  <c r="BY84" i="7" s="1"/>
  <c r="BY85" i="7" s="1"/>
  <c r="BY86" i="7" s="1"/>
  <c r="BY87" i="7" s="1"/>
  <c r="BY88" i="7" s="1"/>
  <c r="BY89" i="7" s="1"/>
  <c r="BY90" i="7" s="1"/>
  <c r="BY91" i="7" s="1"/>
  <c r="BY92" i="7" s="1"/>
  <c r="BY93" i="7" s="1"/>
  <c r="BY94" i="7" s="1"/>
  <c r="BY95" i="7" s="1"/>
  <c r="BY96" i="7" s="1"/>
  <c r="BY97" i="7" s="1"/>
  <c r="BY98" i="7" s="1"/>
  <c r="BY99" i="7" s="1"/>
  <c r="BY100" i="7" s="1"/>
  <c r="BY101" i="7" s="1"/>
  <c r="BY102" i="7" s="1"/>
  <c r="BY103" i="7" s="1"/>
  <c r="BY104" i="7" s="1"/>
  <c r="BY105" i="7" s="1"/>
  <c r="BY106" i="7" s="1"/>
  <c r="BY107" i="7" s="1"/>
  <c r="BY108" i="7" s="1"/>
  <c r="BY109" i="7" s="1"/>
  <c r="BY110" i="7" s="1"/>
  <c r="BY111" i="7" s="1"/>
  <c r="BY112" i="7" s="1"/>
  <c r="BY113" i="7" s="1"/>
  <c r="BY114" i="7" s="1"/>
  <c r="BY115" i="7" s="1"/>
  <c r="BY116" i="7" s="1"/>
  <c r="BY118" i="7" s="1"/>
  <c r="BY119" i="7" s="1"/>
  <c r="BY120" i="7" s="1"/>
  <c r="CG17" i="7"/>
  <c r="CG18" i="7" s="1"/>
  <c r="CG19" i="7" s="1"/>
  <c r="CG20" i="7" s="1"/>
  <c r="CG21" i="7" s="1"/>
  <c r="CG22" i="7" s="1"/>
  <c r="CG23" i="7" s="1"/>
  <c r="CG24" i="7" s="1"/>
  <c r="CG25" i="7" s="1"/>
  <c r="CG26" i="7" s="1"/>
  <c r="CG27" i="7" s="1"/>
  <c r="CG28" i="7" s="1"/>
  <c r="CG29" i="7" s="1"/>
  <c r="CG30" i="7" s="1"/>
  <c r="CG31" i="7" s="1"/>
  <c r="CG32" i="7" s="1"/>
  <c r="CG33" i="7" s="1"/>
  <c r="CG34" i="7" s="1"/>
  <c r="CG35" i="7" s="1"/>
  <c r="CG36" i="7" s="1"/>
  <c r="CG37" i="7" s="1"/>
  <c r="CG38" i="7" s="1"/>
  <c r="CG39" i="7" s="1"/>
  <c r="CG40" i="7" s="1"/>
  <c r="CG41" i="7" s="1"/>
  <c r="CG42" i="7" s="1"/>
  <c r="CG43" i="7" s="1"/>
  <c r="CG44" i="7" s="1"/>
  <c r="CG45" i="7" s="1"/>
  <c r="CG46" i="7" s="1"/>
  <c r="CG47" i="7" s="1"/>
  <c r="CG48" i="7" s="1"/>
  <c r="CG49" i="7" s="1"/>
  <c r="CG50" i="7" s="1"/>
  <c r="CG51" i="7" s="1"/>
  <c r="CG52" i="7" s="1"/>
  <c r="CG53" i="7" s="1"/>
  <c r="CG54" i="7" s="1"/>
  <c r="CG55" i="7" s="1"/>
  <c r="CG56" i="7" s="1"/>
  <c r="CG57" i="7" s="1"/>
  <c r="CG58" i="7" s="1"/>
  <c r="CG59" i="7" s="1"/>
  <c r="CG60" i="7" s="1"/>
  <c r="CG61" i="7" s="1"/>
  <c r="CG62" i="7" s="1"/>
  <c r="CG63" i="7" s="1"/>
  <c r="CG64" i="7" s="1"/>
  <c r="CG65" i="7" s="1"/>
  <c r="CG66" i="7" s="1"/>
  <c r="CG67" i="7" s="1"/>
  <c r="CG68" i="7" s="1"/>
  <c r="CG69" i="7" s="1"/>
  <c r="CG70" i="7" s="1"/>
  <c r="CG71" i="7" s="1"/>
  <c r="CG72" i="7" s="1"/>
  <c r="CG73" i="7" s="1"/>
  <c r="CG74" i="7" s="1"/>
  <c r="CG75" i="7" s="1"/>
  <c r="CG76" i="7" s="1"/>
  <c r="CG77" i="7" s="1"/>
  <c r="CG78" i="7" s="1"/>
  <c r="CG79" i="7" s="1"/>
  <c r="CG80" i="7" s="1"/>
  <c r="CG81" i="7" s="1"/>
  <c r="CG82" i="7" s="1"/>
  <c r="CG83" i="7" s="1"/>
  <c r="CG84" i="7" s="1"/>
  <c r="CG85" i="7" s="1"/>
  <c r="CG86" i="7" s="1"/>
  <c r="CG87" i="7" s="1"/>
  <c r="CG88" i="7" s="1"/>
  <c r="CG89" i="7" s="1"/>
  <c r="CG90" i="7" s="1"/>
  <c r="CG91" i="7" s="1"/>
  <c r="CG92" i="7" s="1"/>
  <c r="CG93" i="7" s="1"/>
  <c r="CG94" i="7" s="1"/>
  <c r="CG95" i="7" s="1"/>
  <c r="CG96" i="7" s="1"/>
  <c r="CG97" i="7" s="1"/>
  <c r="CG98" i="7" s="1"/>
  <c r="CG99" i="7" s="1"/>
  <c r="CG100" i="7" s="1"/>
  <c r="CG101" i="7" s="1"/>
  <c r="CG102" i="7" s="1"/>
  <c r="CG103" i="7" s="1"/>
  <c r="CG104" i="7" s="1"/>
  <c r="CG105" i="7" s="1"/>
  <c r="CG106" i="7" s="1"/>
  <c r="CG107" i="7" s="1"/>
  <c r="CG108" i="7" s="1"/>
  <c r="CG109" i="7" s="1"/>
  <c r="CG110" i="7" s="1"/>
  <c r="CG111" i="7" s="1"/>
  <c r="CG112" i="7" s="1"/>
  <c r="CG113" i="7" s="1"/>
  <c r="CG114" i="7" s="1"/>
  <c r="CG115" i="7" s="1"/>
  <c r="CG116" i="7" s="1"/>
  <c r="CG118" i="7" s="1"/>
  <c r="CG119" i="7" s="1"/>
  <c r="CG120" i="7" s="1"/>
  <c r="CO17" i="7"/>
  <c r="CO18" i="7" s="1"/>
  <c r="CO19" i="7" s="1"/>
  <c r="CO20" i="7" s="1"/>
  <c r="CO21" i="7" s="1"/>
  <c r="CO22" i="7" s="1"/>
  <c r="CO23" i="7" s="1"/>
  <c r="CO24" i="7" s="1"/>
  <c r="CO25" i="7" s="1"/>
  <c r="CO26" i="7" s="1"/>
  <c r="CO27" i="7" s="1"/>
  <c r="CO28" i="7" s="1"/>
  <c r="CO29" i="7" s="1"/>
  <c r="CO30" i="7" s="1"/>
  <c r="CO31" i="7" s="1"/>
  <c r="CO32" i="7" s="1"/>
  <c r="CO33" i="7" s="1"/>
  <c r="CO34" i="7" s="1"/>
  <c r="CO35" i="7" s="1"/>
  <c r="CO36" i="7" s="1"/>
  <c r="CO37" i="7" s="1"/>
  <c r="CO38" i="7" s="1"/>
  <c r="CO39" i="7" s="1"/>
  <c r="CO40" i="7" s="1"/>
  <c r="CO41" i="7" s="1"/>
  <c r="CO42" i="7" s="1"/>
  <c r="CO43" i="7" s="1"/>
  <c r="CO44" i="7" s="1"/>
  <c r="CO45" i="7" s="1"/>
  <c r="CO46" i="7" s="1"/>
  <c r="CO47" i="7" s="1"/>
  <c r="CO48" i="7" s="1"/>
  <c r="CO49" i="7" s="1"/>
  <c r="CO50" i="7" s="1"/>
  <c r="CO51" i="7" s="1"/>
  <c r="CO52" i="7" s="1"/>
  <c r="CO53" i="7" s="1"/>
  <c r="CO54" i="7" s="1"/>
  <c r="CO55" i="7" s="1"/>
  <c r="CO56" i="7" s="1"/>
  <c r="CO57" i="7" s="1"/>
  <c r="CO58" i="7" s="1"/>
  <c r="CO59" i="7" s="1"/>
  <c r="CO60" i="7" s="1"/>
  <c r="CO61" i="7" s="1"/>
  <c r="CO62" i="7" s="1"/>
  <c r="CO63" i="7" s="1"/>
  <c r="CO64" i="7" s="1"/>
  <c r="CO65" i="7" s="1"/>
  <c r="CO66" i="7" s="1"/>
  <c r="CO67" i="7" s="1"/>
  <c r="CO68" i="7" s="1"/>
  <c r="CO69" i="7" s="1"/>
  <c r="CO70" i="7" s="1"/>
  <c r="CO71" i="7" s="1"/>
  <c r="CO72" i="7" s="1"/>
  <c r="CO73" i="7" s="1"/>
  <c r="CO74" i="7" s="1"/>
  <c r="CO75" i="7" s="1"/>
  <c r="CO76" i="7" s="1"/>
  <c r="CO77" i="7" s="1"/>
  <c r="CO78" i="7" s="1"/>
  <c r="CO79" i="7" s="1"/>
  <c r="CO80" i="7" s="1"/>
  <c r="CO81" i="7" s="1"/>
  <c r="CO82" i="7" s="1"/>
  <c r="CO83" i="7" s="1"/>
  <c r="CO84" i="7" s="1"/>
  <c r="CO85" i="7" s="1"/>
  <c r="CO86" i="7" s="1"/>
  <c r="CO87" i="7" s="1"/>
  <c r="CO88" i="7" s="1"/>
  <c r="CO89" i="7" s="1"/>
  <c r="CO90" i="7" s="1"/>
  <c r="CO91" i="7" s="1"/>
  <c r="CO92" i="7" s="1"/>
  <c r="CO93" i="7" s="1"/>
  <c r="CO94" i="7" s="1"/>
  <c r="CO95" i="7" s="1"/>
  <c r="CO96" i="7" s="1"/>
  <c r="CO97" i="7" s="1"/>
  <c r="CO98" i="7" s="1"/>
  <c r="CO99" i="7" s="1"/>
  <c r="CO100" i="7" s="1"/>
  <c r="CO101" i="7" s="1"/>
  <c r="CO102" i="7" s="1"/>
  <c r="CO103" i="7" s="1"/>
  <c r="CO104" i="7" s="1"/>
  <c r="CO105" i="7" s="1"/>
  <c r="CO106" i="7" s="1"/>
  <c r="CO107" i="7" s="1"/>
  <c r="CO108" i="7" s="1"/>
  <c r="CO109" i="7" s="1"/>
  <c r="CO110" i="7" s="1"/>
  <c r="CO111" i="7" s="1"/>
  <c r="CO112" i="7" s="1"/>
  <c r="CO113" i="7" s="1"/>
  <c r="CO114" i="7" s="1"/>
  <c r="CO115" i="7" s="1"/>
  <c r="CO116" i="7" s="1"/>
  <c r="CO118" i="7" s="1"/>
  <c r="CO119" i="7" s="1"/>
  <c r="CO120" i="7" s="1"/>
  <c r="CW17" i="7"/>
  <c r="CW18" i="7" s="1"/>
  <c r="CW19" i="7" s="1"/>
  <c r="CW20" i="7" s="1"/>
  <c r="CW21" i="7" s="1"/>
  <c r="CW22" i="7" s="1"/>
  <c r="CW23" i="7" s="1"/>
  <c r="CW24" i="7" s="1"/>
  <c r="CW25" i="7" s="1"/>
  <c r="CW26" i="7" s="1"/>
  <c r="CW27" i="7" s="1"/>
  <c r="CW28" i="7" s="1"/>
  <c r="CW29" i="7" s="1"/>
  <c r="CW30" i="7" s="1"/>
  <c r="CW31" i="7" s="1"/>
  <c r="CW32" i="7" s="1"/>
  <c r="CW33" i="7" s="1"/>
  <c r="CW34" i="7" s="1"/>
  <c r="CW35" i="7" s="1"/>
  <c r="CW36" i="7" s="1"/>
  <c r="CW37" i="7" s="1"/>
  <c r="CW38" i="7" s="1"/>
  <c r="CW39" i="7" s="1"/>
  <c r="CW40" i="7" s="1"/>
  <c r="CW41" i="7" s="1"/>
  <c r="CW42" i="7" s="1"/>
  <c r="CW43" i="7" s="1"/>
  <c r="CW44" i="7" s="1"/>
  <c r="CW45" i="7" s="1"/>
  <c r="CW46" i="7" s="1"/>
  <c r="CW47" i="7" s="1"/>
  <c r="CW48" i="7" s="1"/>
  <c r="CW49" i="7" s="1"/>
  <c r="CW50" i="7" s="1"/>
  <c r="CW51" i="7" s="1"/>
  <c r="CW52" i="7" s="1"/>
  <c r="CW53" i="7" s="1"/>
  <c r="CW54" i="7" s="1"/>
  <c r="CW55" i="7" s="1"/>
  <c r="CW56" i="7" s="1"/>
  <c r="CW57" i="7" s="1"/>
  <c r="CW58" i="7" s="1"/>
  <c r="CW59" i="7" s="1"/>
  <c r="CW60" i="7" s="1"/>
  <c r="CW61" i="7" s="1"/>
  <c r="CW62" i="7" s="1"/>
  <c r="CW63" i="7" s="1"/>
  <c r="CW64" i="7" s="1"/>
  <c r="CW65" i="7" s="1"/>
  <c r="CW66" i="7" s="1"/>
  <c r="CW67" i="7" s="1"/>
  <c r="CW68" i="7" s="1"/>
  <c r="CW69" i="7" s="1"/>
  <c r="CW70" i="7" s="1"/>
  <c r="CW71" i="7" s="1"/>
  <c r="CW72" i="7" s="1"/>
  <c r="CW73" i="7" s="1"/>
  <c r="CW74" i="7" s="1"/>
  <c r="CW75" i="7" s="1"/>
  <c r="CW76" i="7" s="1"/>
  <c r="CW77" i="7" s="1"/>
  <c r="CW78" i="7" s="1"/>
  <c r="CW79" i="7" s="1"/>
  <c r="CW80" i="7" s="1"/>
  <c r="CW81" i="7" s="1"/>
  <c r="CW82" i="7" s="1"/>
  <c r="CW83" i="7" s="1"/>
  <c r="CW84" i="7" s="1"/>
  <c r="CW85" i="7" s="1"/>
  <c r="CW86" i="7" s="1"/>
  <c r="CW87" i="7" s="1"/>
  <c r="CW88" i="7" s="1"/>
  <c r="CW89" i="7" s="1"/>
  <c r="CW90" i="7" s="1"/>
  <c r="CW91" i="7" s="1"/>
  <c r="CW92" i="7" s="1"/>
  <c r="CW93" i="7" s="1"/>
  <c r="CW94" i="7" s="1"/>
  <c r="CW95" i="7" s="1"/>
  <c r="CW96" i="7" s="1"/>
  <c r="CW97" i="7" s="1"/>
  <c r="CW98" i="7" s="1"/>
  <c r="CW99" i="7" s="1"/>
  <c r="CW100" i="7" s="1"/>
  <c r="CW101" i="7" s="1"/>
  <c r="CW102" i="7" s="1"/>
  <c r="CW103" i="7" s="1"/>
  <c r="CW104" i="7" s="1"/>
  <c r="CW105" i="7" s="1"/>
  <c r="CW106" i="7" s="1"/>
  <c r="CW107" i="7" s="1"/>
  <c r="CW108" i="7" s="1"/>
  <c r="CW109" i="7" s="1"/>
  <c r="CW110" i="7" s="1"/>
  <c r="CW111" i="7" s="1"/>
  <c r="CW112" i="7" s="1"/>
  <c r="CW113" i="7" s="1"/>
  <c r="CW114" i="7" s="1"/>
  <c r="CW115" i="7" s="1"/>
  <c r="CW116" i="7" s="1"/>
  <c r="CW118" i="7" s="1"/>
  <c r="CW119" i="7" s="1"/>
  <c r="CW120" i="7" s="1"/>
  <c r="J17" i="7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 s="1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8" i="7" s="1"/>
  <c r="J119" i="7" s="1"/>
  <c r="J120" i="7" s="1"/>
  <c r="R17" i="7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R55" i="7" s="1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R67" i="7" s="1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R79" i="7" s="1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R113" i="7" s="1"/>
  <c r="R114" i="7" s="1"/>
  <c r="R115" i="7" s="1"/>
  <c r="R116" i="7" s="1"/>
  <c r="R118" i="7" s="1"/>
  <c r="R119" i="7" s="1"/>
  <c r="R120" i="7" s="1"/>
  <c r="Z17" i="7"/>
  <c r="Z18" i="7" s="1"/>
  <c r="Z19" i="7" s="1"/>
  <c r="Z20" i="7" s="1"/>
  <c r="Z21" i="7" s="1"/>
  <c r="Z22" i="7" s="1"/>
  <c r="Z23" i="7" s="1"/>
  <c r="Z24" i="7" s="1"/>
  <c r="Z25" i="7" s="1"/>
  <c r="Z26" i="7" s="1"/>
  <c r="Z27" i="7" s="1"/>
  <c r="Z28" i="7" s="1"/>
  <c r="Z29" i="7" s="1"/>
  <c r="Z30" i="7" s="1"/>
  <c r="Z31" i="7" s="1"/>
  <c r="Z32" i="7" s="1"/>
  <c r="Z33" i="7" s="1"/>
  <c r="Z34" i="7" s="1"/>
  <c r="Z35" i="7" s="1"/>
  <c r="Z36" i="7" s="1"/>
  <c r="Z37" i="7" s="1"/>
  <c r="Z38" i="7" s="1"/>
  <c r="Z39" i="7" s="1"/>
  <c r="Z40" i="7" s="1"/>
  <c r="Z41" i="7" s="1"/>
  <c r="Z42" i="7" s="1"/>
  <c r="Z43" i="7" s="1"/>
  <c r="Z44" i="7" s="1"/>
  <c r="Z45" i="7" s="1"/>
  <c r="Z46" i="7" s="1"/>
  <c r="Z47" i="7" s="1"/>
  <c r="Z48" i="7" s="1"/>
  <c r="Z49" i="7" s="1"/>
  <c r="Z50" i="7" s="1"/>
  <c r="Z51" i="7" s="1"/>
  <c r="Z52" i="7" s="1"/>
  <c r="Z53" i="7" s="1"/>
  <c r="Z54" i="7" s="1"/>
  <c r="Z55" i="7" s="1"/>
  <c r="Z56" i="7" s="1"/>
  <c r="Z57" i="7" s="1"/>
  <c r="Z58" i="7" s="1"/>
  <c r="Z59" i="7" s="1"/>
  <c r="Z60" i="7" s="1"/>
  <c r="Z61" i="7" s="1"/>
  <c r="Z62" i="7" s="1"/>
  <c r="Z63" i="7" s="1"/>
  <c r="Z64" i="7" s="1"/>
  <c r="Z65" i="7" s="1"/>
  <c r="Z66" i="7" s="1"/>
  <c r="Z67" i="7" s="1"/>
  <c r="Z68" i="7" s="1"/>
  <c r="Z69" i="7" s="1"/>
  <c r="Z70" i="7" s="1"/>
  <c r="Z71" i="7" s="1"/>
  <c r="Z72" i="7" s="1"/>
  <c r="Z73" i="7" s="1"/>
  <c r="Z74" i="7" s="1"/>
  <c r="Z75" i="7" s="1"/>
  <c r="Z76" i="7" s="1"/>
  <c r="Z77" i="7" s="1"/>
  <c r="Z78" i="7" s="1"/>
  <c r="Z79" i="7" s="1"/>
  <c r="Z80" i="7" s="1"/>
  <c r="Z81" i="7" s="1"/>
  <c r="Z82" i="7" s="1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Z113" i="7" s="1"/>
  <c r="Z114" i="7" s="1"/>
  <c r="Z115" i="7" s="1"/>
  <c r="Z116" i="7" s="1"/>
  <c r="Z118" i="7" s="1"/>
  <c r="Z119" i="7" s="1"/>
  <c r="Z120" i="7" s="1"/>
  <c r="AH17" i="7"/>
  <c r="AH18" i="7" s="1"/>
  <c r="AH19" i="7" s="1"/>
  <c r="AH20" i="7" s="1"/>
  <c r="AH21" i="7" s="1"/>
  <c r="AH22" i="7" s="1"/>
  <c r="AH23" i="7" s="1"/>
  <c r="AH24" i="7" s="1"/>
  <c r="AH25" i="7" s="1"/>
  <c r="AH26" i="7" s="1"/>
  <c r="AH27" i="7" s="1"/>
  <c r="AH28" i="7" s="1"/>
  <c r="AH29" i="7" s="1"/>
  <c r="AH30" i="7" s="1"/>
  <c r="AH31" i="7" s="1"/>
  <c r="AH32" i="7" s="1"/>
  <c r="AH33" i="7" s="1"/>
  <c r="AH34" i="7" s="1"/>
  <c r="AH35" i="7" s="1"/>
  <c r="AH36" i="7" s="1"/>
  <c r="AH37" i="7" s="1"/>
  <c r="AH38" i="7" s="1"/>
  <c r="AH39" i="7" s="1"/>
  <c r="AH40" i="7" s="1"/>
  <c r="AH41" i="7" s="1"/>
  <c r="AH42" i="7" s="1"/>
  <c r="AH43" i="7" s="1"/>
  <c r="AH44" i="7" s="1"/>
  <c r="AH45" i="7" s="1"/>
  <c r="AH46" i="7" s="1"/>
  <c r="AH47" i="7" s="1"/>
  <c r="AH48" i="7" s="1"/>
  <c r="AH49" i="7" s="1"/>
  <c r="AH50" i="7" s="1"/>
  <c r="AH51" i="7" s="1"/>
  <c r="AH52" i="7" s="1"/>
  <c r="AH53" i="7" s="1"/>
  <c r="AH54" i="7" s="1"/>
  <c r="AH55" i="7" s="1"/>
  <c r="AH56" i="7" s="1"/>
  <c r="AH57" i="7" s="1"/>
  <c r="AH58" i="7" s="1"/>
  <c r="AH59" i="7" s="1"/>
  <c r="AH60" i="7" s="1"/>
  <c r="AH61" i="7" s="1"/>
  <c r="AH62" i="7" s="1"/>
  <c r="AH63" i="7" s="1"/>
  <c r="AH64" i="7" s="1"/>
  <c r="AH65" i="7" s="1"/>
  <c r="AH66" i="7" s="1"/>
  <c r="AH67" i="7" s="1"/>
  <c r="AH68" i="7" s="1"/>
  <c r="AH69" i="7" s="1"/>
  <c r="AH70" i="7" s="1"/>
  <c r="AH71" i="7" s="1"/>
  <c r="AH72" i="7" s="1"/>
  <c r="AH73" i="7" s="1"/>
  <c r="AH74" i="7" s="1"/>
  <c r="AH75" i="7" s="1"/>
  <c r="AH76" i="7" s="1"/>
  <c r="AH77" i="7" s="1"/>
  <c r="AH78" i="7" s="1"/>
  <c r="AH79" i="7" s="1"/>
  <c r="AH80" i="7" s="1"/>
  <c r="AH81" i="7" s="1"/>
  <c r="AH82" i="7" s="1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H113" i="7" s="1"/>
  <c r="AH114" i="7" s="1"/>
  <c r="AH115" i="7" s="1"/>
  <c r="AH116" i="7" s="1"/>
  <c r="AH118" i="7" s="1"/>
  <c r="AH119" i="7" s="1"/>
  <c r="AH120" i="7" s="1"/>
  <c r="AP17" i="7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P33" i="7" s="1"/>
  <c r="AP34" i="7" s="1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P63" i="7" s="1"/>
  <c r="AP64" i="7" s="1"/>
  <c r="AP65" i="7" s="1"/>
  <c r="AP66" i="7" s="1"/>
  <c r="AP67" i="7" s="1"/>
  <c r="AP68" i="7" s="1"/>
  <c r="AP69" i="7" s="1"/>
  <c r="AP70" i="7" s="1"/>
  <c r="AP71" i="7" s="1"/>
  <c r="AP72" i="7" s="1"/>
  <c r="AP73" i="7" s="1"/>
  <c r="AP74" i="7" s="1"/>
  <c r="AP75" i="7" s="1"/>
  <c r="AP76" i="7" s="1"/>
  <c r="AP77" i="7" s="1"/>
  <c r="AP78" i="7" s="1"/>
  <c r="AP79" i="7" s="1"/>
  <c r="AP80" i="7" s="1"/>
  <c r="AP81" i="7" s="1"/>
  <c r="AP82" i="7" s="1"/>
  <c r="AP83" i="7" s="1"/>
  <c r="AP84" i="7" s="1"/>
  <c r="AP85" i="7" s="1"/>
  <c r="AP86" i="7" s="1"/>
  <c r="AP87" i="7" s="1"/>
  <c r="AP88" i="7" s="1"/>
  <c r="AP89" i="7" s="1"/>
  <c r="AP90" i="7" s="1"/>
  <c r="AP91" i="7" s="1"/>
  <c r="AP92" i="7" s="1"/>
  <c r="AP93" i="7" s="1"/>
  <c r="AP94" i="7" s="1"/>
  <c r="AP95" i="7" s="1"/>
  <c r="AP96" i="7" s="1"/>
  <c r="AP97" i="7" s="1"/>
  <c r="AP98" i="7" s="1"/>
  <c r="AP99" i="7" s="1"/>
  <c r="AP100" i="7" s="1"/>
  <c r="AP101" i="7" s="1"/>
  <c r="AP102" i="7" s="1"/>
  <c r="AP103" i="7" s="1"/>
  <c r="AP104" i="7" s="1"/>
  <c r="AP105" i="7" s="1"/>
  <c r="AP106" i="7" s="1"/>
  <c r="AP107" i="7" s="1"/>
  <c r="AP108" i="7" s="1"/>
  <c r="AP109" i="7" s="1"/>
  <c r="AP110" i="7" s="1"/>
  <c r="AP111" i="7" s="1"/>
  <c r="AP112" i="7" s="1"/>
  <c r="AP113" i="7" s="1"/>
  <c r="AP114" i="7" s="1"/>
  <c r="AP115" i="7" s="1"/>
  <c r="AP116" i="7" s="1"/>
  <c r="AP118" i="7" s="1"/>
  <c r="AP119" i="7" s="1"/>
  <c r="AP120" i="7" s="1"/>
  <c r="AX17" i="7"/>
  <c r="AX18" i="7" s="1"/>
  <c r="AX19" i="7" s="1"/>
  <c r="AX20" i="7" s="1"/>
  <c r="AX21" i="7" s="1"/>
  <c r="AX22" i="7" s="1"/>
  <c r="AX23" i="7" s="1"/>
  <c r="AX24" i="7" s="1"/>
  <c r="AX25" i="7" s="1"/>
  <c r="AX26" i="7" s="1"/>
  <c r="AX27" i="7" s="1"/>
  <c r="AX28" i="7" s="1"/>
  <c r="AX29" i="7" s="1"/>
  <c r="AX30" i="7" s="1"/>
  <c r="AX31" i="7" s="1"/>
  <c r="AX32" i="7" s="1"/>
  <c r="AX33" i="7" s="1"/>
  <c r="AX34" i="7" s="1"/>
  <c r="AX35" i="7" s="1"/>
  <c r="AX36" i="7" s="1"/>
  <c r="AX37" i="7" s="1"/>
  <c r="AX38" i="7" s="1"/>
  <c r="AX39" i="7" s="1"/>
  <c r="AX40" i="7" s="1"/>
  <c r="AX41" i="7" s="1"/>
  <c r="AX42" i="7" s="1"/>
  <c r="AX43" i="7" s="1"/>
  <c r="AX44" i="7" s="1"/>
  <c r="AX45" i="7" s="1"/>
  <c r="AX46" i="7" s="1"/>
  <c r="AX47" i="7" s="1"/>
  <c r="AX48" i="7" s="1"/>
  <c r="AX49" i="7" s="1"/>
  <c r="AX50" i="7" s="1"/>
  <c r="AX51" i="7" s="1"/>
  <c r="AX52" i="7" s="1"/>
  <c r="AX53" i="7" s="1"/>
  <c r="AX54" i="7" s="1"/>
  <c r="AX55" i="7" s="1"/>
  <c r="AX56" i="7" s="1"/>
  <c r="AX57" i="7" s="1"/>
  <c r="AX58" i="7" s="1"/>
  <c r="AX59" i="7" s="1"/>
  <c r="AX60" i="7" s="1"/>
  <c r="AX61" i="7" s="1"/>
  <c r="AX62" i="7" s="1"/>
  <c r="AX63" i="7" s="1"/>
  <c r="AX64" i="7" s="1"/>
  <c r="AX65" i="7" s="1"/>
  <c r="AX66" i="7" s="1"/>
  <c r="AX67" i="7" s="1"/>
  <c r="AX68" i="7" s="1"/>
  <c r="AX69" i="7" s="1"/>
  <c r="AX70" i="7" s="1"/>
  <c r="AX71" i="7" s="1"/>
  <c r="AX72" i="7" s="1"/>
  <c r="AX73" i="7" s="1"/>
  <c r="AX74" i="7" s="1"/>
  <c r="AX75" i="7" s="1"/>
  <c r="AX76" i="7" s="1"/>
  <c r="AX77" i="7" s="1"/>
  <c r="AX78" i="7" s="1"/>
  <c r="AX79" i="7" s="1"/>
  <c r="AX80" i="7" s="1"/>
  <c r="AX81" i="7" s="1"/>
  <c r="AX82" i="7" s="1"/>
  <c r="AX83" i="7" s="1"/>
  <c r="AX84" i="7" s="1"/>
  <c r="AX85" i="7" s="1"/>
  <c r="AX86" i="7" s="1"/>
  <c r="AX87" i="7" s="1"/>
  <c r="AX88" i="7" s="1"/>
  <c r="AX89" i="7" s="1"/>
  <c r="AX90" i="7" s="1"/>
  <c r="AX91" i="7" s="1"/>
  <c r="AX92" i="7" s="1"/>
  <c r="AX93" i="7" s="1"/>
  <c r="AX94" i="7" s="1"/>
  <c r="AX95" i="7" s="1"/>
  <c r="AX96" i="7" s="1"/>
  <c r="AX97" i="7" s="1"/>
  <c r="AX98" i="7" s="1"/>
  <c r="AX99" i="7" s="1"/>
  <c r="AX100" i="7" s="1"/>
  <c r="AX101" i="7" s="1"/>
  <c r="AX102" i="7" s="1"/>
  <c r="AX103" i="7" s="1"/>
  <c r="AX104" i="7" s="1"/>
  <c r="AX105" i="7" s="1"/>
  <c r="AX106" i="7" s="1"/>
  <c r="AX107" i="7" s="1"/>
  <c r="AX108" i="7" s="1"/>
  <c r="AX109" i="7" s="1"/>
  <c r="AX110" i="7" s="1"/>
  <c r="AX111" i="7" s="1"/>
  <c r="AX112" i="7" s="1"/>
  <c r="AX113" i="7" s="1"/>
  <c r="AX114" i="7" s="1"/>
  <c r="AX115" i="7" s="1"/>
  <c r="AX116" i="7" s="1"/>
  <c r="AX118" i="7" s="1"/>
  <c r="AX119" i="7" s="1"/>
  <c r="AX120" i="7" s="1"/>
  <c r="BF17" i="7"/>
  <c r="BF18" i="7" s="1"/>
  <c r="BF19" i="7" s="1"/>
  <c r="BF20" i="7" s="1"/>
  <c r="BF21" i="7" s="1"/>
  <c r="BF22" i="7" s="1"/>
  <c r="BF23" i="7" s="1"/>
  <c r="BF24" i="7" s="1"/>
  <c r="BF25" i="7" s="1"/>
  <c r="BF26" i="7" s="1"/>
  <c r="BF27" i="7" s="1"/>
  <c r="BF28" i="7" s="1"/>
  <c r="BF29" i="7" s="1"/>
  <c r="BF30" i="7" s="1"/>
  <c r="BF31" i="7" s="1"/>
  <c r="BF32" i="7" s="1"/>
  <c r="BF33" i="7" s="1"/>
  <c r="BF34" i="7" s="1"/>
  <c r="BF35" i="7" s="1"/>
  <c r="BF36" i="7" s="1"/>
  <c r="BF37" i="7" s="1"/>
  <c r="BF38" i="7" s="1"/>
  <c r="BF39" i="7" s="1"/>
  <c r="BF40" i="7" s="1"/>
  <c r="BF41" i="7" s="1"/>
  <c r="BF42" i="7" s="1"/>
  <c r="BF43" i="7" s="1"/>
  <c r="BF44" i="7" s="1"/>
  <c r="BF45" i="7" s="1"/>
  <c r="BF46" i="7" s="1"/>
  <c r="BF47" i="7" s="1"/>
  <c r="BF48" i="7" s="1"/>
  <c r="BF49" i="7" s="1"/>
  <c r="BF50" i="7" s="1"/>
  <c r="BF51" i="7" s="1"/>
  <c r="BF52" i="7" s="1"/>
  <c r="BF53" i="7" s="1"/>
  <c r="BF54" i="7" s="1"/>
  <c r="BF55" i="7" s="1"/>
  <c r="BF56" i="7" s="1"/>
  <c r="BF57" i="7" s="1"/>
  <c r="BF58" i="7" s="1"/>
  <c r="BF59" i="7" s="1"/>
  <c r="BF60" i="7" s="1"/>
  <c r="BF61" i="7" s="1"/>
  <c r="BF62" i="7" s="1"/>
  <c r="BF63" i="7" s="1"/>
  <c r="BF64" i="7" s="1"/>
  <c r="BF65" i="7" s="1"/>
  <c r="BF66" i="7" s="1"/>
  <c r="BF67" i="7" s="1"/>
  <c r="BF68" i="7" s="1"/>
  <c r="BF69" i="7" s="1"/>
  <c r="BF70" i="7" s="1"/>
  <c r="BF71" i="7" s="1"/>
  <c r="BF72" i="7" s="1"/>
  <c r="BF73" i="7" s="1"/>
  <c r="BF74" i="7" s="1"/>
  <c r="BF75" i="7" s="1"/>
  <c r="BF76" i="7" s="1"/>
  <c r="BF77" i="7" s="1"/>
  <c r="BF78" i="7" s="1"/>
  <c r="BF79" i="7" s="1"/>
  <c r="BF80" i="7" s="1"/>
  <c r="BF81" i="7" s="1"/>
  <c r="BF82" i="7" s="1"/>
  <c r="BF83" i="7" s="1"/>
  <c r="BF84" i="7" s="1"/>
  <c r="BF85" i="7" s="1"/>
  <c r="BF86" i="7" s="1"/>
  <c r="BF87" i="7" s="1"/>
  <c r="BF88" i="7" s="1"/>
  <c r="BF89" i="7" s="1"/>
  <c r="BF90" i="7" s="1"/>
  <c r="BF91" i="7" s="1"/>
  <c r="BF92" i="7" s="1"/>
  <c r="BF93" i="7" s="1"/>
  <c r="BF94" i="7" s="1"/>
  <c r="BF95" i="7" s="1"/>
  <c r="BF96" i="7" s="1"/>
  <c r="BF97" i="7" s="1"/>
  <c r="BF98" i="7" s="1"/>
  <c r="BF99" i="7" s="1"/>
  <c r="BF100" i="7" s="1"/>
  <c r="BF101" i="7" s="1"/>
  <c r="BF102" i="7" s="1"/>
  <c r="BF103" i="7" s="1"/>
  <c r="BF104" i="7" s="1"/>
  <c r="BF105" i="7" s="1"/>
  <c r="BF106" i="7" s="1"/>
  <c r="BF107" i="7" s="1"/>
  <c r="BF108" i="7" s="1"/>
  <c r="BF109" i="7" s="1"/>
  <c r="BF110" i="7" s="1"/>
  <c r="BF111" i="7" s="1"/>
  <c r="BF112" i="7" s="1"/>
  <c r="BF113" i="7" s="1"/>
  <c r="BF114" i="7" s="1"/>
  <c r="BF115" i="7" s="1"/>
  <c r="BF116" i="7" s="1"/>
  <c r="BF118" i="7" s="1"/>
  <c r="BF119" i="7" s="1"/>
  <c r="BF120" i="7" s="1"/>
  <c r="BN17" i="7"/>
  <c r="BN18" i="7" s="1"/>
  <c r="BN19" i="7" s="1"/>
  <c r="BN20" i="7" s="1"/>
  <c r="BN21" i="7" s="1"/>
  <c r="BN22" i="7" s="1"/>
  <c r="BN23" i="7" s="1"/>
  <c r="BN24" i="7" s="1"/>
  <c r="BN25" i="7" s="1"/>
  <c r="BN26" i="7" s="1"/>
  <c r="BN27" i="7" s="1"/>
  <c r="BN28" i="7" s="1"/>
  <c r="BN29" i="7" s="1"/>
  <c r="BN30" i="7" s="1"/>
  <c r="BN31" i="7" s="1"/>
  <c r="BN32" i="7" s="1"/>
  <c r="BN33" i="7" s="1"/>
  <c r="BN34" i="7" s="1"/>
  <c r="BN35" i="7" s="1"/>
  <c r="BN36" i="7" s="1"/>
  <c r="BN37" i="7" s="1"/>
  <c r="BN38" i="7" s="1"/>
  <c r="BN39" i="7" s="1"/>
  <c r="BN40" i="7" s="1"/>
  <c r="BN41" i="7" s="1"/>
  <c r="BN42" i="7" s="1"/>
  <c r="BN43" i="7" s="1"/>
  <c r="BN44" i="7" s="1"/>
  <c r="BN45" i="7" s="1"/>
  <c r="BN46" i="7" s="1"/>
  <c r="BN47" i="7" s="1"/>
  <c r="BN48" i="7" s="1"/>
  <c r="BN49" i="7" s="1"/>
  <c r="BN50" i="7" s="1"/>
  <c r="BN51" i="7" s="1"/>
  <c r="BN52" i="7" s="1"/>
  <c r="BN53" i="7" s="1"/>
  <c r="BN54" i="7" s="1"/>
  <c r="BN55" i="7" s="1"/>
  <c r="BN56" i="7" s="1"/>
  <c r="BN57" i="7" s="1"/>
  <c r="BN58" i="7" s="1"/>
  <c r="BN59" i="7" s="1"/>
  <c r="BN60" i="7" s="1"/>
  <c r="BN61" i="7" s="1"/>
  <c r="BN62" i="7" s="1"/>
  <c r="BN63" i="7" s="1"/>
  <c r="BN64" i="7" s="1"/>
  <c r="BN65" i="7" s="1"/>
  <c r="BN66" i="7" s="1"/>
  <c r="BN67" i="7" s="1"/>
  <c r="BN68" i="7" s="1"/>
  <c r="BN69" i="7" s="1"/>
  <c r="BN70" i="7" s="1"/>
  <c r="BN71" i="7" s="1"/>
  <c r="BN72" i="7" s="1"/>
  <c r="BN73" i="7" s="1"/>
  <c r="BN74" i="7" s="1"/>
  <c r="BN75" i="7" s="1"/>
  <c r="BN76" i="7" s="1"/>
  <c r="BN77" i="7" s="1"/>
  <c r="BN78" i="7" s="1"/>
  <c r="BN79" i="7" s="1"/>
  <c r="BN80" i="7" s="1"/>
  <c r="BN81" i="7" s="1"/>
  <c r="BN82" i="7" s="1"/>
  <c r="BN83" i="7" s="1"/>
  <c r="BN84" i="7" s="1"/>
  <c r="BN85" i="7" s="1"/>
  <c r="BN86" i="7" s="1"/>
  <c r="BN87" i="7" s="1"/>
  <c r="BN88" i="7" s="1"/>
  <c r="BN89" i="7" s="1"/>
  <c r="BN90" i="7" s="1"/>
  <c r="BN91" i="7" s="1"/>
  <c r="BN92" i="7" s="1"/>
  <c r="BN93" i="7" s="1"/>
  <c r="BN94" i="7" s="1"/>
  <c r="BN95" i="7" s="1"/>
  <c r="BN96" i="7" s="1"/>
  <c r="BN97" i="7" s="1"/>
  <c r="BN98" i="7" s="1"/>
  <c r="BN99" i="7" s="1"/>
  <c r="BN100" i="7" s="1"/>
  <c r="BN101" i="7" s="1"/>
  <c r="BN102" i="7" s="1"/>
  <c r="BN103" i="7" s="1"/>
  <c r="BN104" i="7" s="1"/>
  <c r="BN105" i="7" s="1"/>
  <c r="BN106" i="7" s="1"/>
  <c r="BN107" i="7" s="1"/>
  <c r="BN108" i="7" s="1"/>
  <c r="BN109" i="7" s="1"/>
  <c r="BN110" i="7" s="1"/>
  <c r="BN111" i="7" s="1"/>
  <c r="BN112" i="7" s="1"/>
  <c r="BN113" i="7" s="1"/>
  <c r="BN114" i="7" s="1"/>
  <c r="BN115" i="7" s="1"/>
  <c r="BN116" i="7" s="1"/>
  <c r="BN118" i="7" s="1"/>
  <c r="BN119" i="7" s="1"/>
  <c r="BN120" i="7" s="1"/>
  <c r="BV17" i="7"/>
  <c r="BV18" i="7" s="1"/>
  <c r="BV19" i="7" s="1"/>
  <c r="BV20" i="7" s="1"/>
  <c r="BV21" i="7" s="1"/>
  <c r="BV22" i="7" s="1"/>
  <c r="BV23" i="7" s="1"/>
  <c r="BV24" i="7" s="1"/>
  <c r="BV25" i="7" s="1"/>
  <c r="BV26" i="7" s="1"/>
  <c r="BV27" i="7" s="1"/>
  <c r="BV28" i="7" s="1"/>
  <c r="BV29" i="7" s="1"/>
  <c r="BV30" i="7" s="1"/>
  <c r="BV31" i="7" s="1"/>
  <c r="BV32" i="7" s="1"/>
  <c r="BV33" i="7" s="1"/>
  <c r="BV34" i="7" s="1"/>
  <c r="BV35" i="7" s="1"/>
  <c r="BV36" i="7" s="1"/>
  <c r="BV37" i="7" s="1"/>
  <c r="BV38" i="7" s="1"/>
  <c r="BV39" i="7" s="1"/>
  <c r="BV40" i="7" s="1"/>
  <c r="BV41" i="7" s="1"/>
  <c r="BV42" i="7" s="1"/>
  <c r="BV43" i="7" s="1"/>
  <c r="BV44" i="7" s="1"/>
  <c r="BV45" i="7" s="1"/>
  <c r="BV46" i="7" s="1"/>
  <c r="BV47" i="7" s="1"/>
  <c r="BV48" i="7" s="1"/>
  <c r="BV49" i="7" s="1"/>
  <c r="BV50" i="7" s="1"/>
  <c r="BV51" i="7" s="1"/>
  <c r="BV52" i="7" s="1"/>
  <c r="BV53" i="7" s="1"/>
  <c r="BV54" i="7" s="1"/>
  <c r="BV55" i="7" s="1"/>
  <c r="BV56" i="7" s="1"/>
  <c r="BV57" i="7" s="1"/>
  <c r="BV58" i="7" s="1"/>
  <c r="BV59" i="7" s="1"/>
  <c r="BV60" i="7" s="1"/>
  <c r="BV61" i="7" s="1"/>
  <c r="BV62" i="7" s="1"/>
  <c r="BV63" i="7" s="1"/>
  <c r="BV64" i="7" s="1"/>
  <c r="BV65" i="7" s="1"/>
  <c r="BV66" i="7" s="1"/>
  <c r="BV67" i="7" s="1"/>
  <c r="BV68" i="7" s="1"/>
  <c r="BV69" i="7" s="1"/>
  <c r="BV70" i="7" s="1"/>
  <c r="BV71" i="7" s="1"/>
  <c r="BV72" i="7" s="1"/>
  <c r="BV73" i="7" s="1"/>
  <c r="BV74" i="7" s="1"/>
  <c r="BV75" i="7" s="1"/>
  <c r="BV76" i="7" s="1"/>
  <c r="BV77" i="7" s="1"/>
  <c r="BV78" i="7" s="1"/>
  <c r="BV79" i="7" s="1"/>
  <c r="BV80" i="7" s="1"/>
  <c r="BV81" i="7" s="1"/>
  <c r="BV82" i="7" s="1"/>
  <c r="BV83" i="7" s="1"/>
  <c r="BV84" i="7" s="1"/>
  <c r="BV85" i="7" s="1"/>
  <c r="BV86" i="7" s="1"/>
  <c r="BV87" i="7" s="1"/>
  <c r="BV88" i="7" s="1"/>
  <c r="BV89" i="7" s="1"/>
  <c r="BV90" i="7" s="1"/>
  <c r="BV91" i="7" s="1"/>
  <c r="BV92" i="7" s="1"/>
  <c r="BV93" i="7" s="1"/>
  <c r="BV94" i="7" s="1"/>
  <c r="BV95" i="7" s="1"/>
  <c r="BV96" i="7" s="1"/>
  <c r="BV97" i="7" s="1"/>
  <c r="BV98" i="7" s="1"/>
  <c r="BV99" i="7" s="1"/>
  <c r="BV100" i="7" s="1"/>
  <c r="BV101" i="7" s="1"/>
  <c r="BV102" i="7" s="1"/>
  <c r="BV103" i="7" s="1"/>
  <c r="BV104" i="7" s="1"/>
  <c r="BV105" i="7" s="1"/>
  <c r="BV106" i="7" s="1"/>
  <c r="BV107" i="7" s="1"/>
  <c r="BV108" i="7" s="1"/>
  <c r="BV109" i="7" s="1"/>
  <c r="BV110" i="7" s="1"/>
  <c r="BV111" i="7" s="1"/>
  <c r="BV112" i="7" s="1"/>
  <c r="BV113" i="7" s="1"/>
  <c r="BV114" i="7" s="1"/>
  <c r="BV115" i="7" s="1"/>
  <c r="BV116" i="7" s="1"/>
  <c r="BV118" i="7" s="1"/>
  <c r="BV119" i="7" s="1"/>
  <c r="BV120" i="7" s="1"/>
  <c r="CD17" i="7"/>
  <c r="CD18" i="7" s="1"/>
  <c r="CD19" i="7" s="1"/>
  <c r="CD20" i="7" s="1"/>
  <c r="CD21" i="7" s="1"/>
  <c r="CD22" i="7" s="1"/>
  <c r="CD23" i="7" s="1"/>
  <c r="CD24" i="7" s="1"/>
  <c r="CD25" i="7" s="1"/>
  <c r="CD26" i="7" s="1"/>
  <c r="CD27" i="7" s="1"/>
  <c r="CD28" i="7" s="1"/>
  <c r="CD29" i="7" s="1"/>
  <c r="CD30" i="7" s="1"/>
  <c r="CD31" i="7" s="1"/>
  <c r="CD32" i="7" s="1"/>
  <c r="CD33" i="7" s="1"/>
  <c r="CD34" i="7" s="1"/>
  <c r="CD35" i="7" s="1"/>
  <c r="CD36" i="7" s="1"/>
  <c r="CD37" i="7" s="1"/>
  <c r="CD38" i="7" s="1"/>
  <c r="CD39" i="7" s="1"/>
  <c r="CD40" i="7" s="1"/>
  <c r="CD41" i="7" s="1"/>
  <c r="CD42" i="7" s="1"/>
  <c r="CD43" i="7" s="1"/>
  <c r="CD44" i="7" s="1"/>
  <c r="CD45" i="7" s="1"/>
  <c r="CD46" i="7" s="1"/>
  <c r="CD47" i="7" s="1"/>
  <c r="CD48" i="7" s="1"/>
  <c r="CD49" i="7" s="1"/>
  <c r="CD50" i="7" s="1"/>
  <c r="CD51" i="7" s="1"/>
  <c r="CD52" i="7" s="1"/>
  <c r="CD53" i="7" s="1"/>
  <c r="CD54" i="7" s="1"/>
  <c r="CD55" i="7" s="1"/>
  <c r="CD56" i="7" s="1"/>
  <c r="CD57" i="7" s="1"/>
  <c r="CD58" i="7" s="1"/>
  <c r="CD59" i="7" s="1"/>
  <c r="CD60" i="7" s="1"/>
  <c r="CD61" i="7" s="1"/>
  <c r="CD62" i="7" s="1"/>
  <c r="CD63" i="7" s="1"/>
  <c r="CD64" i="7" s="1"/>
  <c r="CD65" i="7" s="1"/>
  <c r="CD66" i="7" s="1"/>
  <c r="CD67" i="7" s="1"/>
  <c r="CD68" i="7" s="1"/>
  <c r="CD69" i="7" s="1"/>
  <c r="CD70" i="7" s="1"/>
  <c r="CD71" i="7" s="1"/>
  <c r="CD72" i="7" s="1"/>
  <c r="CD73" i="7" s="1"/>
  <c r="CD74" i="7" s="1"/>
  <c r="CD75" i="7" s="1"/>
  <c r="CD76" i="7" s="1"/>
  <c r="CD77" i="7" s="1"/>
  <c r="CD78" i="7" s="1"/>
  <c r="CD79" i="7" s="1"/>
  <c r="CD80" i="7" s="1"/>
  <c r="CD81" i="7" s="1"/>
  <c r="CD82" i="7" s="1"/>
  <c r="CD83" i="7" s="1"/>
  <c r="CD84" i="7" s="1"/>
  <c r="CD85" i="7" s="1"/>
  <c r="CD86" i="7" s="1"/>
  <c r="CD87" i="7" s="1"/>
  <c r="CD88" i="7" s="1"/>
  <c r="CD89" i="7" s="1"/>
  <c r="CD90" i="7" s="1"/>
  <c r="CD91" i="7" s="1"/>
  <c r="CD92" i="7" s="1"/>
  <c r="CD93" i="7" s="1"/>
  <c r="CD94" i="7" s="1"/>
  <c r="CD95" i="7" s="1"/>
  <c r="CD96" i="7" s="1"/>
  <c r="CD97" i="7" s="1"/>
  <c r="CD98" i="7" s="1"/>
  <c r="CD99" i="7" s="1"/>
  <c r="CD100" i="7" s="1"/>
  <c r="CD101" i="7" s="1"/>
  <c r="CD102" i="7" s="1"/>
  <c r="CD103" i="7" s="1"/>
  <c r="CD104" i="7" s="1"/>
  <c r="CD105" i="7" s="1"/>
  <c r="CD106" i="7" s="1"/>
  <c r="CD107" i="7" s="1"/>
  <c r="CD108" i="7" s="1"/>
  <c r="CD109" i="7" s="1"/>
  <c r="CD110" i="7" s="1"/>
  <c r="CD111" i="7" s="1"/>
  <c r="CD112" i="7" s="1"/>
  <c r="CD113" i="7" s="1"/>
  <c r="CD114" i="7" s="1"/>
  <c r="CD115" i="7" s="1"/>
  <c r="CD116" i="7" s="1"/>
  <c r="CD118" i="7" s="1"/>
  <c r="CD119" i="7" s="1"/>
  <c r="CD120" i="7" s="1"/>
  <c r="CL17" i="7"/>
  <c r="CL18" i="7" s="1"/>
  <c r="CL19" i="7" s="1"/>
  <c r="CL20" i="7" s="1"/>
  <c r="CL21" i="7" s="1"/>
  <c r="CL22" i="7" s="1"/>
  <c r="CL23" i="7" s="1"/>
  <c r="CL24" i="7" s="1"/>
  <c r="CL25" i="7" s="1"/>
  <c r="CL26" i="7" s="1"/>
  <c r="CL27" i="7" s="1"/>
  <c r="CL28" i="7" s="1"/>
  <c r="CL29" i="7" s="1"/>
  <c r="CL30" i="7" s="1"/>
  <c r="CL31" i="7" s="1"/>
  <c r="CL32" i="7" s="1"/>
  <c r="CL33" i="7" s="1"/>
  <c r="CL34" i="7" s="1"/>
  <c r="CL35" i="7" s="1"/>
  <c r="CL36" i="7" s="1"/>
  <c r="CL37" i="7" s="1"/>
  <c r="CL38" i="7" s="1"/>
  <c r="CL39" i="7" s="1"/>
  <c r="CL40" i="7" s="1"/>
  <c r="CL41" i="7" s="1"/>
  <c r="CL42" i="7" s="1"/>
  <c r="CL43" i="7" s="1"/>
  <c r="CL44" i="7" s="1"/>
  <c r="CL45" i="7" s="1"/>
  <c r="CL46" i="7" s="1"/>
  <c r="CL47" i="7" s="1"/>
  <c r="CL48" i="7" s="1"/>
  <c r="CL49" i="7" s="1"/>
  <c r="CL50" i="7" s="1"/>
  <c r="CL51" i="7" s="1"/>
  <c r="CL52" i="7" s="1"/>
  <c r="CL53" i="7" s="1"/>
  <c r="CL54" i="7" s="1"/>
  <c r="CL55" i="7" s="1"/>
  <c r="CL56" i="7" s="1"/>
  <c r="CL57" i="7" s="1"/>
  <c r="CL58" i="7" s="1"/>
  <c r="CL59" i="7" s="1"/>
  <c r="CL60" i="7" s="1"/>
  <c r="CL61" i="7" s="1"/>
  <c r="CL62" i="7" s="1"/>
  <c r="CL63" i="7" s="1"/>
  <c r="CL64" i="7" s="1"/>
  <c r="CL65" i="7" s="1"/>
  <c r="CL66" i="7" s="1"/>
  <c r="CL67" i="7" s="1"/>
  <c r="CL68" i="7" s="1"/>
  <c r="CL69" i="7" s="1"/>
  <c r="CL70" i="7" s="1"/>
  <c r="CL71" i="7" s="1"/>
  <c r="CL72" i="7" s="1"/>
  <c r="CL73" i="7" s="1"/>
  <c r="CL74" i="7" s="1"/>
  <c r="CL75" i="7" s="1"/>
  <c r="CL76" i="7" s="1"/>
  <c r="CL77" i="7" s="1"/>
  <c r="CL78" i="7" s="1"/>
  <c r="CL79" i="7" s="1"/>
  <c r="CL80" i="7" s="1"/>
  <c r="CL81" i="7" s="1"/>
  <c r="CL82" i="7" s="1"/>
  <c r="CL83" i="7" s="1"/>
  <c r="CL84" i="7" s="1"/>
  <c r="CL85" i="7" s="1"/>
  <c r="CL86" i="7" s="1"/>
  <c r="CL87" i="7" s="1"/>
  <c r="CL88" i="7" s="1"/>
  <c r="CL89" i="7" s="1"/>
  <c r="CL90" i="7" s="1"/>
  <c r="CL91" i="7" s="1"/>
  <c r="CL92" i="7" s="1"/>
  <c r="CL93" i="7" s="1"/>
  <c r="CL94" i="7" s="1"/>
  <c r="CL95" i="7" s="1"/>
  <c r="CL96" i="7" s="1"/>
  <c r="CL97" i="7" s="1"/>
  <c r="CL98" i="7" s="1"/>
  <c r="CL99" i="7" s="1"/>
  <c r="CL100" i="7" s="1"/>
  <c r="CL101" i="7" s="1"/>
  <c r="CL102" i="7" s="1"/>
  <c r="CL103" i="7" s="1"/>
  <c r="CL104" i="7" s="1"/>
  <c r="CL105" i="7" s="1"/>
  <c r="CL106" i="7" s="1"/>
  <c r="CL107" i="7" s="1"/>
  <c r="CL108" i="7" s="1"/>
  <c r="CL109" i="7" s="1"/>
  <c r="CL110" i="7" s="1"/>
  <c r="CL111" i="7" s="1"/>
  <c r="CL112" i="7" s="1"/>
  <c r="CL113" i="7" s="1"/>
  <c r="CL114" i="7" s="1"/>
  <c r="CL115" i="7" s="1"/>
  <c r="CL116" i="7" s="1"/>
  <c r="CL118" i="7" s="1"/>
  <c r="CL119" i="7" s="1"/>
  <c r="CL120" i="7" s="1"/>
  <c r="CT17" i="7"/>
  <c r="CT18" i="7" s="1"/>
  <c r="CT19" i="7" s="1"/>
  <c r="CT20" i="7" s="1"/>
  <c r="CT21" i="7" s="1"/>
  <c r="CT22" i="7" s="1"/>
  <c r="CT23" i="7" s="1"/>
  <c r="CT24" i="7" s="1"/>
  <c r="CT25" i="7" s="1"/>
  <c r="CT26" i="7" s="1"/>
  <c r="CT27" i="7" s="1"/>
  <c r="CT28" i="7" s="1"/>
  <c r="CT29" i="7" s="1"/>
  <c r="CT30" i="7" s="1"/>
  <c r="CT31" i="7" s="1"/>
  <c r="CT32" i="7" s="1"/>
  <c r="CT33" i="7" s="1"/>
  <c r="CT34" i="7" s="1"/>
  <c r="CT35" i="7" s="1"/>
  <c r="CT36" i="7" s="1"/>
  <c r="CT37" i="7" s="1"/>
  <c r="CT38" i="7" s="1"/>
  <c r="CT39" i="7" s="1"/>
  <c r="CT40" i="7" s="1"/>
  <c r="CT41" i="7" s="1"/>
  <c r="CT42" i="7" s="1"/>
  <c r="CT43" i="7" s="1"/>
  <c r="CT44" i="7" s="1"/>
  <c r="CT45" i="7" s="1"/>
  <c r="CT46" i="7" s="1"/>
  <c r="CT47" i="7" s="1"/>
  <c r="CT48" i="7" s="1"/>
  <c r="CT49" i="7" s="1"/>
  <c r="CT50" i="7" s="1"/>
  <c r="CT51" i="7" s="1"/>
  <c r="CT52" i="7" s="1"/>
  <c r="CT53" i="7" s="1"/>
  <c r="CT54" i="7" s="1"/>
  <c r="CT55" i="7" s="1"/>
  <c r="CT56" i="7" s="1"/>
  <c r="CT57" i="7" s="1"/>
  <c r="CT58" i="7" s="1"/>
  <c r="CT59" i="7" s="1"/>
  <c r="CT60" i="7" s="1"/>
  <c r="CT61" i="7" s="1"/>
  <c r="CT62" i="7" s="1"/>
  <c r="CT63" i="7" s="1"/>
  <c r="CT64" i="7" s="1"/>
  <c r="CT65" i="7" s="1"/>
  <c r="CT66" i="7" s="1"/>
  <c r="CT67" i="7" s="1"/>
  <c r="CT68" i="7" s="1"/>
  <c r="CT69" i="7" s="1"/>
  <c r="CT70" i="7" s="1"/>
  <c r="CT71" i="7" s="1"/>
  <c r="CT72" i="7" s="1"/>
  <c r="CT73" i="7" s="1"/>
  <c r="CT74" i="7" s="1"/>
  <c r="CT75" i="7" s="1"/>
  <c r="CT76" i="7" s="1"/>
  <c r="CT77" i="7" s="1"/>
  <c r="CT78" i="7" s="1"/>
  <c r="CT79" i="7" s="1"/>
  <c r="CT80" i="7" s="1"/>
  <c r="CT81" i="7" s="1"/>
  <c r="CT82" i="7" s="1"/>
  <c r="CT83" i="7" s="1"/>
  <c r="CT84" i="7" s="1"/>
  <c r="CT85" i="7" s="1"/>
  <c r="CT86" i="7" s="1"/>
  <c r="CT87" i="7" s="1"/>
  <c r="CT88" i="7" s="1"/>
  <c r="CT89" i="7" s="1"/>
  <c r="CT90" i="7" s="1"/>
  <c r="CT91" i="7" s="1"/>
  <c r="CT92" i="7" s="1"/>
  <c r="CT93" i="7" s="1"/>
  <c r="CT94" i="7" s="1"/>
  <c r="CT95" i="7" s="1"/>
  <c r="CT96" i="7" s="1"/>
  <c r="CT97" i="7" s="1"/>
  <c r="CT98" i="7" s="1"/>
  <c r="CT99" i="7" s="1"/>
  <c r="CT100" i="7" s="1"/>
  <c r="CT101" i="7" s="1"/>
  <c r="CT102" i="7" s="1"/>
  <c r="CT103" i="7" s="1"/>
  <c r="CT104" i="7" s="1"/>
  <c r="CT105" i="7" s="1"/>
  <c r="CT106" i="7" s="1"/>
  <c r="CT107" i="7" s="1"/>
  <c r="CT108" i="7" s="1"/>
  <c r="CT109" i="7" s="1"/>
  <c r="CT110" i="7" s="1"/>
  <c r="CT111" i="7" s="1"/>
  <c r="CT112" i="7" s="1"/>
  <c r="CT113" i="7" s="1"/>
  <c r="CT114" i="7" s="1"/>
  <c r="CT115" i="7" s="1"/>
  <c r="CT116" i="7" s="1"/>
  <c r="CT118" i="7" s="1"/>
  <c r="CT119" i="7" s="1"/>
  <c r="CT120" i="7" s="1"/>
  <c r="CP17" i="7" l="1"/>
  <c r="CP18" i="7" s="1"/>
  <c r="CP19" i="7" s="1"/>
  <c r="CP20" i="7" s="1"/>
  <c r="CP21" i="7" s="1"/>
  <c r="CP22" i="7" s="1"/>
  <c r="CP23" i="7" s="1"/>
  <c r="CP24" i="7" s="1"/>
  <c r="CP25" i="7" s="1"/>
  <c r="CP26" i="7" s="1"/>
  <c r="CP27" i="7" s="1"/>
  <c r="CP28" i="7" s="1"/>
  <c r="CP29" i="7" s="1"/>
  <c r="CP30" i="7" s="1"/>
  <c r="CP31" i="7" s="1"/>
  <c r="CP32" i="7" s="1"/>
  <c r="CP33" i="7" s="1"/>
  <c r="CP34" i="7" s="1"/>
  <c r="CP35" i="7" s="1"/>
  <c r="CP36" i="7" s="1"/>
  <c r="CP37" i="7" s="1"/>
  <c r="CP38" i="7" s="1"/>
  <c r="CP39" i="7" s="1"/>
  <c r="CP40" i="7" s="1"/>
  <c r="CP41" i="7" s="1"/>
  <c r="CP42" i="7" s="1"/>
  <c r="CP43" i="7" s="1"/>
  <c r="CP44" i="7" s="1"/>
  <c r="CP45" i="7" s="1"/>
  <c r="CP46" i="7" s="1"/>
  <c r="CP47" i="7" s="1"/>
  <c r="CP48" i="7" s="1"/>
  <c r="CP49" i="7" s="1"/>
  <c r="CP50" i="7" s="1"/>
  <c r="CP51" i="7" s="1"/>
  <c r="CP52" i="7" s="1"/>
  <c r="CP53" i="7" s="1"/>
  <c r="CP54" i="7" s="1"/>
  <c r="CP55" i="7" s="1"/>
  <c r="CP56" i="7" s="1"/>
  <c r="CP57" i="7" s="1"/>
  <c r="CP58" i="7" s="1"/>
  <c r="CP59" i="7" s="1"/>
  <c r="CP60" i="7" s="1"/>
  <c r="CP61" i="7" s="1"/>
  <c r="CP62" i="7" s="1"/>
  <c r="CP63" i="7" s="1"/>
  <c r="CP64" i="7" s="1"/>
  <c r="CP65" i="7" s="1"/>
  <c r="CP66" i="7" s="1"/>
  <c r="CP67" i="7" s="1"/>
  <c r="CP68" i="7" s="1"/>
  <c r="CP69" i="7" s="1"/>
  <c r="CP70" i="7" s="1"/>
  <c r="CP71" i="7" s="1"/>
  <c r="CP72" i="7" s="1"/>
  <c r="CP73" i="7" s="1"/>
  <c r="CP74" i="7" s="1"/>
  <c r="CP75" i="7" s="1"/>
  <c r="CP76" i="7" s="1"/>
  <c r="CP77" i="7" s="1"/>
  <c r="CP78" i="7" s="1"/>
  <c r="CP79" i="7" s="1"/>
  <c r="CP80" i="7" s="1"/>
  <c r="CP81" i="7" s="1"/>
  <c r="CP82" i="7" s="1"/>
  <c r="CP83" i="7" s="1"/>
  <c r="CP84" i="7" s="1"/>
  <c r="CP85" i="7" s="1"/>
  <c r="CP86" i="7" s="1"/>
  <c r="CP87" i="7" s="1"/>
  <c r="CP88" i="7" s="1"/>
  <c r="CP89" i="7" s="1"/>
  <c r="CP90" i="7" s="1"/>
  <c r="CP91" i="7" s="1"/>
  <c r="CP92" i="7" s="1"/>
  <c r="CP93" i="7" s="1"/>
  <c r="CP94" i="7" s="1"/>
  <c r="CP95" i="7" s="1"/>
  <c r="CP96" i="7" s="1"/>
  <c r="CP97" i="7" s="1"/>
  <c r="CP98" i="7" s="1"/>
  <c r="CP99" i="7" s="1"/>
  <c r="CP100" i="7" s="1"/>
  <c r="CP101" i="7" s="1"/>
  <c r="CP102" i="7" s="1"/>
  <c r="CP103" i="7" s="1"/>
  <c r="CP104" i="7" s="1"/>
  <c r="CP105" i="7" s="1"/>
  <c r="CP106" i="7" s="1"/>
  <c r="CP107" i="7" s="1"/>
  <c r="CP108" i="7" s="1"/>
  <c r="CP109" i="7" s="1"/>
  <c r="CP110" i="7" s="1"/>
  <c r="CP111" i="7" s="1"/>
  <c r="CP112" i="7" s="1"/>
  <c r="CP113" i="7" s="1"/>
  <c r="CP114" i="7" s="1"/>
  <c r="CP115" i="7" s="1"/>
  <c r="CP116" i="7" s="1"/>
  <c r="CP118" i="7" s="1"/>
  <c r="CP119" i="7" s="1"/>
  <c r="CP120" i="7" s="1"/>
  <c r="BZ17" i="7"/>
  <c r="BZ18" i="7" s="1"/>
  <c r="BZ19" i="7" s="1"/>
  <c r="BZ20" i="7" s="1"/>
  <c r="BZ21" i="7" s="1"/>
  <c r="BZ22" i="7" s="1"/>
  <c r="BZ23" i="7" s="1"/>
  <c r="BZ24" i="7" s="1"/>
  <c r="BZ25" i="7" s="1"/>
  <c r="BZ26" i="7" s="1"/>
  <c r="BZ27" i="7" s="1"/>
  <c r="BZ28" i="7" s="1"/>
  <c r="BZ29" i="7" s="1"/>
  <c r="BZ30" i="7" s="1"/>
  <c r="BZ31" i="7" s="1"/>
  <c r="BZ32" i="7" s="1"/>
  <c r="BZ33" i="7" s="1"/>
  <c r="BZ34" i="7" s="1"/>
  <c r="BZ35" i="7" s="1"/>
  <c r="BZ36" i="7" s="1"/>
  <c r="BZ37" i="7" s="1"/>
  <c r="BZ38" i="7" s="1"/>
  <c r="BZ39" i="7" s="1"/>
  <c r="BZ40" i="7" s="1"/>
  <c r="BZ41" i="7" s="1"/>
  <c r="BZ42" i="7" s="1"/>
  <c r="BZ43" i="7" s="1"/>
  <c r="BZ44" i="7" s="1"/>
  <c r="BZ45" i="7" s="1"/>
  <c r="BZ46" i="7" s="1"/>
  <c r="BZ47" i="7" s="1"/>
  <c r="BZ48" i="7" s="1"/>
  <c r="BZ49" i="7" s="1"/>
  <c r="BZ50" i="7" s="1"/>
  <c r="BZ51" i="7" s="1"/>
  <c r="BZ52" i="7" s="1"/>
  <c r="BZ53" i="7" s="1"/>
  <c r="BZ54" i="7" s="1"/>
  <c r="BZ55" i="7" s="1"/>
  <c r="BZ56" i="7" s="1"/>
  <c r="BZ57" i="7" s="1"/>
  <c r="BZ58" i="7" s="1"/>
  <c r="BZ59" i="7" s="1"/>
  <c r="BZ60" i="7" s="1"/>
  <c r="BZ61" i="7" s="1"/>
  <c r="BZ62" i="7" s="1"/>
  <c r="BZ63" i="7" s="1"/>
  <c r="BZ64" i="7" s="1"/>
  <c r="BZ65" i="7" s="1"/>
  <c r="BZ66" i="7" s="1"/>
  <c r="BZ67" i="7" s="1"/>
  <c r="BZ68" i="7" s="1"/>
  <c r="BZ69" i="7" s="1"/>
  <c r="BZ70" i="7" s="1"/>
  <c r="BZ71" i="7" s="1"/>
  <c r="BZ72" i="7" s="1"/>
  <c r="BZ73" i="7" s="1"/>
  <c r="BZ74" i="7" s="1"/>
  <c r="BZ75" i="7" s="1"/>
  <c r="BZ76" i="7" s="1"/>
  <c r="BZ77" i="7" s="1"/>
  <c r="BZ78" i="7" s="1"/>
  <c r="BZ79" i="7" s="1"/>
  <c r="BZ80" i="7" s="1"/>
  <c r="BZ81" i="7" s="1"/>
  <c r="BZ82" i="7" s="1"/>
  <c r="BZ83" i="7" s="1"/>
  <c r="BZ84" i="7" s="1"/>
  <c r="BZ85" i="7" s="1"/>
  <c r="BZ86" i="7" s="1"/>
  <c r="BZ87" i="7" s="1"/>
  <c r="BZ88" i="7" s="1"/>
  <c r="BZ89" i="7" s="1"/>
  <c r="BZ90" i="7" s="1"/>
  <c r="BZ91" i="7" s="1"/>
  <c r="BZ92" i="7" s="1"/>
  <c r="BZ93" i="7" s="1"/>
  <c r="BZ94" i="7" s="1"/>
  <c r="BZ95" i="7" s="1"/>
  <c r="BZ96" i="7" s="1"/>
  <c r="BZ97" i="7" s="1"/>
  <c r="BZ98" i="7" s="1"/>
  <c r="BZ99" i="7" s="1"/>
  <c r="BZ100" i="7" s="1"/>
  <c r="BZ101" i="7" s="1"/>
  <c r="BZ102" i="7" s="1"/>
  <c r="BZ103" i="7" s="1"/>
  <c r="BZ104" i="7" s="1"/>
  <c r="BZ105" i="7" s="1"/>
  <c r="BZ106" i="7" s="1"/>
  <c r="BZ107" i="7" s="1"/>
  <c r="BZ108" i="7" s="1"/>
  <c r="BZ109" i="7" s="1"/>
  <c r="BZ110" i="7" s="1"/>
  <c r="BZ111" i="7" s="1"/>
  <c r="BZ112" i="7" s="1"/>
  <c r="BZ113" i="7" s="1"/>
  <c r="BZ114" i="7" s="1"/>
  <c r="BZ115" i="7" s="1"/>
  <c r="BZ116" i="7" s="1"/>
  <c r="BZ118" i="7" s="1"/>
  <c r="BZ119" i="7" s="1"/>
  <c r="BZ120" i="7" s="1"/>
  <c r="BJ17" i="7"/>
  <c r="BJ18" i="7" s="1"/>
  <c r="BJ19" i="7" s="1"/>
  <c r="BJ20" i="7" s="1"/>
  <c r="BJ21" i="7" s="1"/>
  <c r="BJ22" i="7" s="1"/>
  <c r="BJ23" i="7" s="1"/>
  <c r="BJ24" i="7" s="1"/>
  <c r="BJ25" i="7" s="1"/>
  <c r="BJ26" i="7" s="1"/>
  <c r="BJ27" i="7" s="1"/>
  <c r="BJ28" i="7" s="1"/>
  <c r="BJ29" i="7" s="1"/>
  <c r="BJ30" i="7" s="1"/>
  <c r="BJ31" i="7" s="1"/>
  <c r="BJ32" i="7" s="1"/>
  <c r="BJ33" i="7" s="1"/>
  <c r="BJ34" i="7" s="1"/>
  <c r="BJ35" i="7" s="1"/>
  <c r="BJ36" i="7" s="1"/>
  <c r="BJ37" i="7" s="1"/>
  <c r="BJ38" i="7" s="1"/>
  <c r="BJ39" i="7" s="1"/>
  <c r="BJ40" i="7" s="1"/>
  <c r="BJ41" i="7" s="1"/>
  <c r="BJ42" i="7" s="1"/>
  <c r="BJ43" i="7" s="1"/>
  <c r="BJ44" i="7" s="1"/>
  <c r="BJ45" i="7" s="1"/>
  <c r="BJ46" i="7" s="1"/>
  <c r="BJ47" i="7" s="1"/>
  <c r="BJ48" i="7" s="1"/>
  <c r="BJ49" i="7" s="1"/>
  <c r="BJ50" i="7" s="1"/>
  <c r="BJ51" i="7" s="1"/>
  <c r="BJ52" i="7" s="1"/>
  <c r="BJ53" i="7" s="1"/>
  <c r="BJ54" i="7" s="1"/>
  <c r="BJ55" i="7" s="1"/>
  <c r="BJ56" i="7" s="1"/>
  <c r="BJ57" i="7" s="1"/>
  <c r="BJ58" i="7" s="1"/>
  <c r="BJ59" i="7" s="1"/>
  <c r="BJ60" i="7" s="1"/>
  <c r="BJ61" i="7" s="1"/>
  <c r="BJ62" i="7" s="1"/>
  <c r="BJ63" i="7" s="1"/>
  <c r="BJ64" i="7" s="1"/>
  <c r="BJ65" i="7" s="1"/>
  <c r="BJ66" i="7" s="1"/>
  <c r="BJ67" i="7" s="1"/>
  <c r="BJ68" i="7" s="1"/>
  <c r="BJ69" i="7" s="1"/>
  <c r="BJ70" i="7" s="1"/>
  <c r="BJ71" i="7" s="1"/>
  <c r="BJ72" i="7" s="1"/>
  <c r="BJ73" i="7" s="1"/>
  <c r="BJ74" i="7" s="1"/>
  <c r="BJ75" i="7" s="1"/>
  <c r="BJ76" i="7" s="1"/>
  <c r="BJ77" i="7" s="1"/>
  <c r="BJ78" i="7" s="1"/>
  <c r="BJ79" i="7" s="1"/>
  <c r="BJ80" i="7" s="1"/>
  <c r="BJ81" i="7" s="1"/>
  <c r="BJ82" i="7" s="1"/>
  <c r="BJ83" i="7" s="1"/>
  <c r="BJ84" i="7" s="1"/>
  <c r="BJ85" i="7" s="1"/>
  <c r="BJ86" i="7" s="1"/>
  <c r="BJ87" i="7" s="1"/>
  <c r="BJ88" i="7" s="1"/>
  <c r="BJ89" i="7" s="1"/>
  <c r="BJ90" i="7" s="1"/>
  <c r="BJ91" i="7" s="1"/>
  <c r="BJ92" i="7" s="1"/>
  <c r="BJ93" i="7" s="1"/>
  <c r="BJ94" i="7" s="1"/>
  <c r="BJ95" i="7" s="1"/>
  <c r="BJ96" i="7" s="1"/>
  <c r="BJ97" i="7" s="1"/>
  <c r="BJ98" i="7" s="1"/>
  <c r="BJ99" i="7" s="1"/>
  <c r="BJ100" i="7" s="1"/>
  <c r="BJ101" i="7" s="1"/>
  <c r="BJ102" i="7" s="1"/>
  <c r="BJ103" i="7" s="1"/>
  <c r="BJ104" i="7" s="1"/>
  <c r="BJ105" i="7" s="1"/>
  <c r="BJ106" i="7" s="1"/>
  <c r="BJ107" i="7" s="1"/>
  <c r="BJ108" i="7" s="1"/>
  <c r="BJ109" i="7" s="1"/>
  <c r="BJ110" i="7" s="1"/>
  <c r="BJ111" i="7" s="1"/>
  <c r="BJ112" i="7" s="1"/>
  <c r="BJ113" i="7" s="1"/>
  <c r="BJ114" i="7" s="1"/>
  <c r="BJ115" i="7" s="1"/>
  <c r="BJ116" i="7" s="1"/>
  <c r="BJ118" i="7" s="1"/>
  <c r="BJ119" i="7" s="1"/>
  <c r="BJ120" i="7" s="1"/>
  <c r="AT17" i="7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AT56" i="7" s="1"/>
  <c r="AT57" i="7" s="1"/>
  <c r="AT58" i="7" s="1"/>
  <c r="AT59" i="7" s="1"/>
  <c r="AT60" i="7" s="1"/>
  <c r="AT61" i="7" s="1"/>
  <c r="AT62" i="7" s="1"/>
  <c r="AT63" i="7" s="1"/>
  <c r="AT64" i="7" s="1"/>
  <c r="AT65" i="7" s="1"/>
  <c r="AT66" i="7" s="1"/>
  <c r="AT67" i="7" s="1"/>
  <c r="AT68" i="7" s="1"/>
  <c r="AT69" i="7" s="1"/>
  <c r="AT70" i="7" s="1"/>
  <c r="AT71" i="7" s="1"/>
  <c r="AT72" i="7" s="1"/>
  <c r="AT73" i="7" s="1"/>
  <c r="AT74" i="7" s="1"/>
  <c r="AT75" i="7" s="1"/>
  <c r="AT76" i="7" s="1"/>
  <c r="AT77" i="7" s="1"/>
  <c r="AT78" i="7" s="1"/>
  <c r="AT79" i="7" s="1"/>
  <c r="AT80" i="7" s="1"/>
  <c r="AT81" i="7" s="1"/>
  <c r="AT82" i="7" s="1"/>
  <c r="AT83" i="7" s="1"/>
  <c r="AT84" i="7" s="1"/>
  <c r="AT85" i="7" s="1"/>
  <c r="AT86" i="7" s="1"/>
  <c r="AT87" i="7" s="1"/>
  <c r="AT88" i="7" s="1"/>
  <c r="AT89" i="7" s="1"/>
  <c r="AT90" i="7" s="1"/>
  <c r="AT91" i="7" s="1"/>
  <c r="AT92" i="7" s="1"/>
  <c r="AT93" i="7" s="1"/>
  <c r="AT94" i="7" s="1"/>
  <c r="AT95" i="7" s="1"/>
  <c r="AT96" i="7" s="1"/>
  <c r="AT97" i="7" s="1"/>
  <c r="AT98" i="7" s="1"/>
  <c r="AT99" i="7" s="1"/>
  <c r="AT100" i="7" s="1"/>
  <c r="AT101" i="7" s="1"/>
  <c r="AT102" i="7" s="1"/>
  <c r="AT103" i="7" s="1"/>
  <c r="AT104" i="7" s="1"/>
  <c r="AT105" i="7" s="1"/>
  <c r="AT106" i="7" s="1"/>
  <c r="AT107" i="7" s="1"/>
  <c r="AT108" i="7" s="1"/>
  <c r="AT109" i="7" s="1"/>
  <c r="AT110" i="7" s="1"/>
  <c r="AT111" i="7" s="1"/>
  <c r="AT112" i="7" s="1"/>
  <c r="AT113" i="7" s="1"/>
  <c r="AT114" i="7" s="1"/>
  <c r="AT115" i="7" s="1"/>
  <c r="AT116" i="7" s="1"/>
  <c r="AT118" i="7" s="1"/>
  <c r="AT119" i="7" s="1"/>
  <c r="AT120" i="7" s="1"/>
  <c r="AD17" i="7"/>
  <c r="AD18" i="7" s="1"/>
  <c r="AD19" i="7" s="1"/>
  <c r="AD20" i="7" s="1"/>
  <c r="AD21" i="7" s="1"/>
  <c r="AD22" i="7" s="1"/>
  <c r="AD23" i="7" s="1"/>
  <c r="AD24" i="7" s="1"/>
  <c r="AD25" i="7" s="1"/>
  <c r="AD26" i="7" s="1"/>
  <c r="AD27" i="7" s="1"/>
  <c r="AD28" i="7" s="1"/>
  <c r="AD29" i="7" s="1"/>
  <c r="AD30" i="7" s="1"/>
  <c r="AD31" i="7" s="1"/>
  <c r="AD32" i="7" s="1"/>
  <c r="AD33" i="7" s="1"/>
  <c r="AD34" i="7" s="1"/>
  <c r="AD35" i="7" s="1"/>
  <c r="AD36" i="7" s="1"/>
  <c r="AD37" i="7" s="1"/>
  <c r="AD38" i="7" s="1"/>
  <c r="AD39" i="7" s="1"/>
  <c r="AD40" i="7" s="1"/>
  <c r="AD41" i="7" s="1"/>
  <c r="AD42" i="7" s="1"/>
  <c r="AD43" i="7" s="1"/>
  <c r="AD44" i="7" s="1"/>
  <c r="AD45" i="7" s="1"/>
  <c r="AD46" i="7" s="1"/>
  <c r="AD47" i="7" s="1"/>
  <c r="AD48" i="7" s="1"/>
  <c r="AD49" i="7" s="1"/>
  <c r="AD50" i="7" s="1"/>
  <c r="AD51" i="7" s="1"/>
  <c r="AD52" i="7" s="1"/>
  <c r="AD53" i="7" s="1"/>
  <c r="AD54" i="7" s="1"/>
  <c r="AD55" i="7" s="1"/>
  <c r="AD56" i="7" s="1"/>
  <c r="AD57" i="7" s="1"/>
  <c r="AD58" i="7" s="1"/>
  <c r="AD59" i="7" s="1"/>
  <c r="AD60" i="7" s="1"/>
  <c r="AD61" i="7" s="1"/>
  <c r="AD62" i="7" s="1"/>
  <c r="AD63" i="7" s="1"/>
  <c r="AD64" i="7" s="1"/>
  <c r="AD65" i="7" s="1"/>
  <c r="AD66" i="7" s="1"/>
  <c r="AD67" i="7" s="1"/>
  <c r="AD68" i="7" s="1"/>
  <c r="AD69" i="7" s="1"/>
  <c r="AD70" i="7" s="1"/>
  <c r="AD71" i="7" s="1"/>
  <c r="AD72" i="7" s="1"/>
  <c r="AD73" i="7" s="1"/>
  <c r="AD74" i="7" s="1"/>
  <c r="AD75" i="7" s="1"/>
  <c r="AD76" i="7" s="1"/>
  <c r="AD77" i="7" s="1"/>
  <c r="AD78" i="7" s="1"/>
  <c r="AD79" i="7" s="1"/>
  <c r="AD80" i="7" s="1"/>
  <c r="AD81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AD113" i="7" s="1"/>
  <c r="AD114" i="7" s="1"/>
  <c r="AD115" i="7" s="1"/>
  <c r="AD116" i="7" s="1"/>
  <c r="AD118" i="7" s="1"/>
  <c r="AD119" i="7" s="1"/>
  <c r="AD120" i="7" s="1"/>
  <c r="N17" i="7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N29" i="7" s="1"/>
  <c r="N30" i="7" s="1"/>
  <c r="N31" i="7" s="1"/>
  <c r="N32" i="7" s="1"/>
  <c r="N33" i="7" s="1"/>
  <c r="N34" i="7" s="1"/>
  <c r="N35" i="7" s="1"/>
  <c r="N36" i="7" s="1"/>
  <c r="N37" i="7" s="1"/>
  <c r="N38" i="7" s="1"/>
  <c r="N39" i="7" s="1"/>
  <c r="N40" i="7" s="1"/>
  <c r="N41" i="7" s="1"/>
  <c r="N42" i="7" s="1"/>
  <c r="N43" i="7" s="1"/>
  <c r="N44" i="7" s="1"/>
  <c r="N45" i="7" s="1"/>
  <c r="N46" i="7" s="1"/>
  <c r="N47" i="7" s="1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59" i="7" s="1"/>
  <c r="N60" i="7" s="1"/>
  <c r="N61" i="7" s="1"/>
  <c r="N62" i="7" s="1"/>
  <c r="N63" i="7" s="1"/>
  <c r="N64" i="7" s="1"/>
  <c r="N65" i="7" s="1"/>
  <c r="N66" i="7" s="1"/>
  <c r="N67" i="7" s="1"/>
  <c r="N68" i="7" s="1"/>
  <c r="N69" i="7" s="1"/>
  <c r="N70" i="7" s="1"/>
  <c r="N71" i="7" s="1"/>
  <c r="N72" i="7" s="1"/>
  <c r="N73" i="7" s="1"/>
  <c r="N74" i="7" s="1"/>
  <c r="N75" i="7" s="1"/>
  <c r="N76" i="7" s="1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N113" i="7" s="1"/>
  <c r="N114" i="7" s="1"/>
  <c r="N115" i="7" s="1"/>
  <c r="N116" i="7" s="1"/>
  <c r="N118" i="7" s="1"/>
  <c r="N119" i="7" s="1"/>
  <c r="N120" i="7" s="1"/>
  <c r="CS17" i="7"/>
  <c r="CS18" i="7" s="1"/>
  <c r="CS19" i="7" s="1"/>
  <c r="CS20" i="7" s="1"/>
  <c r="CS21" i="7" s="1"/>
  <c r="CS22" i="7" s="1"/>
  <c r="CS23" i="7" s="1"/>
  <c r="CS24" i="7" s="1"/>
  <c r="CS25" i="7" s="1"/>
  <c r="CS26" i="7" s="1"/>
  <c r="CS27" i="7" s="1"/>
  <c r="CS28" i="7" s="1"/>
  <c r="CS29" i="7" s="1"/>
  <c r="CS30" i="7" s="1"/>
  <c r="CS31" i="7" s="1"/>
  <c r="CS32" i="7" s="1"/>
  <c r="CS33" i="7" s="1"/>
  <c r="CS34" i="7" s="1"/>
  <c r="CS35" i="7" s="1"/>
  <c r="CS36" i="7" s="1"/>
  <c r="CS37" i="7" s="1"/>
  <c r="CS38" i="7" s="1"/>
  <c r="CS39" i="7" s="1"/>
  <c r="CS40" i="7" s="1"/>
  <c r="CS41" i="7" s="1"/>
  <c r="CS42" i="7" s="1"/>
  <c r="CS43" i="7" s="1"/>
  <c r="CS44" i="7" s="1"/>
  <c r="CS45" i="7" s="1"/>
  <c r="CS46" i="7" s="1"/>
  <c r="CS47" i="7" s="1"/>
  <c r="CS48" i="7" s="1"/>
  <c r="CS49" i="7" s="1"/>
  <c r="CS50" i="7" s="1"/>
  <c r="CS51" i="7" s="1"/>
  <c r="CS52" i="7" s="1"/>
  <c r="CS53" i="7" s="1"/>
  <c r="CS54" i="7" s="1"/>
  <c r="CS55" i="7" s="1"/>
  <c r="CS56" i="7" s="1"/>
  <c r="CS57" i="7" s="1"/>
  <c r="CS58" i="7" s="1"/>
  <c r="CS59" i="7" s="1"/>
  <c r="CS60" i="7" s="1"/>
  <c r="CS61" i="7" s="1"/>
  <c r="CS62" i="7" s="1"/>
  <c r="CS63" i="7" s="1"/>
  <c r="CS64" i="7" s="1"/>
  <c r="CS65" i="7" s="1"/>
  <c r="CS66" i="7" s="1"/>
  <c r="CS67" i="7" s="1"/>
  <c r="CS68" i="7" s="1"/>
  <c r="CS69" i="7" s="1"/>
  <c r="CS70" i="7" s="1"/>
  <c r="CS71" i="7" s="1"/>
  <c r="CS72" i="7" s="1"/>
  <c r="CS73" i="7" s="1"/>
  <c r="CS74" i="7" s="1"/>
  <c r="CS75" i="7" s="1"/>
  <c r="CS76" i="7" s="1"/>
  <c r="CS77" i="7" s="1"/>
  <c r="CS78" i="7" s="1"/>
  <c r="CS79" i="7" s="1"/>
  <c r="CS80" i="7" s="1"/>
  <c r="CS81" i="7" s="1"/>
  <c r="CS82" i="7" s="1"/>
  <c r="CS83" i="7" s="1"/>
  <c r="CS84" i="7" s="1"/>
  <c r="CS85" i="7" s="1"/>
  <c r="CS86" i="7" s="1"/>
  <c r="CS87" i="7" s="1"/>
  <c r="CS88" i="7" s="1"/>
  <c r="CS89" i="7" s="1"/>
  <c r="CS90" i="7" s="1"/>
  <c r="CS91" i="7" s="1"/>
  <c r="CS92" i="7" s="1"/>
  <c r="CS93" i="7" s="1"/>
  <c r="CS94" i="7" s="1"/>
  <c r="CS95" i="7" s="1"/>
  <c r="CS96" i="7" s="1"/>
  <c r="CS97" i="7" s="1"/>
  <c r="CS98" i="7" s="1"/>
  <c r="CS99" i="7" s="1"/>
  <c r="CS100" i="7" s="1"/>
  <c r="CS101" i="7" s="1"/>
  <c r="CS102" i="7" s="1"/>
  <c r="CS103" i="7" s="1"/>
  <c r="CS104" i="7" s="1"/>
  <c r="CS105" i="7" s="1"/>
  <c r="CS106" i="7" s="1"/>
  <c r="CS107" i="7" s="1"/>
  <c r="CS108" i="7" s="1"/>
  <c r="CS109" i="7" s="1"/>
  <c r="CS110" i="7" s="1"/>
  <c r="CS111" i="7" s="1"/>
  <c r="CS112" i="7" s="1"/>
  <c r="CS113" i="7" s="1"/>
  <c r="CS114" i="7" s="1"/>
  <c r="CS115" i="7" s="1"/>
  <c r="CS116" i="7" s="1"/>
  <c r="CS118" i="7" s="1"/>
  <c r="CS119" i="7" s="1"/>
  <c r="CS120" i="7" s="1"/>
  <c r="CC17" i="7"/>
  <c r="CC18" i="7" s="1"/>
  <c r="CC19" i="7" s="1"/>
  <c r="CC20" i="7" s="1"/>
  <c r="CC21" i="7" s="1"/>
  <c r="CC22" i="7" s="1"/>
  <c r="CC23" i="7" s="1"/>
  <c r="CC24" i="7" s="1"/>
  <c r="CC25" i="7" s="1"/>
  <c r="CC26" i="7" s="1"/>
  <c r="CC27" i="7" s="1"/>
  <c r="CC28" i="7" s="1"/>
  <c r="CC29" i="7" s="1"/>
  <c r="CC30" i="7" s="1"/>
  <c r="CC31" i="7" s="1"/>
  <c r="CC32" i="7" s="1"/>
  <c r="CC33" i="7" s="1"/>
  <c r="CC34" i="7" s="1"/>
  <c r="CC35" i="7" s="1"/>
  <c r="CC36" i="7" s="1"/>
  <c r="CC37" i="7" s="1"/>
  <c r="CC38" i="7" s="1"/>
  <c r="CC39" i="7" s="1"/>
  <c r="CC40" i="7" s="1"/>
  <c r="CC41" i="7" s="1"/>
  <c r="CC42" i="7" s="1"/>
  <c r="CC43" i="7" s="1"/>
  <c r="CC44" i="7" s="1"/>
  <c r="CC45" i="7" s="1"/>
  <c r="CC46" i="7" s="1"/>
  <c r="CC47" i="7" s="1"/>
  <c r="CC48" i="7" s="1"/>
  <c r="CC49" i="7" s="1"/>
  <c r="CC50" i="7" s="1"/>
  <c r="CC51" i="7" s="1"/>
  <c r="CC52" i="7" s="1"/>
  <c r="CC53" i="7" s="1"/>
  <c r="CC54" i="7" s="1"/>
  <c r="CC55" i="7" s="1"/>
  <c r="CC56" i="7" s="1"/>
  <c r="CC57" i="7" s="1"/>
  <c r="CC58" i="7" s="1"/>
  <c r="CC59" i="7" s="1"/>
  <c r="CC60" i="7" s="1"/>
  <c r="CC61" i="7" s="1"/>
  <c r="CC62" i="7" s="1"/>
  <c r="CC63" i="7" s="1"/>
  <c r="CC64" i="7" s="1"/>
  <c r="CC65" i="7" s="1"/>
  <c r="CC66" i="7" s="1"/>
  <c r="CC67" i="7" s="1"/>
  <c r="CC68" i="7" s="1"/>
  <c r="CC69" i="7" s="1"/>
  <c r="CC70" i="7" s="1"/>
  <c r="CC71" i="7" s="1"/>
  <c r="CC72" i="7" s="1"/>
  <c r="CC73" i="7" s="1"/>
  <c r="CC74" i="7" s="1"/>
  <c r="CC75" i="7" s="1"/>
  <c r="CC76" i="7" s="1"/>
  <c r="CC77" i="7" s="1"/>
  <c r="CC78" i="7" s="1"/>
  <c r="CC79" i="7" s="1"/>
  <c r="CC80" i="7" s="1"/>
  <c r="CC81" i="7" s="1"/>
  <c r="CC82" i="7" s="1"/>
  <c r="CC83" i="7" s="1"/>
  <c r="CC84" i="7" s="1"/>
  <c r="CC85" i="7" s="1"/>
  <c r="CC86" i="7" s="1"/>
  <c r="CC87" i="7" s="1"/>
  <c r="CC88" i="7" s="1"/>
  <c r="CC89" i="7" s="1"/>
  <c r="CC90" i="7" s="1"/>
  <c r="CC91" i="7" s="1"/>
  <c r="CC92" i="7" s="1"/>
  <c r="CC93" i="7" s="1"/>
  <c r="CC94" i="7" s="1"/>
  <c r="CC95" i="7" s="1"/>
  <c r="CC96" i="7" s="1"/>
  <c r="CC97" i="7" s="1"/>
  <c r="CC98" i="7" s="1"/>
  <c r="CC99" i="7" s="1"/>
  <c r="CC100" i="7" s="1"/>
  <c r="CC101" i="7" s="1"/>
  <c r="CC102" i="7" s="1"/>
  <c r="CC103" i="7" s="1"/>
  <c r="CC104" i="7" s="1"/>
  <c r="CC105" i="7" s="1"/>
  <c r="CC106" i="7" s="1"/>
  <c r="CC107" i="7" s="1"/>
  <c r="CC108" i="7" s="1"/>
  <c r="CC109" i="7" s="1"/>
  <c r="CC110" i="7" s="1"/>
  <c r="CC111" i="7" s="1"/>
  <c r="CC112" i="7" s="1"/>
  <c r="CC113" i="7" s="1"/>
  <c r="CC114" i="7" s="1"/>
  <c r="CC115" i="7" s="1"/>
  <c r="CC116" i="7" s="1"/>
  <c r="CC118" i="7" s="1"/>
  <c r="CC119" i="7" s="1"/>
  <c r="CC120" i="7" s="1"/>
  <c r="BM17" i="7"/>
  <c r="BM18" i="7" s="1"/>
  <c r="BM19" i="7" s="1"/>
  <c r="BM20" i="7" s="1"/>
  <c r="BM21" i="7" s="1"/>
  <c r="BM22" i="7" s="1"/>
  <c r="BM23" i="7" s="1"/>
  <c r="BM24" i="7" s="1"/>
  <c r="BM25" i="7" s="1"/>
  <c r="BM26" i="7" s="1"/>
  <c r="BM27" i="7" s="1"/>
  <c r="BM28" i="7" s="1"/>
  <c r="BM29" i="7" s="1"/>
  <c r="BM30" i="7" s="1"/>
  <c r="BM31" i="7" s="1"/>
  <c r="BM32" i="7" s="1"/>
  <c r="BM33" i="7" s="1"/>
  <c r="BM34" i="7" s="1"/>
  <c r="BM35" i="7" s="1"/>
  <c r="BM36" i="7" s="1"/>
  <c r="BM37" i="7" s="1"/>
  <c r="BM38" i="7" s="1"/>
  <c r="BM39" i="7" s="1"/>
  <c r="BM40" i="7" s="1"/>
  <c r="BM41" i="7" s="1"/>
  <c r="BM42" i="7" s="1"/>
  <c r="BM43" i="7" s="1"/>
  <c r="BM44" i="7" s="1"/>
  <c r="BM45" i="7" s="1"/>
  <c r="BM46" i="7" s="1"/>
  <c r="BM47" i="7" s="1"/>
  <c r="BM48" i="7" s="1"/>
  <c r="BM49" i="7" s="1"/>
  <c r="BM50" i="7" s="1"/>
  <c r="BM51" i="7" s="1"/>
  <c r="BM52" i="7" s="1"/>
  <c r="BM53" i="7" s="1"/>
  <c r="BM54" i="7" s="1"/>
  <c r="BM55" i="7" s="1"/>
  <c r="BM56" i="7" s="1"/>
  <c r="BM57" i="7" s="1"/>
  <c r="BM58" i="7" s="1"/>
  <c r="BM59" i="7" s="1"/>
  <c r="BM60" i="7" s="1"/>
  <c r="BM61" i="7" s="1"/>
  <c r="BM62" i="7" s="1"/>
  <c r="BM63" i="7" s="1"/>
  <c r="BM64" i="7" s="1"/>
  <c r="BM65" i="7" s="1"/>
  <c r="BM66" i="7" s="1"/>
  <c r="BM67" i="7" s="1"/>
  <c r="BM68" i="7" s="1"/>
  <c r="BM69" i="7" s="1"/>
  <c r="BM70" i="7" s="1"/>
  <c r="BM71" i="7" s="1"/>
  <c r="BM72" i="7" s="1"/>
  <c r="BM73" i="7" s="1"/>
  <c r="BM74" i="7" s="1"/>
  <c r="BM75" i="7" s="1"/>
  <c r="BM76" i="7" s="1"/>
  <c r="BM77" i="7" s="1"/>
  <c r="BM78" i="7" s="1"/>
  <c r="BM79" i="7" s="1"/>
  <c r="BM80" i="7" s="1"/>
  <c r="BM81" i="7" s="1"/>
  <c r="BM82" i="7" s="1"/>
  <c r="BM83" i="7" s="1"/>
  <c r="BM84" i="7" s="1"/>
  <c r="BM85" i="7" s="1"/>
  <c r="BM86" i="7" s="1"/>
  <c r="BM87" i="7" s="1"/>
  <c r="BM88" i="7" s="1"/>
  <c r="BM89" i="7" s="1"/>
  <c r="BM90" i="7" s="1"/>
  <c r="BM91" i="7" s="1"/>
  <c r="BM92" i="7" s="1"/>
  <c r="BM93" i="7" s="1"/>
  <c r="BM94" i="7" s="1"/>
  <c r="BM95" i="7" s="1"/>
  <c r="BM96" i="7" s="1"/>
  <c r="BM97" i="7" s="1"/>
  <c r="BM98" i="7" s="1"/>
  <c r="BM99" i="7" s="1"/>
  <c r="BM100" i="7" s="1"/>
  <c r="BM101" i="7" s="1"/>
  <c r="BM102" i="7" s="1"/>
  <c r="BM103" i="7" s="1"/>
  <c r="BM104" i="7" s="1"/>
  <c r="BM105" i="7" s="1"/>
  <c r="BM106" i="7" s="1"/>
  <c r="BM107" i="7" s="1"/>
  <c r="BM108" i="7" s="1"/>
  <c r="BM109" i="7" s="1"/>
  <c r="BM110" i="7" s="1"/>
  <c r="BM111" i="7" s="1"/>
  <c r="BM112" i="7" s="1"/>
  <c r="BM113" i="7" s="1"/>
  <c r="BM114" i="7" s="1"/>
  <c r="BM115" i="7" s="1"/>
  <c r="BM116" i="7" s="1"/>
  <c r="BM118" i="7" s="1"/>
  <c r="BM119" i="7" s="1"/>
  <c r="BM120" i="7" s="1"/>
  <c r="AW17" i="7"/>
  <c r="AW18" i="7" s="1"/>
  <c r="AW19" i="7" s="1"/>
  <c r="AW20" i="7" s="1"/>
  <c r="AW21" i="7" s="1"/>
  <c r="AW22" i="7" s="1"/>
  <c r="AW23" i="7" s="1"/>
  <c r="AW24" i="7" s="1"/>
  <c r="AW25" i="7" s="1"/>
  <c r="AW26" i="7" s="1"/>
  <c r="AW27" i="7" s="1"/>
  <c r="AW28" i="7" s="1"/>
  <c r="AW29" i="7" s="1"/>
  <c r="AW30" i="7" s="1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AW41" i="7" s="1"/>
  <c r="AW42" i="7" s="1"/>
  <c r="AW43" i="7" s="1"/>
  <c r="AW44" i="7" s="1"/>
  <c r="AW45" i="7" s="1"/>
  <c r="AW46" i="7" s="1"/>
  <c r="AW47" i="7" s="1"/>
  <c r="AW48" i="7" s="1"/>
  <c r="AW49" i="7" s="1"/>
  <c r="AW50" i="7" s="1"/>
  <c r="AW51" i="7" s="1"/>
  <c r="AW52" i="7" s="1"/>
  <c r="AW53" i="7" s="1"/>
  <c r="AW54" i="7" s="1"/>
  <c r="AW55" i="7" s="1"/>
  <c r="AW56" i="7" s="1"/>
  <c r="AW57" i="7" s="1"/>
  <c r="AW58" i="7" s="1"/>
  <c r="AW59" i="7" s="1"/>
  <c r="AW60" i="7" s="1"/>
  <c r="AW61" i="7" s="1"/>
  <c r="AW62" i="7" s="1"/>
  <c r="AW63" i="7" s="1"/>
  <c r="AW64" i="7" s="1"/>
  <c r="AW65" i="7" s="1"/>
  <c r="AW66" i="7" s="1"/>
  <c r="AW67" i="7" s="1"/>
  <c r="AW68" i="7" s="1"/>
  <c r="AW69" i="7" s="1"/>
  <c r="AW70" i="7" s="1"/>
  <c r="AW71" i="7" s="1"/>
  <c r="AW72" i="7" s="1"/>
  <c r="AW73" i="7" s="1"/>
  <c r="AW74" i="7" s="1"/>
  <c r="AW75" i="7" s="1"/>
  <c r="AW76" i="7" s="1"/>
  <c r="AW77" i="7" s="1"/>
  <c r="AW78" i="7" s="1"/>
  <c r="AW79" i="7" s="1"/>
  <c r="AW80" i="7" s="1"/>
  <c r="AW81" i="7" s="1"/>
  <c r="AW82" i="7" s="1"/>
  <c r="AW83" i="7" s="1"/>
  <c r="AW84" i="7" s="1"/>
  <c r="AW85" i="7" s="1"/>
  <c r="AW86" i="7" s="1"/>
  <c r="AW87" i="7" s="1"/>
  <c r="AW88" i="7" s="1"/>
  <c r="AW89" i="7" s="1"/>
  <c r="AW90" i="7" s="1"/>
  <c r="AW91" i="7" s="1"/>
  <c r="AW92" i="7" s="1"/>
  <c r="AW93" i="7" s="1"/>
  <c r="AW94" i="7" s="1"/>
  <c r="AW95" i="7" s="1"/>
  <c r="AW96" i="7" s="1"/>
  <c r="AW97" i="7" s="1"/>
  <c r="AW98" i="7" s="1"/>
  <c r="AW99" i="7" s="1"/>
  <c r="AW100" i="7" s="1"/>
  <c r="AW101" i="7" s="1"/>
  <c r="AW102" i="7" s="1"/>
  <c r="AW103" i="7" s="1"/>
  <c r="AW104" i="7" s="1"/>
  <c r="AW105" i="7" s="1"/>
  <c r="AW106" i="7" s="1"/>
  <c r="AW107" i="7" s="1"/>
  <c r="AW108" i="7" s="1"/>
  <c r="AW109" i="7" s="1"/>
  <c r="AW110" i="7" s="1"/>
  <c r="AW111" i="7" s="1"/>
  <c r="AW112" i="7" s="1"/>
  <c r="AW113" i="7" s="1"/>
  <c r="AW114" i="7" s="1"/>
  <c r="AW115" i="7" s="1"/>
  <c r="AW116" i="7" s="1"/>
  <c r="AW118" i="7" s="1"/>
  <c r="AW119" i="7" s="1"/>
  <c r="AW120" i="7" s="1"/>
  <c r="AG17" i="7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AG45" i="7" s="1"/>
  <c r="AG46" i="7" s="1"/>
  <c r="AG47" i="7" s="1"/>
  <c r="AG48" i="7" s="1"/>
  <c r="AG49" i="7" s="1"/>
  <c r="AG50" i="7" s="1"/>
  <c r="AG51" i="7" s="1"/>
  <c r="AG52" i="7" s="1"/>
  <c r="AG53" i="7" s="1"/>
  <c r="AG54" i="7" s="1"/>
  <c r="AG55" i="7" s="1"/>
  <c r="AG56" i="7" s="1"/>
  <c r="AG57" i="7" s="1"/>
  <c r="AG58" i="7" s="1"/>
  <c r="AG59" i="7" s="1"/>
  <c r="AG60" i="7" s="1"/>
  <c r="AG61" i="7" s="1"/>
  <c r="AG62" i="7" s="1"/>
  <c r="AG63" i="7" s="1"/>
  <c r="AG64" i="7" s="1"/>
  <c r="AG65" i="7" s="1"/>
  <c r="AG66" i="7" s="1"/>
  <c r="AG67" i="7" s="1"/>
  <c r="AG68" i="7" s="1"/>
  <c r="AG69" i="7" s="1"/>
  <c r="AG70" i="7" s="1"/>
  <c r="AG71" i="7" s="1"/>
  <c r="AG72" i="7" s="1"/>
  <c r="AG73" i="7" s="1"/>
  <c r="AG74" i="7" s="1"/>
  <c r="AG75" i="7" s="1"/>
  <c r="AG76" i="7" s="1"/>
  <c r="AG77" i="7" s="1"/>
  <c r="AG78" i="7" s="1"/>
  <c r="AG79" i="7" s="1"/>
  <c r="AG80" i="7" s="1"/>
  <c r="AG81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G113" i="7" s="1"/>
  <c r="AG114" i="7" s="1"/>
  <c r="AG115" i="7" s="1"/>
  <c r="AG116" i="7" s="1"/>
  <c r="AG118" i="7" s="1"/>
  <c r="AG119" i="7" s="1"/>
  <c r="AG120" i="7" s="1"/>
  <c r="Q17" i="7"/>
  <c r="Q18" i="7" s="1"/>
  <c r="Q19" i="7" s="1"/>
  <c r="Q20" i="7" s="1"/>
  <c r="Q21" i="7" s="1"/>
  <c r="Q22" i="7" s="1"/>
  <c r="Q23" i="7" s="1"/>
  <c r="Q24" i="7" s="1"/>
  <c r="Q25" i="7" s="1"/>
  <c r="Q26" i="7" s="1"/>
  <c r="Q27" i="7" s="1"/>
  <c r="Q28" i="7" s="1"/>
  <c r="Q29" i="7" s="1"/>
  <c r="Q30" i="7" s="1"/>
  <c r="Q31" i="7" s="1"/>
  <c r="Q32" i="7" s="1"/>
  <c r="Q33" i="7" s="1"/>
  <c r="Q34" i="7" s="1"/>
  <c r="Q35" i="7" s="1"/>
  <c r="Q36" i="7" s="1"/>
  <c r="Q37" i="7" s="1"/>
  <c r="Q38" i="7" s="1"/>
  <c r="Q39" i="7" s="1"/>
  <c r="Q40" i="7" s="1"/>
  <c r="Q41" i="7" s="1"/>
  <c r="Q42" i="7" s="1"/>
  <c r="Q43" i="7" s="1"/>
  <c r="Q44" i="7" s="1"/>
  <c r="Q45" i="7" s="1"/>
  <c r="Q46" i="7" s="1"/>
  <c r="Q47" i="7" s="1"/>
  <c r="Q48" i="7" s="1"/>
  <c r="Q49" i="7" s="1"/>
  <c r="Q50" i="7" s="1"/>
  <c r="Q51" i="7" s="1"/>
  <c r="Q52" i="7" s="1"/>
  <c r="Q53" i="7" s="1"/>
  <c r="Q54" i="7" s="1"/>
  <c r="Q55" i="7" s="1"/>
  <c r="Q56" i="7" s="1"/>
  <c r="Q57" i="7" s="1"/>
  <c r="Q58" i="7" s="1"/>
  <c r="Q59" i="7" s="1"/>
  <c r="Q60" i="7" s="1"/>
  <c r="Q61" i="7" s="1"/>
  <c r="Q62" i="7" s="1"/>
  <c r="Q63" i="7" s="1"/>
  <c r="Q64" i="7" s="1"/>
  <c r="Q65" i="7" s="1"/>
  <c r="Q66" i="7" s="1"/>
  <c r="Q67" i="7" s="1"/>
  <c r="Q68" i="7" s="1"/>
  <c r="Q69" i="7" s="1"/>
  <c r="Q70" i="7" s="1"/>
  <c r="Q71" i="7" s="1"/>
  <c r="Q72" i="7" s="1"/>
  <c r="Q73" i="7" s="1"/>
  <c r="Q74" i="7" s="1"/>
  <c r="Q75" i="7" s="1"/>
  <c r="Q76" i="7" s="1"/>
  <c r="Q77" i="7" s="1"/>
  <c r="Q78" i="7" s="1"/>
  <c r="Q79" i="7" s="1"/>
  <c r="Q80" i="7" s="1"/>
  <c r="Q81" i="7" s="1"/>
  <c r="Q82" i="7" s="1"/>
  <c r="Q83" i="7" s="1"/>
  <c r="Q84" i="7" s="1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Q113" i="7" s="1"/>
  <c r="Q114" i="7" s="1"/>
  <c r="Q115" i="7" s="1"/>
  <c r="Q116" i="7" s="1"/>
  <c r="Q118" i="7" s="1"/>
  <c r="Q119" i="7" s="1"/>
  <c r="Q120" i="7" s="1"/>
  <c r="CV17" i="7"/>
  <c r="CV18" i="7" s="1"/>
  <c r="CV19" i="7" s="1"/>
  <c r="CV20" i="7" s="1"/>
  <c r="CV21" i="7" s="1"/>
  <c r="CV22" i="7" s="1"/>
  <c r="CV23" i="7" s="1"/>
  <c r="CV24" i="7" s="1"/>
  <c r="CV25" i="7" s="1"/>
  <c r="CV26" i="7" s="1"/>
  <c r="CV27" i="7" s="1"/>
  <c r="CV28" i="7" s="1"/>
  <c r="CV29" i="7" s="1"/>
  <c r="CV30" i="7" s="1"/>
  <c r="CV31" i="7" s="1"/>
  <c r="CV32" i="7" s="1"/>
  <c r="CV33" i="7" s="1"/>
  <c r="CV34" i="7" s="1"/>
  <c r="CV35" i="7" s="1"/>
  <c r="CV36" i="7" s="1"/>
  <c r="CV37" i="7" s="1"/>
  <c r="CV38" i="7" s="1"/>
  <c r="CV39" i="7" s="1"/>
  <c r="CV40" i="7" s="1"/>
  <c r="CV41" i="7" s="1"/>
  <c r="CV42" i="7" s="1"/>
  <c r="CV43" i="7" s="1"/>
  <c r="CV44" i="7" s="1"/>
  <c r="CV45" i="7" s="1"/>
  <c r="CV46" i="7" s="1"/>
  <c r="CV47" i="7" s="1"/>
  <c r="CV48" i="7" s="1"/>
  <c r="CV49" i="7" s="1"/>
  <c r="CV50" i="7" s="1"/>
  <c r="CV51" i="7" s="1"/>
  <c r="CV52" i="7" s="1"/>
  <c r="CV53" i="7" s="1"/>
  <c r="CV54" i="7" s="1"/>
  <c r="CV55" i="7" s="1"/>
  <c r="CV56" i="7" s="1"/>
  <c r="CV57" i="7" s="1"/>
  <c r="CV58" i="7" s="1"/>
  <c r="CV59" i="7" s="1"/>
  <c r="CV60" i="7" s="1"/>
  <c r="CV61" i="7" s="1"/>
  <c r="CV62" i="7" s="1"/>
  <c r="CV63" i="7" s="1"/>
  <c r="CV64" i="7" s="1"/>
  <c r="CV65" i="7" s="1"/>
  <c r="CV66" i="7" s="1"/>
  <c r="CV67" i="7" s="1"/>
  <c r="CV68" i="7" s="1"/>
  <c r="CV69" i="7" s="1"/>
  <c r="CV70" i="7" s="1"/>
  <c r="CV71" i="7" s="1"/>
  <c r="CV72" i="7" s="1"/>
  <c r="CV73" i="7" s="1"/>
  <c r="CV74" i="7" s="1"/>
  <c r="CV75" i="7" s="1"/>
  <c r="CV76" i="7" s="1"/>
  <c r="CV77" i="7" s="1"/>
  <c r="CV78" i="7" s="1"/>
  <c r="CV79" i="7" s="1"/>
  <c r="CV80" i="7" s="1"/>
  <c r="CV81" i="7" s="1"/>
  <c r="CV82" i="7" s="1"/>
  <c r="CV83" i="7" s="1"/>
  <c r="CV84" i="7" s="1"/>
  <c r="CV85" i="7" s="1"/>
  <c r="CV86" i="7" s="1"/>
  <c r="CV87" i="7" s="1"/>
  <c r="CV88" i="7" s="1"/>
  <c r="CV89" i="7" s="1"/>
  <c r="CV90" i="7" s="1"/>
  <c r="CV91" i="7" s="1"/>
  <c r="CV92" i="7" s="1"/>
  <c r="CV93" i="7" s="1"/>
  <c r="CV94" i="7" s="1"/>
  <c r="CV95" i="7" s="1"/>
  <c r="CV96" i="7" s="1"/>
  <c r="CV97" i="7" s="1"/>
  <c r="CV98" i="7" s="1"/>
  <c r="CV99" i="7" s="1"/>
  <c r="CV100" i="7" s="1"/>
  <c r="CV101" i="7" s="1"/>
  <c r="CV102" i="7" s="1"/>
  <c r="CV103" i="7" s="1"/>
  <c r="CV104" i="7" s="1"/>
  <c r="CV105" i="7" s="1"/>
  <c r="CV106" i="7" s="1"/>
  <c r="CV107" i="7" s="1"/>
  <c r="CV108" i="7" s="1"/>
  <c r="CV109" i="7" s="1"/>
  <c r="CV110" i="7" s="1"/>
  <c r="CV111" i="7" s="1"/>
  <c r="CV112" i="7" s="1"/>
  <c r="CV113" i="7" s="1"/>
  <c r="CV114" i="7" s="1"/>
  <c r="CV115" i="7" s="1"/>
  <c r="CV116" i="7" s="1"/>
  <c r="CV118" i="7" s="1"/>
  <c r="CV119" i="7" s="1"/>
  <c r="CV120" i="7" s="1"/>
  <c r="CF17" i="7"/>
  <c r="CF18" i="7" s="1"/>
  <c r="CF19" i="7" s="1"/>
  <c r="CF20" i="7" s="1"/>
  <c r="CF21" i="7" s="1"/>
  <c r="CF22" i="7" s="1"/>
  <c r="CF23" i="7" s="1"/>
  <c r="CF24" i="7" s="1"/>
  <c r="CF25" i="7" s="1"/>
  <c r="CF26" i="7" s="1"/>
  <c r="CF27" i="7" s="1"/>
  <c r="CF28" i="7" s="1"/>
  <c r="CF29" i="7" s="1"/>
  <c r="CF30" i="7" s="1"/>
  <c r="CF31" i="7" s="1"/>
  <c r="CF32" i="7" s="1"/>
  <c r="CF33" i="7" s="1"/>
  <c r="CF34" i="7" s="1"/>
  <c r="CF35" i="7" s="1"/>
  <c r="CF36" i="7" s="1"/>
  <c r="CF37" i="7" s="1"/>
  <c r="CF38" i="7" s="1"/>
  <c r="CF39" i="7" s="1"/>
  <c r="CF40" i="7" s="1"/>
  <c r="CF41" i="7" s="1"/>
  <c r="CF42" i="7" s="1"/>
  <c r="CF43" i="7" s="1"/>
  <c r="CF44" i="7" s="1"/>
  <c r="CF45" i="7" s="1"/>
  <c r="CF46" i="7" s="1"/>
  <c r="CF47" i="7" s="1"/>
  <c r="CF48" i="7" s="1"/>
  <c r="CF49" i="7" s="1"/>
  <c r="CF50" i="7" s="1"/>
  <c r="CF51" i="7" s="1"/>
  <c r="CF52" i="7" s="1"/>
  <c r="CF53" i="7" s="1"/>
  <c r="CF54" i="7" s="1"/>
  <c r="CF55" i="7" s="1"/>
  <c r="CF56" i="7" s="1"/>
  <c r="CF57" i="7" s="1"/>
  <c r="CF58" i="7" s="1"/>
  <c r="CF59" i="7" s="1"/>
  <c r="CF60" i="7" s="1"/>
  <c r="CF61" i="7" s="1"/>
  <c r="CF62" i="7" s="1"/>
  <c r="CF63" i="7" s="1"/>
  <c r="CF64" i="7" s="1"/>
  <c r="CF65" i="7" s="1"/>
  <c r="CF66" i="7" s="1"/>
  <c r="CF67" i="7" s="1"/>
  <c r="CF68" i="7" s="1"/>
  <c r="CF69" i="7" s="1"/>
  <c r="CF70" i="7" s="1"/>
  <c r="CF71" i="7" s="1"/>
  <c r="CF72" i="7" s="1"/>
  <c r="CF73" i="7" s="1"/>
  <c r="CF74" i="7" s="1"/>
  <c r="CF75" i="7" s="1"/>
  <c r="CF76" i="7" s="1"/>
  <c r="CF77" i="7" s="1"/>
  <c r="CF78" i="7" s="1"/>
  <c r="CF79" i="7" s="1"/>
  <c r="CF80" i="7" s="1"/>
  <c r="CF81" i="7" s="1"/>
  <c r="CF82" i="7" s="1"/>
  <c r="CF83" i="7" s="1"/>
  <c r="CF84" i="7" s="1"/>
  <c r="CF85" i="7" s="1"/>
  <c r="CF86" i="7" s="1"/>
  <c r="CF87" i="7" s="1"/>
  <c r="CF88" i="7" s="1"/>
  <c r="CF89" i="7" s="1"/>
  <c r="CF90" i="7" s="1"/>
  <c r="CF91" i="7" s="1"/>
  <c r="CF92" i="7" s="1"/>
  <c r="CF93" i="7" s="1"/>
  <c r="CF94" i="7" s="1"/>
  <c r="CF95" i="7" s="1"/>
  <c r="CF96" i="7" s="1"/>
  <c r="CF97" i="7" s="1"/>
  <c r="CF98" i="7" s="1"/>
  <c r="CF99" i="7" s="1"/>
  <c r="CF100" i="7" s="1"/>
  <c r="CF101" i="7" s="1"/>
  <c r="CF102" i="7" s="1"/>
  <c r="CF103" i="7" s="1"/>
  <c r="CF104" i="7" s="1"/>
  <c r="CF105" i="7" s="1"/>
  <c r="CF106" i="7" s="1"/>
  <c r="CF107" i="7" s="1"/>
  <c r="CF108" i="7" s="1"/>
  <c r="CF109" i="7" s="1"/>
  <c r="CF110" i="7" s="1"/>
  <c r="CF111" i="7" s="1"/>
  <c r="CF112" i="7" s="1"/>
  <c r="CF113" i="7" s="1"/>
  <c r="CF114" i="7" s="1"/>
  <c r="CF115" i="7" s="1"/>
  <c r="CF116" i="7" s="1"/>
  <c r="CF118" i="7" s="1"/>
  <c r="CF119" i="7" s="1"/>
  <c r="CF120" i="7" s="1"/>
  <c r="BP17" i="7"/>
  <c r="BP18" i="7" s="1"/>
  <c r="BP19" i="7" s="1"/>
  <c r="BP20" i="7" s="1"/>
  <c r="BP21" i="7" s="1"/>
  <c r="BP22" i="7" s="1"/>
  <c r="BP23" i="7" s="1"/>
  <c r="BP24" i="7" s="1"/>
  <c r="BP25" i="7" s="1"/>
  <c r="BP26" i="7" s="1"/>
  <c r="BP27" i="7" s="1"/>
  <c r="BP28" i="7" s="1"/>
  <c r="BP29" i="7" s="1"/>
  <c r="BP30" i="7" s="1"/>
  <c r="BP31" i="7" s="1"/>
  <c r="BP32" i="7" s="1"/>
  <c r="BP33" i="7" s="1"/>
  <c r="BP34" i="7" s="1"/>
  <c r="BP35" i="7" s="1"/>
  <c r="BP36" i="7" s="1"/>
  <c r="BP37" i="7" s="1"/>
  <c r="BP38" i="7" s="1"/>
  <c r="BP39" i="7" s="1"/>
  <c r="BP40" i="7" s="1"/>
  <c r="BP41" i="7" s="1"/>
  <c r="BP42" i="7" s="1"/>
  <c r="BP43" i="7" s="1"/>
  <c r="BP44" i="7" s="1"/>
  <c r="BP45" i="7" s="1"/>
  <c r="BP46" i="7" s="1"/>
  <c r="BP47" i="7" s="1"/>
  <c r="BP48" i="7" s="1"/>
  <c r="BP49" i="7" s="1"/>
  <c r="BP50" i="7" s="1"/>
  <c r="BP51" i="7" s="1"/>
  <c r="BP52" i="7" s="1"/>
  <c r="BP53" i="7" s="1"/>
  <c r="BP54" i="7" s="1"/>
  <c r="BP55" i="7" s="1"/>
  <c r="BP56" i="7" s="1"/>
  <c r="BP57" i="7" s="1"/>
  <c r="BP58" i="7" s="1"/>
  <c r="BP59" i="7" s="1"/>
  <c r="BP60" i="7" s="1"/>
  <c r="BP61" i="7" s="1"/>
  <c r="BP62" i="7" s="1"/>
  <c r="BP63" i="7" s="1"/>
  <c r="BP64" i="7" s="1"/>
  <c r="BP65" i="7" s="1"/>
  <c r="BP66" i="7" s="1"/>
  <c r="BP67" i="7" s="1"/>
  <c r="BP68" i="7" s="1"/>
  <c r="BP69" i="7" s="1"/>
  <c r="BP70" i="7" s="1"/>
  <c r="BP71" i="7" s="1"/>
  <c r="BP72" i="7" s="1"/>
  <c r="BP73" i="7" s="1"/>
  <c r="BP74" i="7" s="1"/>
  <c r="BP75" i="7" s="1"/>
  <c r="BP76" i="7" s="1"/>
  <c r="BP77" i="7" s="1"/>
  <c r="BP78" i="7" s="1"/>
  <c r="BP79" i="7" s="1"/>
  <c r="BP80" i="7" s="1"/>
  <c r="BP81" i="7" s="1"/>
  <c r="BP82" i="7" s="1"/>
  <c r="BP83" i="7" s="1"/>
  <c r="BP84" i="7" s="1"/>
  <c r="BP85" i="7" s="1"/>
  <c r="BP86" i="7" s="1"/>
  <c r="BP87" i="7" s="1"/>
  <c r="BP88" i="7" s="1"/>
  <c r="BP89" i="7" s="1"/>
  <c r="BP90" i="7" s="1"/>
  <c r="BP91" i="7" s="1"/>
  <c r="BP92" i="7" s="1"/>
  <c r="BP93" i="7" s="1"/>
  <c r="BP94" i="7" s="1"/>
  <c r="BP95" i="7" s="1"/>
  <c r="BP96" i="7" s="1"/>
  <c r="BP97" i="7" s="1"/>
  <c r="BP98" i="7" s="1"/>
  <c r="BP99" i="7" s="1"/>
  <c r="BP100" i="7" s="1"/>
  <c r="BP101" i="7" s="1"/>
  <c r="BP102" i="7" s="1"/>
  <c r="BP103" i="7" s="1"/>
  <c r="BP104" i="7" s="1"/>
  <c r="BP105" i="7" s="1"/>
  <c r="BP106" i="7" s="1"/>
  <c r="BP107" i="7" s="1"/>
  <c r="BP108" i="7" s="1"/>
  <c r="BP109" i="7" s="1"/>
  <c r="BP110" i="7" s="1"/>
  <c r="BP111" i="7" s="1"/>
  <c r="BP112" i="7" s="1"/>
  <c r="BP113" i="7" s="1"/>
  <c r="BP114" i="7" s="1"/>
  <c r="BP115" i="7" s="1"/>
  <c r="BP116" i="7" s="1"/>
  <c r="BP118" i="7" s="1"/>
  <c r="BP119" i="7" s="1"/>
  <c r="BP120" i="7" s="1"/>
  <c r="AZ17" i="7"/>
  <c r="AZ18" i="7" s="1"/>
  <c r="AZ19" i="7" s="1"/>
  <c r="AZ20" i="7" s="1"/>
  <c r="AZ21" i="7" s="1"/>
  <c r="AZ22" i="7" s="1"/>
  <c r="AZ23" i="7" s="1"/>
  <c r="AZ24" i="7" s="1"/>
  <c r="AZ25" i="7" s="1"/>
  <c r="AZ26" i="7" s="1"/>
  <c r="AZ27" i="7" s="1"/>
  <c r="AZ28" i="7" s="1"/>
  <c r="AZ29" i="7" s="1"/>
  <c r="AZ30" i="7" s="1"/>
  <c r="AZ31" i="7" s="1"/>
  <c r="AZ32" i="7" s="1"/>
  <c r="AZ33" i="7" s="1"/>
  <c r="AZ34" i="7" s="1"/>
  <c r="AZ35" i="7" s="1"/>
  <c r="AZ36" i="7" s="1"/>
  <c r="AZ37" i="7" s="1"/>
  <c r="AZ38" i="7" s="1"/>
  <c r="AZ39" i="7" s="1"/>
  <c r="AZ40" i="7" s="1"/>
  <c r="AZ41" i="7" s="1"/>
  <c r="AZ42" i="7" s="1"/>
  <c r="AZ43" i="7" s="1"/>
  <c r="AZ44" i="7" s="1"/>
  <c r="AZ45" i="7" s="1"/>
  <c r="AZ46" i="7" s="1"/>
  <c r="AZ47" i="7" s="1"/>
  <c r="AZ48" i="7" s="1"/>
  <c r="AZ49" i="7" s="1"/>
  <c r="AZ50" i="7" s="1"/>
  <c r="AZ51" i="7" s="1"/>
  <c r="AZ52" i="7" s="1"/>
  <c r="AZ53" i="7" s="1"/>
  <c r="AZ54" i="7" s="1"/>
  <c r="AZ55" i="7" s="1"/>
  <c r="AZ56" i="7" s="1"/>
  <c r="AZ57" i="7" s="1"/>
  <c r="AZ58" i="7" s="1"/>
  <c r="AZ59" i="7" s="1"/>
  <c r="AZ60" i="7" s="1"/>
  <c r="AZ61" i="7" s="1"/>
  <c r="AZ62" i="7" s="1"/>
  <c r="AZ63" i="7" s="1"/>
  <c r="AZ64" i="7" s="1"/>
  <c r="AZ65" i="7" s="1"/>
  <c r="AZ66" i="7" s="1"/>
  <c r="AZ67" i="7" s="1"/>
  <c r="AZ68" i="7" s="1"/>
  <c r="AZ69" i="7" s="1"/>
  <c r="AZ70" i="7" s="1"/>
  <c r="AZ71" i="7" s="1"/>
  <c r="AZ72" i="7" s="1"/>
  <c r="AZ73" i="7" s="1"/>
  <c r="AZ74" i="7" s="1"/>
  <c r="AZ75" i="7" s="1"/>
  <c r="AZ76" i="7" s="1"/>
  <c r="AZ77" i="7" s="1"/>
  <c r="AZ78" i="7" s="1"/>
  <c r="AZ79" i="7" s="1"/>
  <c r="AZ80" i="7" s="1"/>
  <c r="AZ81" i="7" s="1"/>
  <c r="AZ82" i="7" s="1"/>
  <c r="AZ83" i="7" s="1"/>
  <c r="AZ84" i="7" s="1"/>
  <c r="AZ85" i="7" s="1"/>
  <c r="AZ86" i="7" s="1"/>
  <c r="AZ87" i="7" s="1"/>
  <c r="AZ88" i="7" s="1"/>
  <c r="AZ89" i="7" s="1"/>
  <c r="AZ90" i="7" s="1"/>
  <c r="AZ91" i="7" s="1"/>
  <c r="AZ92" i="7" s="1"/>
  <c r="AZ93" i="7" s="1"/>
  <c r="AZ94" i="7" s="1"/>
  <c r="AZ95" i="7" s="1"/>
  <c r="AZ96" i="7" s="1"/>
  <c r="AZ97" i="7" s="1"/>
  <c r="AZ98" i="7" s="1"/>
  <c r="AZ99" i="7" s="1"/>
  <c r="AZ100" i="7" s="1"/>
  <c r="AZ101" i="7" s="1"/>
  <c r="AZ102" i="7" s="1"/>
  <c r="AZ103" i="7" s="1"/>
  <c r="AZ104" i="7" s="1"/>
  <c r="AZ105" i="7" s="1"/>
  <c r="AZ106" i="7" s="1"/>
  <c r="AZ107" i="7" s="1"/>
  <c r="AZ108" i="7" s="1"/>
  <c r="AZ109" i="7" s="1"/>
  <c r="AZ110" i="7" s="1"/>
  <c r="AZ111" i="7" s="1"/>
  <c r="AZ112" i="7" s="1"/>
  <c r="AZ113" i="7" s="1"/>
  <c r="AZ114" i="7" s="1"/>
  <c r="AZ115" i="7" s="1"/>
  <c r="AZ116" i="7" s="1"/>
  <c r="AZ118" i="7" s="1"/>
  <c r="AZ119" i="7" s="1"/>
  <c r="AZ120" i="7" s="1"/>
  <c r="AJ17" i="7"/>
  <c r="AJ18" i="7" s="1"/>
  <c r="AJ19" i="7" s="1"/>
  <c r="AJ20" i="7" s="1"/>
  <c r="AJ21" i="7" s="1"/>
  <c r="AJ22" i="7" s="1"/>
  <c r="AJ23" i="7" s="1"/>
  <c r="AJ24" i="7" s="1"/>
  <c r="AJ25" i="7" s="1"/>
  <c r="AJ26" i="7" s="1"/>
  <c r="AJ27" i="7" s="1"/>
  <c r="AJ28" i="7" s="1"/>
  <c r="AJ29" i="7" s="1"/>
  <c r="AJ30" i="7" s="1"/>
  <c r="AJ31" i="7" s="1"/>
  <c r="AJ32" i="7" s="1"/>
  <c r="AJ33" i="7" s="1"/>
  <c r="AJ34" i="7" s="1"/>
  <c r="AJ35" i="7" s="1"/>
  <c r="AJ36" i="7" s="1"/>
  <c r="AJ37" i="7" s="1"/>
  <c r="AJ38" i="7" s="1"/>
  <c r="AJ39" i="7" s="1"/>
  <c r="AJ40" i="7" s="1"/>
  <c r="AJ41" i="7" s="1"/>
  <c r="AJ42" i="7" s="1"/>
  <c r="AJ43" i="7" s="1"/>
  <c r="AJ44" i="7" s="1"/>
  <c r="AJ45" i="7" s="1"/>
  <c r="AJ46" i="7" s="1"/>
  <c r="AJ47" i="7" s="1"/>
  <c r="AJ48" i="7" s="1"/>
  <c r="AJ49" i="7" s="1"/>
  <c r="AJ50" i="7" s="1"/>
  <c r="AJ51" i="7" s="1"/>
  <c r="AJ52" i="7" s="1"/>
  <c r="AJ53" i="7" s="1"/>
  <c r="AJ54" i="7" s="1"/>
  <c r="AJ55" i="7" s="1"/>
  <c r="AJ56" i="7" s="1"/>
  <c r="AJ57" i="7" s="1"/>
  <c r="AJ58" i="7" s="1"/>
  <c r="AJ59" i="7" s="1"/>
  <c r="AJ60" i="7" s="1"/>
  <c r="AJ61" i="7" s="1"/>
  <c r="AJ62" i="7" s="1"/>
  <c r="AJ63" i="7" s="1"/>
  <c r="AJ64" i="7" s="1"/>
  <c r="AJ65" i="7" s="1"/>
  <c r="AJ66" i="7" s="1"/>
  <c r="AJ67" i="7" s="1"/>
  <c r="AJ68" i="7" s="1"/>
  <c r="AJ69" i="7" s="1"/>
  <c r="AJ70" i="7" s="1"/>
  <c r="AJ71" i="7" s="1"/>
  <c r="AJ72" i="7" s="1"/>
  <c r="AJ73" i="7" s="1"/>
  <c r="AJ74" i="7" s="1"/>
  <c r="AJ75" i="7" s="1"/>
  <c r="AJ76" i="7" s="1"/>
  <c r="AJ77" i="7" s="1"/>
  <c r="AJ78" i="7" s="1"/>
  <c r="AJ79" i="7" s="1"/>
  <c r="AJ80" i="7" s="1"/>
  <c r="AJ81" i="7" s="1"/>
  <c r="AJ82" i="7" s="1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AJ113" i="7" s="1"/>
  <c r="AJ114" i="7" s="1"/>
  <c r="AJ115" i="7" s="1"/>
  <c r="AJ116" i="7" s="1"/>
  <c r="AJ118" i="7" s="1"/>
  <c r="AJ119" i="7" s="1"/>
  <c r="AJ120" i="7" s="1"/>
  <c r="T17" i="7"/>
  <c r="T18" i="7" s="1"/>
  <c r="T19" i="7" s="1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T35" i="7" s="1"/>
  <c r="T36" i="7" s="1"/>
  <c r="T37" i="7" s="1"/>
  <c r="T38" i="7" s="1"/>
  <c r="T39" i="7" s="1"/>
  <c r="T40" i="7" s="1"/>
  <c r="T41" i="7" s="1"/>
  <c r="T42" i="7" s="1"/>
  <c r="T43" i="7" s="1"/>
  <c r="T44" i="7" s="1"/>
  <c r="T45" i="7" s="1"/>
  <c r="T46" i="7" s="1"/>
  <c r="T47" i="7" s="1"/>
  <c r="T48" i="7" s="1"/>
  <c r="T49" i="7" s="1"/>
  <c r="T50" i="7" s="1"/>
  <c r="T51" i="7" s="1"/>
  <c r="T52" i="7" s="1"/>
  <c r="T53" i="7" s="1"/>
  <c r="T54" i="7" s="1"/>
  <c r="T55" i="7" s="1"/>
  <c r="T56" i="7" s="1"/>
  <c r="T57" i="7" s="1"/>
  <c r="T58" i="7" s="1"/>
  <c r="T59" i="7" s="1"/>
  <c r="T60" i="7" s="1"/>
  <c r="T61" i="7" s="1"/>
  <c r="T62" i="7" s="1"/>
  <c r="T63" i="7" s="1"/>
  <c r="T64" i="7" s="1"/>
  <c r="T65" i="7" s="1"/>
  <c r="T66" i="7" s="1"/>
  <c r="T67" i="7" s="1"/>
  <c r="T68" i="7" s="1"/>
  <c r="T69" i="7" s="1"/>
  <c r="T70" i="7" s="1"/>
  <c r="T71" i="7" s="1"/>
  <c r="T72" i="7" s="1"/>
  <c r="T73" i="7" s="1"/>
  <c r="T74" i="7" s="1"/>
  <c r="T75" i="7" s="1"/>
  <c r="T76" i="7" s="1"/>
  <c r="T77" i="7" s="1"/>
  <c r="T78" i="7" s="1"/>
  <c r="T79" i="7" s="1"/>
  <c r="T80" i="7" s="1"/>
  <c r="T81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T113" i="7" s="1"/>
  <c r="T114" i="7" s="1"/>
  <c r="T115" i="7" s="1"/>
  <c r="T116" i="7" s="1"/>
  <c r="T118" i="7" s="1"/>
  <c r="T119" i="7" s="1"/>
  <c r="T120" i="7" s="1"/>
  <c r="D17" i="7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8" i="7" s="1"/>
  <c r="D119" i="7" s="1"/>
  <c r="D120" i="7" s="1"/>
  <c r="CM17" i="7"/>
  <c r="CM18" i="7" s="1"/>
  <c r="CM19" i="7" s="1"/>
  <c r="CM20" i="7" s="1"/>
  <c r="CM21" i="7" s="1"/>
  <c r="CM22" i="7" s="1"/>
  <c r="CM23" i="7" s="1"/>
  <c r="CM24" i="7" s="1"/>
  <c r="CM25" i="7" s="1"/>
  <c r="CM26" i="7" s="1"/>
  <c r="CM27" i="7" s="1"/>
  <c r="CM28" i="7" s="1"/>
  <c r="CM29" i="7" s="1"/>
  <c r="CM30" i="7" s="1"/>
  <c r="CM31" i="7" s="1"/>
  <c r="CM32" i="7" s="1"/>
  <c r="CM33" i="7" s="1"/>
  <c r="CM34" i="7" s="1"/>
  <c r="CM35" i="7" s="1"/>
  <c r="CM36" i="7" s="1"/>
  <c r="CM37" i="7" s="1"/>
  <c r="CM38" i="7" s="1"/>
  <c r="CM39" i="7" s="1"/>
  <c r="CM40" i="7" s="1"/>
  <c r="CM41" i="7" s="1"/>
  <c r="CM42" i="7" s="1"/>
  <c r="CM43" i="7" s="1"/>
  <c r="CM44" i="7" s="1"/>
  <c r="CM45" i="7" s="1"/>
  <c r="CM46" i="7" s="1"/>
  <c r="CM47" i="7" s="1"/>
  <c r="CM48" i="7" s="1"/>
  <c r="CM49" i="7" s="1"/>
  <c r="CM50" i="7" s="1"/>
  <c r="CM51" i="7" s="1"/>
  <c r="CM52" i="7" s="1"/>
  <c r="CM53" i="7" s="1"/>
  <c r="CM54" i="7" s="1"/>
  <c r="CM55" i="7" s="1"/>
  <c r="CM56" i="7" s="1"/>
  <c r="CM57" i="7" s="1"/>
  <c r="CM58" i="7" s="1"/>
  <c r="CM59" i="7" s="1"/>
  <c r="CM60" i="7" s="1"/>
  <c r="CM61" i="7" s="1"/>
  <c r="CM62" i="7" s="1"/>
  <c r="CM63" i="7" s="1"/>
  <c r="CM64" i="7" s="1"/>
  <c r="CM65" i="7" s="1"/>
  <c r="CM66" i="7" s="1"/>
  <c r="CM67" i="7" s="1"/>
  <c r="CM68" i="7" s="1"/>
  <c r="CM69" i="7" s="1"/>
  <c r="CM70" i="7" s="1"/>
  <c r="CM71" i="7" s="1"/>
  <c r="CM72" i="7" s="1"/>
  <c r="CM73" i="7" s="1"/>
  <c r="CM74" i="7" s="1"/>
  <c r="CM75" i="7" s="1"/>
  <c r="CM76" i="7" s="1"/>
  <c r="CM77" i="7" s="1"/>
  <c r="CM78" i="7" s="1"/>
  <c r="CM79" i="7" s="1"/>
  <c r="CM80" i="7" s="1"/>
  <c r="CM81" i="7" s="1"/>
  <c r="CM82" i="7" s="1"/>
  <c r="CM83" i="7" s="1"/>
  <c r="CM84" i="7" s="1"/>
  <c r="CM85" i="7" s="1"/>
  <c r="CM86" i="7" s="1"/>
  <c r="CM87" i="7" s="1"/>
  <c r="CM88" i="7" s="1"/>
  <c r="CM89" i="7" s="1"/>
  <c r="CM90" i="7" s="1"/>
  <c r="CM91" i="7" s="1"/>
  <c r="CM92" i="7" s="1"/>
  <c r="CM93" i="7" s="1"/>
  <c r="CM94" i="7" s="1"/>
  <c r="CM95" i="7" s="1"/>
  <c r="CM96" i="7" s="1"/>
  <c r="CM97" i="7" s="1"/>
  <c r="CM98" i="7" s="1"/>
  <c r="CM99" i="7" s="1"/>
  <c r="CM100" i="7" s="1"/>
  <c r="CM101" i="7" s="1"/>
  <c r="CM102" i="7" s="1"/>
  <c r="CM103" i="7" s="1"/>
  <c r="CM104" i="7" s="1"/>
  <c r="CM105" i="7" s="1"/>
  <c r="CM106" i="7" s="1"/>
  <c r="CM107" i="7" s="1"/>
  <c r="CM108" i="7" s="1"/>
  <c r="CM109" i="7" s="1"/>
  <c r="CM110" i="7" s="1"/>
  <c r="CM111" i="7" s="1"/>
  <c r="CM112" i="7" s="1"/>
  <c r="CM113" i="7" s="1"/>
  <c r="CM114" i="7" s="1"/>
  <c r="CM115" i="7" s="1"/>
  <c r="CM116" i="7" s="1"/>
  <c r="CM118" i="7" s="1"/>
  <c r="CM119" i="7" s="1"/>
  <c r="CM120" i="7" s="1"/>
  <c r="BW17" i="7"/>
  <c r="BW18" i="7" s="1"/>
  <c r="BW19" i="7" s="1"/>
  <c r="BW20" i="7" s="1"/>
  <c r="BW21" i="7" s="1"/>
  <c r="BW22" i="7" s="1"/>
  <c r="BW23" i="7" s="1"/>
  <c r="BW24" i="7" s="1"/>
  <c r="BW25" i="7" s="1"/>
  <c r="BW26" i="7" s="1"/>
  <c r="BW27" i="7" s="1"/>
  <c r="BW28" i="7" s="1"/>
  <c r="BW29" i="7" s="1"/>
  <c r="BW30" i="7" s="1"/>
  <c r="BW31" i="7" s="1"/>
  <c r="BW32" i="7" s="1"/>
  <c r="BW33" i="7" s="1"/>
  <c r="BW34" i="7" s="1"/>
  <c r="BW35" i="7" s="1"/>
  <c r="BW36" i="7" s="1"/>
  <c r="BW37" i="7" s="1"/>
  <c r="BW38" i="7" s="1"/>
  <c r="BW39" i="7" s="1"/>
  <c r="BW40" i="7" s="1"/>
  <c r="BW41" i="7" s="1"/>
  <c r="BW42" i="7" s="1"/>
  <c r="BW43" i="7" s="1"/>
  <c r="BW44" i="7" s="1"/>
  <c r="BW45" i="7" s="1"/>
  <c r="BW46" i="7" s="1"/>
  <c r="BW47" i="7" s="1"/>
  <c r="BW48" i="7" s="1"/>
  <c r="BW49" i="7" s="1"/>
  <c r="BW50" i="7" s="1"/>
  <c r="BW51" i="7" s="1"/>
  <c r="BW52" i="7" s="1"/>
  <c r="BW53" i="7" s="1"/>
  <c r="BW54" i="7" s="1"/>
  <c r="BW55" i="7" s="1"/>
  <c r="BW56" i="7" s="1"/>
  <c r="BW57" i="7" s="1"/>
  <c r="BW58" i="7" s="1"/>
  <c r="BW59" i="7" s="1"/>
  <c r="BW60" i="7" s="1"/>
  <c r="BW61" i="7" s="1"/>
  <c r="BW62" i="7" s="1"/>
  <c r="BW63" i="7" s="1"/>
  <c r="BW64" i="7" s="1"/>
  <c r="BW65" i="7" s="1"/>
  <c r="BW66" i="7" s="1"/>
  <c r="BW67" i="7" s="1"/>
  <c r="BW68" i="7" s="1"/>
  <c r="BW69" i="7" s="1"/>
  <c r="BW70" i="7" s="1"/>
  <c r="BW71" i="7" s="1"/>
  <c r="BW72" i="7" s="1"/>
  <c r="BW73" i="7" s="1"/>
  <c r="BW74" i="7" s="1"/>
  <c r="BW75" i="7" s="1"/>
  <c r="BW76" i="7" s="1"/>
  <c r="BW77" i="7" s="1"/>
  <c r="BW78" i="7" s="1"/>
  <c r="BW79" i="7" s="1"/>
  <c r="BW80" i="7" s="1"/>
  <c r="BW81" i="7" s="1"/>
  <c r="BW82" i="7" s="1"/>
  <c r="BW83" i="7" s="1"/>
  <c r="BW84" i="7" s="1"/>
  <c r="BW85" i="7" s="1"/>
  <c r="BW86" i="7" s="1"/>
  <c r="BW87" i="7" s="1"/>
  <c r="BW88" i="7" s="1"/>
  <c r="BW89" i="7" s="1"/>
  <c r="BW90" i="7" s="1"/>
  <c r="BW91" i="7" s="1"/>
  <c r="BW92" i="7" s="1"/>
  <c r="BW93" i="7" s="1"/>
  <c r="BW94" i="7" s="1"/>
  <c r="BW95" i="7" s="1"/>
  <c r="BW96" i="7" s="1"/>
  <c r="BW97" i="7" s="1"/>
  <c r="BW98" i="7" s="1"/>
  <c r="BW99" i="7" s="1"/>
  <c r="BW100" i="7" s="1"/>
  <c r="BW101" i="7" s="1"/>
  <c r="BW102" i="7" s="1"/>
  <c r="BW103" i="7" s="1"/>
  <c r="BW104" i="7" s="1"/>
  <c r="BW105" i="7" s="1"/>
  <c r="BW106" i="7" s="1"/>
  <c r="BW107" i="7" s="1"/>
  <c r="BW108" i="7" s="1"/>
  <c r="BW109" i="7" s="1"/>
  <c r="BW110" i="7" s="1"/>
  <c r="BW111" i="7" s="1"/>
  <c r="BW112" i="7" s="1"/>
  <c r="BW113" i="7" s="1"/>
  <c r="BW114" i="7" s="1"/>
  <c r="BW115" i="7" s="1"/>
  <c r="BW116" i="7" s="1"/>
  <c r="BW118" i="7" s="1"/>
  <c r="BW119" i="7" s="1"/>
  <c r="BW120" i="7" s="1"/>
  <c r="BG17" i="7"/>
  <c r="BG18" i="7" s="1"/>
  <c r="BG19" i="7" s="1"/>
  <c r="BG20" i="7" s="1"/>
  <c r="BG21" i="7" s="1"/>
  <c r="BG22" i="7" s="1"/>
  <c r="BG23" i="7" s="1"/>
  <c r="BG24" i="7" s="1"/>
  <c r="BG25" i="7" s="1"/>
  <c r="BG26" i="7" s="1"/>
  <c r="BG27" i="7" s="1"/>
  <c r="BG28" i="7" s="1"/>
  <c r="BG29" i="7" s="1"/>
  <c r="BG30" i="7" s="1"/>
  <c r="BG31" i="7" s="1"/>
  <c r="BG32" i="7" s="1"/>
  <c r="BG33" i="7" s="1"/>
  <c r="BG34" i="7" s="1"/>
  <c r="BG35" i="7" s="1"/>
  <c r="BG36" i="7" s="1"/>
  <c r="BG37" i="7" s="1"/>
  <c r="BG38" i="7" s="1"/>
  <c r="BG39" i="7" s="1"/>
  <c r="BG40" i="7" s="1"/>
  <c r="BG41" i="7" s="1"/>
  <c r="BG42" i="7" s="1"/>
  <c r="BG43" i="7" s="1"/>
  <c r="BG44" i="7" s="1"/>
  <c r="BG45" i="7" s="1"/>
  <c r="BG46" i="7" s="1"/>
  <c r="BG47" i="7" s="1"/>
  <c r="BG48" i="7" s="1"/>
  <c r="BG49" i="7" s="1"/>
  <c r="BG50" i="7" s="1"/>
  <c r="BG51" i="7" s="1"/>
  <c r="BG52" i="7" s="1"/>
  <c r="BG53" i="7" s="1"/>
  <c r="BG54" i="7" s="1"/>
  <c r="BG55" i="7" s="1"/>
  <c r="BG56" i="7" s="1"/>
  <c r="BG57" i="7" s="1"/>
  <c r="BG58" i="7" s="1"/>
  <c r="BG59" i="7" s="1"/>
  <c r="BG60" i="7" s="1"/>
  <c r="BG61" i="7" s="1"/>
  <c r="BG62" i="7" s="1"/>
  <c r="BG63" i="7" s="1"/>
  <c r="BG64" i="7" s="1"/>
  <c r="BG65" i="7" s="1"/>
  <c r="BG66" i="7" s="1"/>
  <c r="BG67" i="7" s="1"/>
  <c r="BG68" i="7" s="1"/>
  <c r="BG69" i="7" s="1"/>
  <c r="BG70" i="7" s="1"/>
  <c r="BG71" i="7" s="1"/>
  <c r="BG72" i="7" s="1"/>
  <c r="BG73" i="7" s="1"/>
  <c r="BG74" i="7" s="1"/>
  <c r="BG75" i="7" s="1"/>
  <c r="BG76" i="7" s="1"/>
  <c r="BG77" i="7" s="1"/>
  <c r="BG78" i="7" s="1"/>
  <c r="BG79" i="7" s="1"/>
  <c r="BG80" i="7" s="1"/>
  <c r="BG81" i="7" s="1"/>
  <c r="BG82" i="7" s="1"/>
  <c r="BG83" i="7" s="1"/>
  <c r="BG84" i="7" s="1"/>
  <c r="BG85" i="7" s="1"/>
  <c r="BG86" i="7" s="1"/>
  <c r="BG87" i="7" s="1"/>
  <c r="BG88" i="7" s="1"/>
  <c r="BG89" i="7" s="1"/>
  <c r="BG90" i="7" s="1"/>
  <c r="BG91" i="7" s="1"/>
  <c r="BG92" i="7" s="1"/>
  <c r="BG93" i="7" s="1"/>
  <c r="BG94" i="7" s="1"/>
  <c r="BG95" i="7" s="1"/>
  <c r="BG96" i="7" s="1"/>
  <c r="BG97" i="7" s="1"/>
  <c r="BG98" i="7" s="1"/>
  <c r="BG99" i="7" s="1"/>
  <c r="BG100" i="7" s="1"/>
  <c r="BG101" i="7" s="1"/>
  <c r="BG102" i="7" s="1"/>
  <c r="BG103" i="7" s="1"/>
  <c r="BG104" i="7" s="1"/>
  <c r="BG105" i="7" s="1"/>
  <c r="BG106" i="7" s="1"/>
  <c r="BG107" i="7" s="1"/>
  <c r="BG108" i="7" s="1"/>
  <c r="BG109" i="7" s="1"/>
  <c r="BG110" i="7" s="1"/>
  <c r="BG111" i="7" s="1"/>
  <c r="BG112" i="7" s="1"/>
  <c r="BG113" i="7" s="1"/>
  <c r="BG114" i="7" s="1"/>
  <c r="BG115" i="7" s="1"/>
  <c r="BG116" i="7" s="1"/>
  <c r="BG118" i="7" s="1"/>
  <c r="BG119" i="7" s="1"/>
  <c r="BG120" i="7" s="1"/>
  <c r="AQ17" i="7"/>
  <c r="AQ18" i="7" s="1"/>
  <c r="AQ19" i="7" s="1"/>
  <c r="AQ20" i="7" s="1"/>
  <c r="AQ21" i="7" s="1"/>
  <c r="AQ22" i="7" s="1"/>
  <c r="AQ23" i="7" s="1"/>
  <c r="AQ24" i="7" s="1"/>
  <c r="AQ25" i="7" s="1"/>
  <c r="AQ26" i="7" s="1"/>
  <c r="AQ27" i="7" s="1"/>
  <c r="AQ28" i="7" s="1"/>
  <c r="AQ29" i="7" s="1"/>
  <c r="AQ30" i="7" s="1"/>
  <c r="AQ31" i="7" s="1"/>
  <c r="AQ32" i="7" s="1"/>
  <c r="AQ33" i="7" s="1"/>
  <c r="AQ34" i="7" s="1"/>
  <c r="AQ35" i="7" s="1"/>
  <c r="AQ36" i="7" s="1"/>
  <c r="AQ37" i="7" s="1"/>
  <c r="AQ38" i="7" s="1"/>
  <c r="AQ39" i="7" s="1"/>
  <c r="AQ40" i="7" s="1"/>
  <c r="AQ41" i="7" s="1"/>
  <c r="AQ42" i="7" s="1"/>
  <c r="AQ43" i="7" s="1"/>
  <c r="AQ44" i="7" s="1"/>
  <c r="AQ45" i="7" s="1"/>
  <c r="AQ46" i="7" s="1"/>
  <c r="AQ47" i="7" s="1"/>
  <c r="AQ48" i="7" s="1"/>
  <c r="AQ49" i="7" s="1"/>
  <c r="AQ50" i="7" s="1"/>
  <c r="AQ51" i="7" s="1"/>
  <c r="AQ52" i="7" s="1"/>
  <c r="AQ53" i="7" s="1"/>
  <c r="AQ54" i="7" s="1"/>
  <c r="AQ55" i="7" s="1"/>
  <c r="AQ56" i="7" s="1"/>
  <c r="AQ57" i="7" s="1"/>
  <c r="AQ58" i="7" s="1"/>
  <c r="AQ59" i="7" s="1"/>
  <c r="AQ60" i="7" s="1"/>
  <c r="AQ61" i="7" s="1"/>
  <c r="AQ62" i="7" s="1"/>
  <c r="AQ63" i="7" s="1"/>
  <c r="AQ64" i="7" s="1"/>
  <c r="AQ65" i="7" s="1"/>
  <c r="AQ66" i="7" s="1"/>
  <c r="AQ67" i="7" s="1"/>
  <c r="AQ68" i="7" s="1"/>
  <c r="AQ69" i="7" s="1"/>
  <c r="AQ70" i="7" s="1"/>
  <c r="AQ71" i="7" s="1"/>
  <c r="AQ72" i="7" s="1"/>
  <c r="AQ73" i="7" s="1"/>
  <c r="AQ74" i="7" s="1"/>
  <c r="AQ75" i="7" s="1"/>
  <c r="AQ76" i="7" s="1"/>
  <c r="AQ77" i="7" s="1"/>
  <c r="AQ78" i="7" s="1"/>
  <c r="AQ79" i="7" s="1"/>
  <c r="AQ80" i="7" s="1"/>
  <c r="AQ81" i="7" s="1"/>
  <c r="AQ82" i="7" s="1"/>
  <c r="AQ83" i="7" s="1"/>
  <c r="AQ84" i="7" s="1"/>
  <c r="AQ85" i="7" s="1"/>
  <c r="AQ86" i="7" s="1"/>
  <c r="AQ87" i="7" s="1"/>
  <c r="AQ88" i="7" s="1"/>
  <c r="AQ89" i="7" s="1"/>
  <c r="AQ90" i="7" s="1"/>
  <c r="AQ91" i="7" s="1"/>
  <c r="AQ92" i="7" s="1"/>
  <c r="AQ93" i="7" s="1"/>
  <c r="AQ94" i="7" s="1"/>
  <c r="AQ95" i="7" s="1"/>
  <c r="AQ96" i="7" s="1"/>
  <c r="AQ97" i="7" s="1"/>
  <c r="AQ98" i="7" s="1"/>
  <c r="AQ99" i="7" s="1"/>
  <c r="AQ100" i="7" s="1"/>
  <c r="AQ101" i="7" s="1"/>
  <c r="AQ102" i="7" s="1"/>
  <c r="AQ103" i="7" s="1"/>
  <c r="AQ104" i="7" s="1"/>
  <c r="AQ105" i="7" s="1"/>
  <c r="AQ106" i="7" s="1"/>
  <c r="AQ107" i="7" s="1"/>
  <c r="AQ108" i="7" s="1"/>
  <c r="AQ109" i="7" s="1"/>
  <c r="AQ110" i="7" s="1"/>
  <c r="AQ111" i="7" s="1"/>
  <c r="AQ112" i="7" s="1"/>
  <c r="AQ113" i="7" s="1"/>
  <c r="AQ114" i="7" s="1"/>
  <c r="AQ115" i="7" s="1"/>
  <c r="AQ116" i="7" s="1"/>
  <c r="AQ118" i="7" s="1"/>
  <c r="AQ119" i="7" s="1"/>
  <c r="AQ120" i="7" s="1"/>
  <c r="AA17" i="7"/>
  <c r="AA18" i="7" s="1"/>
  <c r="AA19" i="7" s="1"/>
  <c r="AA20" i="7" s="1"/>
  <c r="AA21" i="7" s="1"/>
  <c r="AA22" i="7" s="1"/>
  <c r="AA23" i="7" s="1"/>
  <c r="AA24" i="7" s="1"/>
  <c r="AA25" i="7" s="1"/>
  <c r="AA26" i="7" s="1"/>
  <c r="AA27" i="7" s="1"/>
  <c r="AA28" i="7" s="1"/>
  <c r="AA29" i="7" s="1"/>
  <c r="AA30" i="7" s="1"/>
  <c r="AA31" i="7" s="1"/>
  <c r="AA32" i="7" s="1"/>
  <c r="AA33" i="7" s="1"/>
  <c r="AA34" i="7" s="1"/>
  <c r="AA35" i="7" s="1"/>
  <c r="AA36" i="7" s="1"/>
  <c r="AA37" i="7" s="1"/>
  <c r="AA38" i="7" s="1"/>
  <c r="AA39" i="7" s="1"/>
  <c r="AA40" i="7" s="1"/>
  <c r="AA41" i="7" s="1"/>
  <c r="AA42" i="7" s="1"/>
  <c r="AA43" i="7" s="1"/>
  <c r="AA44" i="7" s="1"/>
  <c r="AA45" i="7" s="1"/>
  <c r="AA46" i="7" s="1"/>
  <c r="AA47" i="7" s="1"/>
  <c r="AA48" i="7" s="1"/>
  <c r="AA49" i="7" s="1"/>
  <c r="AA50" i="7" s="1"/>
  <c r="AA51" i="7" s="1"/>
  <c r="AA52" i="7" s="1"/>
  <c r="AA53" i="7" s="1"/>
  <c r="AA54" i="7" s="1"/>
  <c r="AA55" i="7" s="1"/>
  <c r="AA56" i="7" s="1"/>
  <c r="AA57" i="7" s="1"/>
  <c r="AA58" i="7" s="1"/>
  <c r="AA59" i="7" s="1"/>
  <c r="AA60" i="7" s="1"/>
  <c r="AA61" i="7" s="1"/>
  <c r="AA62" i="7" s="1"/>
  <c r="AA63" i="7" s="1"/>
  <c r="AA64" i="7" s="1"/>
  <c r="AA65" i="7" s="1"/>
  <c r="AA66" i="7" s="1"/>
  <c r="AA67" i="7" s="1"/>
  <c r="AA68" i="7" s="1"/>
  <c r="AA69" i="7" s="1"/>
  <c r="AA70" i="7" s="1"/>
  <c r="AA71" i="7" s="1"/>
  <c r="AA72" i="7" s="1"/>
  <c r="AA73" i="7" s="1"/>
  <c r="AA74" i="7" s="1"/>
  <c r="AA75" i="7" s="1"/>
  <c r="AA76" i="7" s="1"/>
  <c r="AA77" i="7" s="1"/>
  <c r="AA78" i="7" s="1"/>
  <c r="AA79" i="7" s="1"/>
  <c r="AA80" i="7" s="1"/>
  <c r="AA81" i="7" s="1"/>
  <c r="AA82" i="7" s="1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AA113" i="7" s="1"/>
  <c r="AA114" i="7" s="1"/>
  <c r="AA115" i="7" s="1"/>
  <c r="AA116" i="7" s="1"/>
  <c r="AA118" i="7" s="1"/>
  <c r="AA119" i="7" s="1"/>
  <c r="AA120" i="7" s="1"/>
  <c r="K17" i="7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8" i="7" s="1"/>
  <c r="K119" i="7" s="1"/>
  <c r="K120" i="7" s="1"/>
  <c r="BS17" i="7"/>
  <c r="BS18" i="7" s="1"/>
  <c r="BS19" i="7" s="1"/>
  <c r="BS20" i="7" s="1"/>
  <c r="BS21" i="7" s="1"/>
  <c r="BS22" i="7" s="1"/>
  <c r="BS23" i="7" s="1"/>
  <c r="BS24" i="7" s="1"/>
  <c r="BS25" i="7" s="1"/>
  <c r="BS26" i="7" s="1"/>
  <c r="BS27" i="7" s="1"/>
  <c r="BS28" i="7" s="1"/>
  <c r="BS29" i="7" s="1"/>
  <c r="BS30" i="7" s="1"/>
  <c r="BS31" i="7" s="1"/>
  <c r="BS32" i="7" s="1"/>
  <c r="BS33" i="7" s="1"/>
  <c r="BS34" i="7" s="1"/>
  <c r="BS35" i="7" s="1"/>
  <c r="BS36" i="7" s="1"/>
  <c r="BS37" i="7" s="1"/>
  <c r="BS38" i="7" s="1"/>
  <c r="BS39" i="7" s="1"/>
  <c r="BS40" i="7" s="1"/>
  <c r="BS41" i="7" s="1"/>
  <c r="BS42" i="7" s="1"/>
  <c r="BS43" i="7" s="1"/>
  <c r="BS44" i="7" s="1"/>
  <c r="BS45" i="7" s="1"/>
  <c r="BS46" i="7" s="1"/>
  <c r="BS47" i="7" s="1"/>
  <c r="BS48" i="7" s="1"/>
  <c r="BS49" i="7" s="1"/>
  <c r="BS50" i="7" s="1"/>
  <c r="BS51" i="7" s="1"/>
  <c r="BS52" i="7" s="1"/>
  <c r="BS53" i="7" s="1"/>
  <c r="BS54" i="7" s="1"/>
  <c r="BS55" i="7" s="1"/>
  <c r="BS56" i="7" s="1"/>
  <c r="BS57" i="7" s="1"/>
  <c r="BS58" i="7" s="1"/>
  <c r="BS59" i="7" s="1"/>
  <c r="BS60" i="7" s="1"/>
  <c r="BS61" i="7" s="1"/>
  <c r="BS62" i="7" s="1"/>
  <c r="BS63" i="7" s="1"/>
  <c r="BS64" i="7" s="1"/>
  <c r="BS65" i="7" s="1"/>
  <c r="BS66" i="7" s="1"/>
  <c r="BS67" i="7" s="1"/>
  <c r="BS68" i="7" s="1"/>
  <c r="BS69" i="7" s="1"/>
  <c r="BS70" i="7" s="1"/>
  <c r="BS71" i="7" s="1"/>
  <c r="BS72" i="7" s="1"/>
  <c r="BS73" i="7" s="1"/>
  <c r="BS74" i="7" s="1"/>
  <c r="BS75" i="7" s="1"/>
  <c r="BS76" i="7" s="1"/>
  <c r="BS77" i="7" s="1"/>
  <c r="BS78" i="7" s="1"/>
  <c r="BS79" i="7" s="1"/>
  <c r="BS80" i="7" s="1"/>
  <c r="BS81" i="7" s="1"/>
  <c r="BS82" i="7" s="1"/>
  <c r="BS83" i="7" s="1"/>
  <c r="BS84" i="7" s="1"/>
  <c r="BS85" i="7" s="1"/>
  <c r="BS86" i="7" s="1"/>
  <c r="BS87" i="7" s="1"/>
  <c r="BS88" i="7" s="1"/>
  <c r="BS89" i="7" s="1"/>
  <c r="BS90" i="7" s="1"/>
  <c r="BS91" i="7" s="1"/>
  <c r="BS92" i="7" s="1"/>
  <c r="BS93" i="7" s="1"/>
  <c r="BS94" i="7" s="1"/>
  <c r="BS95" i="7" s="1"/>
  <c r="BS96" i="7" s="1"/>
  <c r="BS97" i="7" s="1"/>
  <c r="BS98" i="7" s="1"/>
  <c r="BS99" i="7" s="1"/>
  <c r="BS100" i="7" s="1"/>
  <c r="BS101" i="7" s="1"/>
  <c r="BS102" i="7" s="1"/>
  <c r="BS103" i="7" s="1"/>
  <c r="BS104" i="7" s="1"/>
  <c r="BS105" i="7" s="1"/>
  <c r="BS106" i="7" s="1"/>
  <c r="BS107" i="7" s="1"/>
  <c r="BS108" i="7" s="1"/>
  <c r="BS109" i="7" s="1"/>
  <c r="BS110" i="7" s="1"/>
  <c r="BS111" i="7" s="1"/>
  <c r="BS112" i="7" s="1"/>
  <c r="BS113" i="7" s="1"/>
  <c r="BS114" i="7" s="1"/>
  <c r="BS115" i="7" s="1"/>
  <c r="BS116" i="7" s="1"/>
  <c r="BS118" i="7" s="1"/>
  <c r="BS119" i="7" s="1"/>
  <c r="BS120" i="7" s="1"/>
  <c r="BC17" i="7"/>
  <c r="BC18" i="7" s="1"/>
  <c r="BC19" i="7" s="1"/>
  <c r="BC20" i="7" s="1"/>
  <c r="BC21" i="7" s="1"/>
  <c r="BC22" i="7" s="1"/>
  <c r="BC23" i="7" s="1"/>
  <c r="BC24" i="7" s="1"/>
  <c r="BC25" i="7" s="1"/>
  <c r="BC26" i="7" s="1"/>
  <c r="BC27" i="7" s="1"/>
  <c r="BC28" i="7" s="1"/>
  <c r="BC29" i="7" s="1"/>
  <c r="BC30" i="7" s="1"/>
  <c r="BC31" i="7" s="1"/>
  <c r="BC32" i="7" s="1"/>
  <c r="BC33" i="7" s="1"/>
  <c r="BC34" i="7" s="1"/>
  <c r="BC35" i="7" s="1"/>
  <c r="BC36" i="7" s="1"/>
  <c r="BC37" i="7" s="1"/>
  <c r="BC38" i="7" s="1"/>
  <c r="BC39" i="7" s="1"/>
  <c r="BC40" i="7" s="1"/>
  <c r="BC41" i="7" s="1"/>
  <c r="BC42" i="7" s="1"/>
  <c r="BC43" i="7" s="1"/>
  <c r="BC44" i="7" s="1"/>
  <c r="BC45" i="7" s="1"/>
  <c r="BC46" i="7" s="1"/>
  <c r="BC47" i="7" s="1"/>
  <c r="BC48" i="7" s="1"/>
  <c r="BC49" i="7" s="1"/>
  <c r="BC50" i="7" s="1"/>
  <c r="BC51" i="7" s="1"/>
  <c r="BC52" i="7" s="1"/>
  <c r="BC53" i="7" s="1"/>
  <c r="BC54" i="7" s="1"/>
  <c r="BC55" i="7" s="1"/>
  <c r="BC56" i="7" s="1"/>
  <c r="BC57" i="7" s="1"/>
  <c r="BC58" i="7" s="1"/>
  <c r="BC59" i="7" s="1"/>
  <c r="BC60" i="7" s="1"/>
  <c r="BC61" i="7" s="1"/>
  <c r="BC62" i="7" s="1"/>
  <c r="BC63" i="7" s="1"/>
  <c r="BC64" i="7" s="1"/>
  <c r="BC65" i="7" s="1"/>
  <c r="BC66" i="7" s="1"/>
  <c r="BC67" i="7" s="1"/>
  <c r="BC68" i="7" s="1"/>
  <c r="BC69" i="7" s="1"/>
  <c r="BC70" i="7" s="1"/>
  <c r="BC71" i="7" s="1"/>
  <c r="BC72" i="7" s="1"/>
  <c r="BC73" i="7" s="1"/>
  <c r="BC74" i="7" s="1"/>
  <c r="BC75" i="7" s="1"/>
  <c r="BC76" i="7" s="1"/>
  <c r="BC77" i="7" s="1"/>
  <c r="BC78" i="7" s="1"/>
  <c r="BC79" i="7" s="1"/>
  <c r="BC80" i="7" s="1"/>
  <c r="BC81" i="7" s="1"/>
  <c r="BC82" i="7" s="1"/>
  <c r="BC83" i="7" s="1"/>
  <c r="BC84" i="7" s="1"/>
  <c r="BC85" i="7" s="1"/>
  <c r="BC86" i="7" s="1"/>
  <c r="BC87" i="7" s="1"/>
  <c r="BC88" i="7" s="1"/>
  <c r="BC89" i="7" s="1"/>
  <c r="BC90" i="7" s="1"/>
  <c r="BC91" i="7" s="1"/>
  <c r="BC92" i="7" s="1"/>
  <c r="BC93" i="7" s="1"/>
  <c r="BC94" i="7" s="1"/>
  <c r="BC95" i="7" s="1"/>
  <c r="BC96" i="7" s="1"/>
  <c r="BC97" i="7" s="1"/>
  <c r="BC98" i="7" s="1"/>
  <c r="BC99" i="7" s="1"/>
  <c r="BC100" i="7" s="1"/>
  <c r="BC101" i="7" s="1"/>
  <c r="BC102" i="7" s="1"/>
  <c r="BC103" i="7" s="1"/>
  <c r="BC104" i="7" s="1"/>
  <c r="BC105" i="7" s="1"/>
  <c r="BC106" i="7" s="1"/>
  <c r="BC107" i="7" s="1"/>
  <c r="BC108" i="7" s="1"/>
  <c r="BC109" i="7" s="1"/>
  <c r="BC110" i="7" s="1"/>
  <c r="BC111" i="7" s="1"/>
  <c r="BC112" i="7" s="1"/>
  <c r="BC113" i="7" s="1"/>
  <c r="BC114" i="7" s="1"/>
  <c r="BC115" i="7" s="1"/>
  <c r="BC116" i="7" s="1"/>
  <c r="BC118" i="7" s="1"/>
  <c r="BC119" i="7" s="1"/>
  <c r="BC120" i="7" s="1"/>
  <c r="AM17" i="7"/>
  <c r="AM18" i="7" s="1"/>
  <c r="AM19" i="7" s="1"/>
  <c r="AM20" i="7" s="1"/>
  <c r="AM21" i="7" s="1"/>
  <c r="AM22" i="7" s="1"/>
  <c r="AM23" i="7" s="1"/>
  <c r="AM24" i="7" s="1"/>
  <c r="AM25" i="7" s="1"/>
  <c r="AM26" i="7" s="1"/>
  <c r="AM27" i="7" s="1"/>
  <c r="AM28" i="7" s="1"/>
  <c r="AM29" i="7" s="1"/>
  <c r="AM30" i="7" s="1"/>
  <c r="AM31" i="7" s="1"/>
  <c r="AM32" i="7" s="1"/>
  <c r="AM33" i="7" s="1"/>
  <c r="AM34" i="7" s="1"/>
  <c r="AM35" i="7" s="1"/>
  <c r="AM36" i="7" s="1"/>
  <c r="AM37" i="7" s="1"/>
  <c r="AM38" i="7" s="1"/>
  <c r="AM39" i="7" s="1"/>
  <c r="AM40" i="7" s="1"/>
  <c r="AM41" i="7" s="1"/>
  <c r="AM42" i="7" s="1"/>
  <c r="AM43" i="7" s="1"/>
  <c r="AM44" i="7" s="1"/>
  <c r="AM45" i="7" s="1"/>
  <c r="AM46" i="7" s="1"/>
  <c r="AM47" i="7" s="1"/>
  <c r="AM48" i="7" s="1"/>
  <c r="AM49" i="7" s="1"/>
  <c r="AM50" i="7" s="1"/>
  <c r="AM51" i="7" s="1"/>
  <c r="AM52" i="7" s="1"/>
  <c r="AM53" i="7" s="1"/>
  <c r="AM54" i="7" s="1"/>
  <c r="AM55" i="7" s="1"/>
  <c r="AM56" i="7" s="1"/>
  <c r="AM57" i="7" s="1"/>
  <c r="AM58" i="7" s="1"/>
  <c r="AM59" i="7" s="1"/>
  <c r="AM60" i="7" s="1"/>
  <c r="AM61" i="7" s="1"/>
  <c r="AM62" i="7" s="1"/>
  <c r="AM63" i="7" s="1"/>
  <c r="AM64" i="7" s="1"/>
  <c r="AM65" i="7" s="1"/>
  <c r="AM66" i="7" s="1"/>
  <c r="AM67" i="7" s="1"/>
  <c r="AM68" i="7" s="1"/>
  <c r="AM69" i="7" s="1"/>
  <c r="AM70" i="7" s="1"/>
  <c r="AM71" i="7" s="1"/>
  <c r="AM72" i="7" s="1"/>
  <c r="AM73" i="7" s="1"/>
  <c r="AM74" i="7" s="1"/>
  <c r="AM75" i="7" s="1"/>
  <c r="AM76" i="7" s="1"/>
  <c r="AM77" i="7" s="1"/>
  <c r="AM78" i="7" s="1"/>
  <c r="AM79" i="7" s="1"/>
  <c r="AM80" i="7" s="1"/>
  <c r="AM81" i="7" s="1"/>
  <c r="AM82" i="7" s="1"/>
  <c r="AM83" i="7" s="1"/>
  <c r="AM84" i="7" s="1"/>
  <c r="AM85" i="7" s="1"/>
  <c r="AM86" i="7" s="1"/>
  <c r="AM87" i="7" s="1"/>
  <c r="AM88" i="7" s="1"/>
  <c r="AM89" i="7" s="1"/>
  <c r="AM90" i="7" s="1"/>
  <c r="AM91" i="7" s="1"/>
  <c r="AM92" i="7" s="1"/>
  <c r="AM93" i="7" s="1"/>
  <c r="AM94" i="7" s="1"/>
  <c r="AM95" i="7" s="1"/>
  <c r="AM96" i="7" s="1"/>
  <c r="AM97" i="7" s="1"/>
  <c r="AM98" i="7" s="1"/>
  <c r="AM99" i="7" s="1"/>
  <c r="AM100" i="7" s="1"/>
  <c r="AM101" i="7" s="1"/>
  <c r="AM102" i="7" s="1"/>
  <c r="AM103" i="7" s="1"/>
  <c r="AM104" i="7" s="1"/>
  <c r="AM105" i="7" s="1"/>
  <c r="AM106" i="7" s="1"/>
  <c r="AM107" i="7" s="1"/>
  <c r="AM108" i="7" s="1"/>
  <c r="AM109" i="7" s="1"/>
  <c r="AM110" i="7" s="1"/>
  <c r="AM111" i="7" s="1"/>
  <c r="AM112" i="7" s="1"/>
  <c r="AM113" i="7" s="1"/>
  <c r="AM114" i="7" s="1"/>
  <c r="AM115" i="7" s="1"/>
  <c r="AM116" i="7" s="1"/>
  <c r="AM118" i="7" s="1"/>
  <c r="AM119" i="7" s="1"/>
  <c r="AM120" i="7" s="1"/>
  <c r="W17" i="7"/>
  <c r="W18" i="7" s="1"/>
  <c r="W19" i="7" s="1"/>
  <c r="W20" i="7" s="1"/>
  <c r="W21" i="7" s="1"/>
  <c r="W22" i="7" s="1"/>
  <c r="W23" i="7" s="1"/>
  <c r="W24" i="7" s="1"/>
  <c r="W25" i="7" s="1"/>
  <c r="W26" i="7" s="1"/>
  <c r="W27" i="7" s="1"/>
  <c r="W28" i="7" s="1"/>
  <c r="W29" i="7" s="1"/>
  <c r="W30" i="7" s="1"/>
  <c r="W31" i="7" s="1"/>
  <c r="W32" i="7" s="1"/>
  <c r="W33" i="7" s="1"/>
  <c r="W34" i="7" s="1"/>
  <c r="W35" i="7" s="1"/>
  <c r="W36" i="7" s="1"/>
  <c r="W37" i="7" s="1"/>
  <c r="W38" i="7" s="1"/>
  <c r="W39" i="7" s="1"/>
  <c r="W40" i="7" s="1"/>
  <c r="W41" i="7" s="1"/>
  <c r="W42" i="7" s="1"/>
  <c r="W43" i="7" s="1"/>
  <c r="W44" i="7" s="1"/>
  <c r="W45" i="7" s="1"/>
  <c r="W46" i="7" s="1"/>
  <c r="W47" i="7" s="1"/>
  <c r="W48" i="7" s="1"/>
  <c r="W49" i="7" s="1"/>
  <c r="W50" i="7" s="1"/>
  <c r="W51" i="7" s="1"/>
  <c r="W52" i="7" s="1"/>
  <c r="W53" i="7" s="1"/>
  <c r="W54" i="7" s="1"/>
  <c r="W55" i="7" s="1"/>
  <c r="W56" i="7" s="1"/>
  <c r="W57" i="7" s="1"/>
  <c r="W58" i="7" s="1"/>
  <c r="W59" i="7" s="1"/>
  <c r="W60" i="7" s="1"/>
  <c r="W61" i="7" s="1"/>
  <c r="W62" i="7" s="1"/>
  <c r="W63" i="7" s="1"/>
  <c r="W64" i="7" s="1"/>
  <c r="W65" i="7" s="1"/>
  <c r="W66" i="7" s="1"/>
  <c r="W67" i="7" s="1"/>
  <c r="W68" i="7" s="1"/>
  <c r="W69" i="7" s="1"/>
  <c r="W70" i="7" s="1"/>
  <c r="W71" i="7" s="1"/>
  <c r="W72" i="7" s="1"/>
  <c r="W73" i="7" s="1"/>
  <c r="W74" i="7" s="1"/>
  <c r="W75" i="7" s="1"/>
  <c r="W76" i="7" s="1"/>
  <c r="W77" i="7" s="1"/>
  <c r="W78" i="7" s="1"/>
  <c r="W79" i="7" s="1"/>
  <c r="W80" i="7" s="1"/>
  <c r="W81" i="7" s="1"/>
  <c r="W82" i="7" s="1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W113" i="7" s="1"/>
  <c r="W114" i="7" s="1"/>
  <c r="W115" i="7" s="1"/>
  <c r="W116" i="7" s="1"/>
  <c r="W118" i="7" s="1"/>
  <c r="W119" i="7" s="1"/>
  <c r="W120" i="7" s="1"/>
  <c r="G17" i="7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8" i="7" s="1"/>
  <c r="G119" i="7" s="1"/>
  <c r="G120" i="7" s="1"/>
  <c r="CX17" i="7"/>
  <c r="CX18" i="7" s="1"/>
  <c r="CX19" i="7" s="1"/>
  <c r="CX20" i="7" s="1"/>
  <c r="CX21" i="7" s="1"/>
  <c r="CX22" i="7" s="1"/>
  <c r="CX23" i="7" s="1"/>
  <c r="CX24" i="7" s="1"/>
  <c r="CX25" i="7" s="1"/>
  <c r="CX26" i="7" s="1"/>
  <c r="CX27" i="7" s="1"/>
  <c r="CX28" i="7" s="1"/>
  <c r="CX29" i="7" s="1"/>
  <c r="CX30" i="7" s="1"/>
  <c r="CX31" i="7" s="1"/>
  <c r="CX32" i="7" s="1"/>
  <c r="CX33" i="7" s="1"/>
  <c r="CX34" i="7" s="1"/>
  <c r="CX35" i="7" s="1"/>
  <c r="CX36" i="7" s="1"/>
  <c r="CX37" i="7" s="1"/>
  <c r="CX38" i="7" s="1"/>
  <c r="CX39" i="7" s="1"/>
  <c r="CX40" i="7" s="1"/>
  <c r="CX41" i="7" s="1"/>
  <c r="CX42" i="7" s="1"/>
  <c r="CX43" i="7" s="1"/>
  <c r="CX44" i="7" s="1"/>
  <c r="CX45" i="7" s="1"/>
  <c r="CX46" i="7" s="1"/>
  <c r="CX47" i="7" s="1"/>
  <c r="CX48" i="7" s="1"/>
  <c r="CX49" i="7" s="1"/>
  <c r="CX50" i="7" s="1"/>
  <c r="CX51" i="7" s="1"/>
  <c r="CX52" i="7" s="1"/>
  <c r="CX53" i="7" s="1"/>
  <c r="CX54" i="7" s="1"/>
  <c r="CX55" i="7" s="1"/>
  <c r="CX56" i="7" s="1"/>
  <c r="CX57" i="7" s="1"/>
  <c r="CX58" i="7" s="1"/>
  <c r="CX59" i="7" s="1"/>
  <c r="CX60" i="7" s="1"/>
  <c r="CX61" i="7" s="1"/>
  <c r="CX62" i="7" s="1"/>
  <c r="CX63" i="7" s="1"/>
  <c r="CX64" i="7" s="1"/>
  <c r="CX65" i="7" s="1"/>
  <c r="CX66" i="7" s="1"/>
  <c r="CX67" i="7" s="1"/>
  <c r="CX68" i="7" s="1"/>
  <c r="CX69" i="7" s="1"/>
  <c r="CX70" i="7" s="1"/>
  <c r="CX71" i="7" s="1"/>
  <c r="CX72" i="7" s="1"/>
  <c r="CX73" i="7" s="1"/>
  <c r="CX74" i="7" s="1"/>
  <c r="CX75" i="7" s="1"/>
  <c r="CX76" i="7" s="1"/>
  <c r="CX77" i="7" s="1"/>
  <c r="CX78" i="7" s="1"/>
  <c r="CX79" i="7" s="1"/>
  <c r="CX80" i="7" s="1"/>
  <c r="CX81" i="7" s="1"/>
  <c r="CX82" i="7" s="1"/>
  <c r="CX83" i="7" s="1"/>
  <c r="CX84" i="7" s="1"/>
  <c r="CX85" i="7" s="1"/>
  <c r="CX86" i="7" s="1"/>
  <c r="CX87" i="7" s="1"/>
  <c r="CX88" i="7" s="1"/>
  <c r="CX89" i="7" s="1"/>
  <c r="CX90" i="7" s="1"/>
  <c r="CX91" i="7" s="1"/>
  <c r="CX92" i="7" s="1"/>
  <c r="CX93" i="7" s="1"/>
  <c r="CX94" i="7" s="1"/>
  <c r="CX95" i="7" s="1"/>
  <c r="CX96" i="7" s="1"/>
  <c r="CX97" i="7" s="1"/>
  <c r="CX98" i="7" s="1"/>
  <c r="CX99" i="7" s="1"/>
  <c r="CX100" i="7" s="1"/>
  <c r="CX101" i="7" s="1"/>
  <c r="CX102" i="7" s="1"/>
  <c r="CX103" i="7" s="1"/>
  <c r="CX104" i="7" s="1"/>
  <c r="CX105" i="7" s="1"/>
  <c r="CX106" i="7" s="1"/>
  <c r="CX107" i="7" s="1"/>
  <c r="CX108" i="7" s="1"/>
  <c r="CX109" i="7" s="1"/>
  <c r="CX110" i="7" s="1"/>
  <c r="CX111" i="7" s="1"/>
  <c r="CX112" i="7" s="1"/>
  <c r="CX113" i="7" s="1"/>
  <c r="CX114" i="7" s="1"/>
  <c r="CX115" i="7" s="1"/>
  <c r="CX116" i="7" s="1"/>
  <c r="CX118" i="7" s="1"/>
  <c r="CX119" i="7" s="1"/>
  <c r="CX120" i="7" s="1"/>
  <c r="CH17" i="7"/>
  <c r="CH18" i="7" s="1"/>
  <c r="CH19" i="7" s="1"/>
  <c r="CH20" i="7" s="1"/>
  <c r="CH21" i="7" s="1"/>
  <c r="CH22" i="7" s="1"/>
  <c r="CH23" i="7" s="1"/>
  <c r="CH24" i="7" s="1"/>
  <c r="CH25" i="7" s="1"/>
  <c r="CH26" i="7" s="1"/>
  <c r="CH27" i="7" s="1"/>
  <c r="CH28" i="7" s="1"/>
  <c r="CH29" i="7" s="1"/>
  <c r="CH30" i="7" s="1"/>
  <c r="CH31" i="7" s="1"/>
  <c r="CH32" i="7" s="1"/>
  <c r="CH33" i="7" s="1"/>
  <c r="CH34" i="7" s="1"/>
  <c r="CH35" i="7" s="1"/>
  <c r="CH36" i="7" s="1"/>
  <c r="CH37" i="7" s="1"/>
  <c r="CH38" i="7" s="1"/>
  <c r="CH39" i="7" s="1"/>
  <c r="CH40" i="7" s="1"/>
  <c r="CH41" i="7" s="1"/>
  <c r="CH42" i="7" s="1"/>
  <c r="CH43" i="7" s="1"/>
  <c r="CH44" i="7" s="1"/>
  <c r="CH45" i="7" s="1"/>
  <c r="CH46" i="7" s="1"/>
  <c r="CH47" i="7" s="1"/>
  <c r="CH48" i="7" s="1"/>
  <c r="CH49" i="7" s="1"/>
  <c r="CH50" i="7" s="1"/>
  <c r="CH51" i="7" s="1"/>
  <c r="CH52" i="7" s="1"/>
  <c r="CH53" i="7" s="1"/>
  <c r="CH54" i="7" s="1"/>
  <c r="CH55" i="7" s="1"/>
  <c r="CH56" i="7" s="1"/>
  <c r="CH57" i="7" s="1"/>
  <c r="CH58" i="7" s="1"/>
  <c r="CH59" i="7" s="1"/>
  <c r="CH60" i="7" s="1"/>
  <c r="CH61" i="7" s="1"/>
  <c r="CH62" i="7" s="1"/>
  <c r="CH63" i="7" s="1"/>
  <c r="CH64" i="7" s="1"/>
  <c r="CH65" i="7" s="1"/>
  <c r="CH66" i="7" s="1"/>
  <c r="CH67" i="7" s="1"/>
  <c r="CH68" i="7" s="1"/>
  <c r="CH69" i="7" s="1"/>
  <c r="CH70" i="7" s="1"/>
  <c r="CH71" i="7" s="1"/>
  <c r="CH72" i="7" s="1"/>
  <c r="CH73" i="7" s="1"/>
  <c r="CH74" i="7" s="1"/>
  <c r="CH75" i="7" s="1"/>
  <c r="CH76" i="7" s="1"/>
  <c r="CH77" i="7" s="1"/>
  <c r="CH78" i="7" s="1"/>
  <c r="CH79" i="7" s="1"/>
  <c r="CH80" i="7" s="1"/>
  <c r="CH81" i="7" s="1"/>
  <c r="CH82" i="7" s="1"/>
  <c r="CH83" i="7" s="1"/>
  <c r="CH84" i="7" s="1"/>
  <c r="CH85" i="7" s="1"/>
  <c r="CH86" i="7" s="1"/>
  <c r="CH87" i="7" s="1"/>
  <c r="CH88" i="7" s="1"/>
  <c r="CH89" i="7" s="1"/>
  <c r="CH90" i="7" s="1"/>
  <c r="CH91" i="7" s="1"/>
  <c r="CH92" i="7" s="1"/>
  <c r="CH93" i="7" s="1"/>
  <c r="CH94" i="7" s="1"/>
  <c r="CH95" i="7" s="1"/>
  <c r="CH96" i="7" s="1"/>
  <c r="CH97" i="7" s="1"/>
  <c r="CH98" i="7" s="1"/>
  <c r="CH99" i="7" s="1"/>
  <c r="CH100" i="7" s="1"/>
  <c r="CH101" i="7" s="1"/>
  <c r="CH102" i="7" s="1"/>
  <c r="CH103" i="7" s="1"/>
  <c r="CH104" i="7" s="1"/>
  <c r="CH105" i="7" s="1"/>
  <c r="CH106" i="7" s="1"/>
  <c r="CH107" i="7" s="1"/>
  <c r="CH108" i="7" s="1"/>
  <c r="CH109" i="7" s="1"/>
  <c r="CH110" i="7" s="1"/>
  <c r="CH111" i="7" s="1"/>
  <c r="CH112" i="7" s="1"/>
  <c r="CH113" i="7" s="1"/>
  <c r="CH114" i="7" s="1"/>
  <c r="CH115" i="7" s="1"/>
  <c r="CH116" i="7" s="1"/>
  <c r="CH118" i="7" s="1"/>
  <c r="CH119" i="7" s="1"/>
  <c r="CH120" i="7" s="1"/>
  <c r="BR17" i="7"/>
  <c r="BR18" i="7" s="1"/>
  <c r="BR19" i="7" s="1"/>
  <c r="BR20" i="7" s="1"/>
  <c r="BR21" i="7" s="1"/>
  <c r="BR22" i="7" s="1"/>
  <c r="BR23" i="7" s="1"/>
  <c r="BR24" i="7" s="1"/>
  <c r="BR25" i="7" s="1"/>
  <c r="BR26" i="7" s="1"/>
  <c r="BR27" i="7" s="1"/>
  <c r="BR28" i="7" s="1"/>
  <c r="BR29" i="7" s="1"/>
  <c r="BR30" i="7" s="1"/>
  <c r="BR31" i="7" s="1"/>
  <c r="BR32" i="7" s="1"/>
  <c r="BR33" i="7" s="1"/>
  <c r="BR34" i="7" s="1"/>
  <c r="BR35" i="7" s="1"/>
  <c r="BR36" i="7" s="1"/>
  <c r="BR37" i="7" s="1"/>
  <c r="BR38" i="7" s="1"/>
  <c r="BR39" i="7" s="1"/>
  <c r="BR40" i="7" s="1"/>
  <c r="BR41" i="7" s="1"/>
  <c r="BR42" i="7" s="1"/>
  <c r="BR43" i="7" s="1"/>
  <c r="BR44" i="7" s="1"/>
  <c r="BR45" i="7" s="1"/>
  <c r="BR46" i="7" s="1"/>
  <c r="BR47" i="7" s="1"/>
  <c r="BR48" i="7" s="1"/>
  <c r="BR49" i="7" s="1"/>
  <c r="BR50" i="7" s="1"/>
  <c r="BR51" i="7" s="1"/>
  <c r="BR52" i="7" s="1"/>
  <c r="BR53" i="7" s="1"/>
  <c r="BR54" i="7" s="1"/>
  <c r="BR55" i="7" s="1"/>
  <c r="BR56" i="7" s="1"/>
  <c r="BR57" i="7" s="1"/>
  <c r="BR58" i="7" s="1"/>
  <c r="BR59" i="7" s="1"/>
  <c r="BR60" i="7" s="1"/>
  <c r="BR61" i="7" s="1"/>
  <c r="BR62" i="7" s="1"/>
  <c r="BR63" i="7" s="1"/>
  <c r="BR64" i="7" s="1"/>
  <c r="BR65" i="7" s="1"/>
  <c r="BR66" i="7" s="1"/>
  <c r="BR67" i="7" s="1"/>
  <c r="BR68" i="7" s="1"/>
  <c r="BR69" i="7" s="1"/>
  <c r="BR70" i="7" s="1"/>
  <c r="BR71" i="7" s="1"/>
  <c r="BR72" i="7" s="1"/>
  <c r="BR73" i="7" s="1"/>
  <c r="BR74" i="7" s="1"/>
  <c r="BR75" i="7" s="1"/>
  <c r="BR76" i="7" s="1"/>
  <c r="BR77" i="7" s="1"/>
  <c r="BR78" i="7" s="1"/>
  <c r="BR79" i="7" s="1"/>
  <c r="BR80" i="7" s="1"/>
  <c r="BR81" i="7" s="1"/>
  <c r="BR82" i="7" s="1"/>
  <c r="BR83" i="7" s="1"/>
  <c r="BR84" i="7" s="1"/>
  <c r="BR85" i="7" s="1"/>
  <c r="BR86" i="7" s="1"/>
  <c r="BR87" i="7" s="1"/>
  <c r="BR88" i="7" s="1"/>
  <c r="BR89" i="7" s="1"/>
  <c r="BR90" i="7" s="1"/>
  <c r="BR91" i="7" s="1"/>
  <c r="BR92" i="7" s="1"/>
  <c r="BR93" i="7" s="1"/>
  <c r="BR94" i="7" s="1"/>
  <c r="BR95" i="7" s="1"/>
  <c r="BR96" i="7" s="1"/>
  <c r="BR97" i="7" s="1"/>
  <c r="BR98" i="7" s="1"/>
  <c r="BR99" i="7" s="1"/>
  <c r="BR100" i="7" s="1"/>
  <c r="BR101" i="7" s="1"/>
  <c r="BR102" i="7" s="1"/>
  <c r="BR103" i="7" s="1"/>
  <c r="BR104" i="7" s="1"/>
  <c r="BR105" i="7" s="1"/>
  <c r="BR106" i="7" s="1"/>
  <c r="BR107" i="7" s="1"/>
  <c r="BR108" i="7" s="1"/>
  <c r="BR109" i="7" s="1"/>
  <c r="BR110" i="7" s="1"/>
  <c r="BR111" i="7" s="1"/>
  <c r="BR112" i="7" s="1"/>
  <c r="BR113" i="7" s="1"/>
  <c r="BR114" i="7" s="1"/>
  <c r="BR115" i="7" s="1"/>
  <c r="BR116" i="7" s="1"/>
  <c r="BR118" i="7" s="1"/>
  <c r="BR119" i="7" s="1"/>
  <c r="BR120" i="7" s="1"/>
  <c r="BB17" i="7"/>
  <c r="BB18" i="7" s="1"/>
  <c r="BB19" i="7" s="1"/>
  <c r="BB20" i="7" s="1"/>
  <c r="BB21" i="7" s="1"/>
  <c r="BB22" i="7" s="1"/>
  <c r="BB23" i="7" s="1"/>
  <c r="BB24" i="7" s="1"/>
  <c r="BB25" i="7" s="1"/>
  <c r="BB26" i="7" s="1"/>
  <c r="BB27" i="7" s="1"/>
  <c r="BB28" i="7" s="1"/>
  <c r="BB29" i="7" s="1"/>
  <c r="BB30" i="7" s="1"/>
  <c r="BB31" i="7" s="1"/>
  <c r="BB32" i="7" s="1"/>
  <c r="BB33" i="7" s="1"/>
  <c r="BB34" i="7" s="1"/>
  <c r="BB35" i="7" s="1"/>
  <c r="BB36" i="7" s="1"/>
  <c r="BB37" i="7" s="1"/>
  <c r="BB38" i="7" s="1"/>
  <c r="BB39" i="7" s="1"/>
  <c r="BB40" i="7" s="1"/>
  <c r="BB41" i="7" s="1"/>
  <c r="BB42" i="7" s="1"/>
  <c r="BB43" i="7" s="1"/>
  <c r="BB44" i="7" s="1"/>
  <c r="BB45" i="7" s="1"/>
  <c r="BB46" i="7" s="1"/>
  <c r="BB47" i="7" s="1"/>
  <c r="BB48" i="7" s="1"/>
  <c r="BB49" i="7" s="1"/>
  <c r="BB50" i="7" s="1"/>
  <c r="BB51" i="7" s="1"/>
  <c r="BB52" i="7" s="1"/>
  <c r="BB53" i="7" s="1"/>
  <c r="BB54" i="7" s="1"/>
  <c r="BB55" i="7" s="1"/>
  <c r="BB56" i="7" s="1"/>
  <c r="BB57" i="7" s="1"/>
  <c r="BB58" i="7" s="1"/>
  <c r="BB59" i="7" s="1"/>
  <c r="BB60" i="7" s="1"/>
  <c r="BB61" i="7" s="1"/>
  <c r="BB62" i="7" s="1"/>
  <c r="BB63" i="7" s="1"/>
  <c r="BB64" i="7" s="1"/>
  <c r="BB65" i="7" s="1"/>
  <c r="BB66" i="7" s="1"/>
  <c r="BB67" i="7" s="1"/>
  <c r="BB68" i="7" s="1"/>
  <c r="BB69" i="7" s="1"/>
  <c r="BB70" i="7" s="1"/>
  <c r="BB71" i="7" s="1"/>
  <c r="BB72" i="7" s="1"/>
  <c r="BB73" i="7" s="1"/>
  <c r="BB74" i="7" s="1"/>
  <c r="BB75" i="7" s="1"/>
  <c r="BB76" i="7" s="1"/>
  <c r="BB77" i="7" s="1"/>
  <c r="BB78" i="7" s="1"/>
  <c r="BB79" i="7" s="1"/>
  <c r="BB80" i="7" s="1"/>
  <c r="BB81" i="7" s="1"/>
  <c r="BB82" i="7" s="1"/>
  <c r="BB83" i="7" s="1"/>
  <c r="BB84" i="7" s="1"/>
  <c r="BB85" i="7" s="1"/>
  <c r="BB86" i="7" s="1"/>
  <c r="BB87" i="7" s="1"/>
  <c r="BB88" i="7" s="1"/>
  <c r="BB89" i="7" s="1"/>
  <c r="BB90" i="7" s="1"/>
  <c r="BB91" i="7" s="1"/>
  <c r="BB92" i="7" s="1"/>
  <c r="BB93" i="7" s="1"/>
  <c r="BB94" i="7" s="1"/>
  <c r="BB95" i="7" s="1"/>
  <c r="BB96" i="7" s="1"/>
  <c r="BB97" i="7" s="1"/>
  <c r="BB98" i="7" s="1"/>
  <c r="BB99" i="7" s="1"/>
  <c r="BB100" i="7" s="1"/>
  <c r="BB101" i="7" s="1"/>
  <c r="BB102" i="7" s="1"/>
  <c r="BB103" i="7" s="1"/>
  <c r="BB104" i="7" s="1"/>
  <c r="BB105" i="7" s="1"/>
  <c r="BB106" i="7" s="1"/>
  <c r="BB107" i="7" s="1"/>
  <c r="BB108" i="7" s="1"/>
  <c r="BB109" i="7" s="1"/>
  <c r="BB110" i="7" s="1"/>
  <c r="BB111" i="7" s="1"/>
  <c r="BB112" i="7" s="1"/>
  <c r="BB113" i="7" s="1"/>
  <c r="BB114" i="7" s="1"/>
  <c r="BB115" i="7" s="1"/>
  <c r="BB116" i="7" s="1"/>
  <c r="BB118" i="7" s="1"/>
  <c r="BB119" i="7" s="1"/>
  <c r="BB120" i="7" s="1"/>
  <c r="AL17" i="7"/>
  <c r="AL18" i="7" s="1"/>
  <c r="AL19" i="7" s="1"/>
  <c r="AL20" i="7" s="1"/>
  <c r="AL21" i="7" s="1"/>
  <c r="AL22" i="7" s="1"/>
  <c r="AL23" i="7" s="1"/>
  <c r="AL24" i="7" s="1"/>
  <c r="AL25" i="7" s="1"/>
  <c r="AL26" i="7" s="1"/>
  <c r="AL27" i="7" s="1"/>
  <c r="AL28" i="7" s="1"/>
  <c r="AL29" i="7" s="1"/>
  <c r="AL30" i="7" s="1"/>
  <c r="AL31" i="7" s="1"/>
  <c r="AL32" i="7" s="1"/>
  <c r="AL33" i="7" s="1"/>
  <c r="AL34" i="7" s="1"/>
  <c r="AL35" i="7" s="1"/>
  <c r="AL36" i="7" s="1"/>
  <c r="AL37" i="7" s="1"/>
  <c r="AL38" i="7" s="1"/>
  <c r="AL39" i="7" s="1"/>
  <c r="AL40" i="7" s="1"/>
  <c r="AL41" i="7" s="1"/>
  <c r="AL42" i="7" s="1"/>
  <c r="AL43" i="7" s="1"/>
  <c r="AL44" i="7" s="1"/>
  <c r="AL45" i="7" s="1"/>
  <c r="AL46" i="7" s="1"/>
  <c r="AL47" i="7" s="1"/>
  <c r="AL48" i="7" s="1"/>
  <c r="AL49" i="7" s="1"/>
  <c r="AL50" i="7" s="1"/>
  <c r="AL51" i="7" s="1"/>
  <c r="AL52" i="7" s="1"/>
  <c r="AL53" i="7" s="1"/>
  <c r="AL54" i="7" s="1"/>
  <c r="AL55" i="7" s="1"/>
  <c r="AL56" i="7" s="1"/>
  <c r="AL57" i="7" s="1"/>
  <c r="AL58" i="7" s="1"/>
  <c r="AL59" i="7" s="1"/>
  <c r="AL60" i="7" s="1"/>
  <c r="AL61" i="7" s="1"/>
  <c r="AL62" i="7" s="1"/>
  <c r="AL63" i="7" s="1"/>
  <c r="AL64" i="7" s="1"/>
  <c r="AL65" i="7" s="1"/>
  <c r="AL66" i="7" s="1"/>
  <c r="AL67" i="7" s="1"/>
  <c r="AL68" i="7" s="1"/>
  <c r="AL69" i="7" s="1"/>
  <c r="AL70" i="7" s="1"/>
  <c r="AL71" i="7" s="1"/>
  <c r="AL72" i="7" s="1"/>
  <c r="AL73" i="7" s="1"/>
  <c r="AL74" i="7" s="1"/>
  <c r="AL75" i="7" s="1"/>
  <c r="AL76" i="7" s="1"/>
  <c r="AL77" i="7" s="1"/>
  <c r="AL78" i="7" s="1"/>
  <c r="AL79" i="7" s="1"/>
  <c r="AL80" i="7" s="1"/>
  <c r="AL81" i="7" s="1"/>
  <c r="AL82" i="7" s="1"/>
  <c r="AL83" i="7" s="1"/>
  <c r="AL84" i="7" s="1"/>
  <c r="AL85" i="7" s="1"/>
  <c r="AL86" i="7" s="1"/>
  <c r="AL87" i="7" s="1"/>
  <c r="AL88" i="7" s="1"/>
  <c r="AL89" i="7" s="1"/>
  <c r="AL90" i="7" s="1"/>
  <c r="AL91" i="7" s="1"/>
  <c r="AL92" i="7" s="1"/>
  <c r="AL93" i="7" s="1"/>
  <c r="AL94" i="7" s="1"/>
  <c r="AL95" i="7" s="1"/>
  <c r="AL96" i="7" s="1"/>
  <c r="AL97" i="7" s="1"/>
  <c r="AL98" i="7" s="1"/>
  <c r="AL99" i="7" s="1"/>
  <c r="AL100" i="7" s="1"/>
  <c r="AL101" i="7" s="1"/>
  <c r="AL102" i="7" s="1"/>
  <c r="AL103" i="7" s="1"/>
  <c r="AL104" i="7" s="1"/>
  <c r="AL105" i="7" s="1"/>
  <c r="AL106" i="7" s="1"/>
  <c r="AL107" i="7" s="1"/>
  <c r="AL108" i="7" s="1"/>
  <c r="AL109" i="7" s="1"/>
  <c r="AL110" i="7" s="1"/>
  <c r="AL111" i="7" s="1"/>
  <c r="AL112" i="7" s="1"/>
  <c r="AL113" i="7" s="1"/>
  <c r="AL114" i="7" s="1"/>
  <c r="AL115" i="7" s="1"/>
  <c r="AL116" i="7" s="1"/>
  <c r="AL118" i="7" s="1"/>
  <c r="AL119" i="7" s="1"/>
  <c r="AL120" i="7" s="1"/>
  <c r="V17" i="7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V70" i="7" s="1"/>
  <c r="V71" i="7" s="1"/>
  <c r="V72" i="7" s="1"/>
  <c r="V73" i="7" s="1"/>
  <c r="V74" i="7" s="1"/>
  <c r="V75" i="7" s="1"/>
  <c r="V76" i="7" s="1"/>
  <c r="V77" i="7" s="1"/>
  <c r="V78" i="7" s="1"/>
  <c r="V79" i="7" s="1"/>
  <c r="V80" i="7" s="1"/>
  <c r="V81" i="7" s="1"/>
  <c r="V82" i="7" s="1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V113" i="7" s="1"/>
  <c r="V114" i="7" s="1"/>
  <c r="V115" i="7" s="1"/>
  <c r="V116" i="7" s="1"/>
  <c r="V118" i="7" s="1"/>
  <c r="V119" i="7" s="1"/>
  <c r="V120" i="7" s="1"/>
  <c r="F17" i="7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8" i="7" s="1"/>
  <c r="F119" i="7" s="1"/>
  <c r="F120" i="7" s="1"/>
  <c r="CK17" i="7"/>
  <c r="CK18" i="7" s="1"/>
  <c r="CK19" i="7" s="1"/>
  <c r="CK20" i="7" s="1"/>
  <c r="CK21" i="7" s="1"/>
  <c r="CK22" i="7" s="1"/>
  <c r="CK23" i="7" s="1"/>
  <c r="CK24" i="7" s="1"/>
  <c r="CK25" i="7" s="1"/>
  <c r="CK26" i="7" s="1"/>
  <c r="CK27" i="7" s="1"/>
  <c r="CK28" i="7" s="1"/>
  <c r="CK29" i="7" s="1"/>
  <c r="CK30" i="7" s="1"/>
  <c r="CK31" i="7" s="1"/>
  <c r="CK32" i="7" s="1"/>
  <c r="CK33" i="7" s="1"/>
  <c r="CK34" i="7" s="1"/>
  <c r="CK35" i="7" s="1"/>
  <c r="CK36" i="7" s="1"/>
  <c r="CK37" i="7" s="1"/>
  <c r="CK38" i="7" s="1"/>
  <c r="CK39" i="7" s="1"/>
  <c r="CK40" i="7" s="1"/>
  <c r="CK41" i="7" s="1"/>
  <c r="CK42" i="7" s="1"/>
  <c r="CK43" i="7" s="1"/>
  <c r="CK44" i="7" s="1"/>
  <c r="CK45" i="7" s="1"/>
  <c r="CK46" i="7" s="1"/>
  <c r="CK47" i="7" s="1"/>
  <c r="CK48" i="7" s="1"/>
  <c r="CK49" i="7" s="1"/>
  <c r="CK50" i="7" s="1"/>
  <c r="CK51" i="7" s="1"/>
  <c r="CK52" i="7" s="1"/>
  <c r="CK53" i="7" s="1"/>
  <c r="CK54" i="7" s="1"/>
  <c r="CK55" i="7" s="1"/>
  <c r="CK56" i="7" s="1"/>
  <c r="CK57" i="7" s="1"/>
  <c r="CK58" i="7" s="1"/>
  <c r="CK59" i="7" s="1"/>
  <c r="CK60" i="7" s="1"/>
  <c r="CK61" i="7" s="1"/>
  <c r="CK62" i="7" s="1"/>
  <c r="CK63" i="7" s="1"/>
  <c r="CK64" i="7" s="1"/>
  <c r="CK65" i="7" s="1"/>
  <c r="CK66" i="7" s="1"/>
  <c r="CK67" i="7" s="1"/>
  <c r="CK68" i="7" s="1"/>
  <c r="CK69" i="7" s="1"/>
  <c r="CK70" i="7" s="1"/>
  <c r="CK71" i="7" s="1"/>
  <c r="CK72" i="7" s="1"/>
  <c r="CK73" i="7" s="1"/>
  <c r="CK74" i="7" s="1"/>
  <c r="CK75" i="7" s="1"/>
  <c r="CK76" i="7" s="1"/>
  <c r="CK77" i="7" s="1"/>
  <c r="CK78" i="7" s="1"/>
  <c r="CK79" i="7" s="1"/>
  <c r="CK80" i="7" s="1"/>
  <c r="CK81" i="7" s="1"/>
  <c r="CK82" i="7" s="1"/>
  <c r="CK83" i="7" s="1"/>
  <c r="CK84" i="7" s="1"/>
  <c r="CK85" i="7" s="1"/>
  <c r="CK86" i="7" s="1"/>
  <c r="CK87" i="7" s="1"/>
  <c r="CK88" i="7" s="1"/>
  <c r="CK89" i="7" s="1"/>
  <c r="CK90" i="7" s="1"/>
  <c r="CK91" i="7" s="1"/>
  <c r="CK92" i="7" s="1"/>
  <c r="CK93" i="7" s="1"/>
  <c r="CK94" i="7" s="1"/>
  <c r="CK95" i="7" s="1"/>
  <c r="CK96" i="7" s="1"/>
  <c r="CK97" i="7" s="1"/>
  <c r="CK98" i="7" s="1"/>
  <c r="CK99" i="7" s="1"/>
  <c r="CK100" i="7" s="1"/>
  <c r="CK101" i="7" s="1"/>
  <c r="CK102" i="7" s="1"/>
  <c r="CK103" i="7" s="1"/>
  <c r="CK104" i="7" s="1"/>
  <c r="CK105" i="7" s="1"/>
  <c r="CK106" i="7" s="1"/>
  <c r="CK107" i="7" s="1"/>
  <c r="CK108" i="7" s="1"/>
  <c r="CK109" i="7" s="1"/>
  <c r="CK110" i="7" s="1"/>
  <c r="CK111" i="7" s="1"/>
  <c r="CK112" i="7" s="1"/>
  <c r="CK113" i="7" s="1"/>
  <c r="CK114" i="7" s="1"/>
  <c r="CK115" i="7" s="1"/>
  <c r="CK116" i="7" s="1"/>
  <c r="CK118" i="7" s="1"/>
  <c r="CK119" i="7" s="1"/>
  <c r="CK120" i="7" s="1"/>
  <c r="BU17" i="7"/>
  <c r="BU18" i="7" s="1"/>
  <c r="BU19" i="7" s="1"/>
  <c r="BU20" i="7" s="1"/>
  <c r="BU21" i="7" s="1"/>
  <c r="BU22" i="7" s="1"/>
  <c r="BU23" i="7" s="1"/>
  <c r="BU24" i="7" s="1"/>
  <c r="BU25" i="7" s="1"/>
  <c r="BU26" i="7" s="1"/>
  <c r="BU27" i="7" s="1"/>
  <c r="BU28" i="7" s="1"/>
  <c r="BU29" i="7" s="1"/>
  <c r="BU30" i="7" s="1"/>
  <c r="BU31" i="7" s="1"/>
  <c r="BU32" i="7" s="1"/>
  <c r="BU33" i="7" s="1"/>
  <c r="BU34" i="7" s="1"/>
  <c r="BU35" i="7" s="1"/>
  <c r="BU36" i="7" s="1"/>
  <c r="BU37" i="7" s="1"/>
  <c r="BU38" i="7" s="1"/>
  <c r="BU39" i="7" s="1"/>
  <c r="BU40" i="7" s="1"/>
  <c r="BU41" i="7" s="1"/>
  <c r="BU42" i="7" s="1"/>
  <c r="BU43" i="7" s="1"/>
  <c r="BU44" i="7" s="1"/>
  <c r="BU45" i="7" s="1"/>
  <c r="BU46" i="7" s="1"/>
  <c r="BU47" i="7" s="1"/>
  <c r="BU48" i="7" s="1"/>
  <c r="BU49" i="7" s="1"/>
  <c r="BU50" i="7" s="1"/>
  <c r="BU51" i="7" s="1"/>
  <c r="BU52" i="7" s="1"/>
  <c r="BU53" i="7" s="1"/>
  <c r="BU54" i="7" s="1"/>
  <c r="BU55" i="7" s="1"/>
  <c r="BU56" i="7" s="1"/>
  <c r="BU57" i="7" s="1"/>
  <c r="BU58" i="7" s="1"/>
  <c r="BU59" i="7" s="1"/>
  <c r="BU60" i="7" s="1"/>
  <c r="BU61" i="7" s="1"/>
  <c r="BU62" i="7" s="1"/>
  <c r="BU63" i="7" s="1"/>
  <c r="BU64" i="7" s="1"/>
  <c r="BU65" i="7" s="1"/>
  <c r="BU66" i="7" s="1"/>
  <c r="BU67" i="7" s="1"/>
  <c r="BU68" i="7" s="1"/>
  <c r="BU69" i="7" s="1"/>
  <c r="BU70" i="7" s="1"/>
  <c r="BU71" i="7" s="1"/>
  <c r="BU72" i="7" s="1"/>
  <c r="BU73" i="7" s="1"/>
  <c r="BU74" i="7" s="1"/>
  <c r="BU75" i="7" s="1"/>
  <c r="BU76" i="7" s="1"/>
  <c r="BU77" i="7" s="1"/>
  <c r="BU78" i="7" s="1"/>
  <c r="BU79" i="7" s="1"/>
  <c r="BU80" i="7" s="1"/>
  <c r="BU81" i="7" s="1"/>
  <c r="BU82" i="7" s="1"/>
  <c r="BU83" i="7" s="1"/>
  <c r="BU84" i="7" s="1"/>
  <c r="BU85" i="7" s="1"/>
  <c r="BU86" i="7" s="1"/>
  <c r="BU87" i="7" s="1"/>
  <c r="BU88" i="7" s="1"/>
  <c r="BU89" i="7" s="1"/>
  <c r="BU90" i="7" s="1"/>
  <c r="BU91" i="7" s="1"/>
  <c r="BU92" i="7" s="1"/>
  <c r="BU93" i="7" s="1"/>
  <c r="BU94" i="7" s="1"/>
  <c r="BU95" i="7" s="1"/>
  <c r="BU96" i="7" s="1"/>
  <c r="BU97" i="7" s="1"/>
  <c r="BU98" i="7" s="1"/>
  <c r="BU99" i="7" s="1"/>
  <c r="BU100" i="7" s="1"/>
  <c r="BU101" i="7" s="1"/>
  <c r="BU102" i="7" s="1"/>
  <c r="BU103" i="7" s="1"/>
  <c r="BU104" i="7" s="1"/>
  <c r="BU105" i="7" s="1"/>
  <c r="BU106" i="7" s="1"/>
  <c r="BU107" i="7" s="1"/>
  <c r="BU108" i="7" s="1"/>
  <c r="BU109" i="7" s="1"/>
  <c r="BU110" i="7" s="1"/>
  <c r="BU111" i="7" s="1"/>
  <c r="BU112" i="7" s="1"/>
  <c r="BU113" i="7" s="1"/>
  <c r="BU114" i="7" s="1"/>
  <c r="BU115" i="7" s="1"/>
  <c r="BU116" i="7" s="1"/>
  <c r="BU118" i="7" s="1"/>
  <c r="BU119" i="7" s="1"/>
  <c r="BU120" i="7" s="1"/>
  <c r="BE17" i="7"/>
  <c r="BE18" i="7" s="1"/>
  <c r="BE19" i="7" s="1"/>
  <c r="BE20" i="7" s="1"/>
  <c r="BE21" i="7" s="1"/>
  <c r="BE22" i="7" s="1"/>
  <c r="BE23" i="7" s="1"/>
  <c r="BE24" i="7" s="1"/>
  <c r="BE25" i="7" s="1"/>
  <c r="BE26" i="7" s="1"/>
  <c r="BE27" i="7" s="1"/>
  <c r="BE28" i="7" s="1"/>
  <c r="BE29" i="7" s="1"/>
  <c r="BE30" i="7" s="1"/>
  <c r="BE31" i="7" s="1"/>
  <c r="BE32" i="7" s="1"/>
  <c r="BE33" i="7" s="1"/>
  <c r="BE34" i="7" s="1"/>
  <c r="BE35" i="7" s="1"/>
  <c r="BE36" i="7" s="1"/>
  <c r="BE37" i="7" s="1"/>
  <c r="BE38" i="7" s="1"/>
  <c r="BE39" i="7" s="1"/>
  <c r="BE40" i="7" s="1"/>
  <c r="BE41" i="7" s="1"/>
  <c r="BE42" i="7" s="1"/>
  <c r="BE43" i="7" s="1"/>
  <c r="BE44" i="7" s="1"/>
  <c r="BE45" i="7" s="1"/>
  <c r="BE46" i="7" s="1"/>
  <c r="BE47" i="7" s="1"/>
  <c r="BE48" i="7" s="1"/>
  <c r="BE49" i="7" s="1"/>
  <c r="BE50" i="7" s="1"/>
  <c r="BE51" i="7" s="1"/>
  <c r="BE52" i="7" s="1"/>
  <c r="BE53" i="7" s="1"/>
  <c r="BE54" i="7" s="1"/>
  <c r="BE55" i="7" s="1"/>
  <c r="BE56" i="7" s="1"/>
  <c r="BE57" i="7" s="1"/>
  <c r="BE58" i="7" s="1"/>
  <c r="BE59" i="7" s="1"/>
  <c r="BE60" i="7" s="1"/>
  <c r="BE61" i="7" s="1"/>
  <c r="BE62" i="7" s="1"/>
  <c r="BE63" i="7" s="1"/>
  <c r="BE64" i="7" s="1"/>
  <c r="BE65" i="7" s="1"/>
  <c r="BE66" i="7" s="1"/>
  <c r="BE67" i="7" s="1"/>
  <c r="BE68" i="7" s="1"/>
  <c r="BE69" i="7" s="1"/>
  <c r="BE70" i="7" s="1"/>
  <c r="BE71" i="7" s="1"/>
  <c r="BE72" i="7" s="1"/>
  <c r="BE73" i="7" s="1"/>
  <c r="BE74" i="7" s="1"/>
  <c r="BE75" i="7" s="1"/>
  <c r="BE76" i="7" s="1"/>
  <c r="BE77" i="7" s="1"/>
  <c r="BE78" i="7" s="1"/>
  <c r="BE79" i="7" s="1"/>
  <c r="BE80" i="7" s="1"/>
  <c r="BE81" i="7" s="1"/>
  <c r="BE82" i="7" s="1"/>
  <c r="BE83" i="7" s="1"/>
  <c r="BE84" i="7" s="1"/>
  <c r="BE85" i="7" s="1"/>
  <c r="BE86" i="7" s="1"/>
  <c r="BE87" i="7" s="1"/>
  <c r="BE88" i="7" s="1"/>
  <c r="BE89" i="7" s="1"/>
  <c r="BE90" i="7" s="1"/>
  <c r="BE91" i="7" s="1"/>
  <c r="BE92" i="7" s="1"/>
  <c r="BE93" i="7" s="1"/>
  <c r="BE94" i="7" s="1"/>
  <c r="BE95" i="7" s="1"/>
  <c r="BE96" i="7" s="1"/>
  <c r="BE97" i="7" s="1"/>
  <c r="BE98" i="7" s="1"/>
  <c r="BE99" i="7" s="1"/>
  <c r="BE100" i="7" s="1"/>
  <c r="BE101" i="7" s="1"/>
  <c r="BE102" i="7" s="1"/>
  <c r="BE103" i="7" s="1"/>
  <c r="BE104" i="7" s="1"/>
  <c r="BE105" i="7" s="1"/>
  <c r="BE106" i="7" s="1"/>
  <c r="BE107" i="7" s="1"/>
  <c r="BE108" i="7" s="1"/>
  <c r="BE109" i="7" s="1"/>
  <c r="BE110" i="7" s="1"/>
  <c r="BE111" i="7" s="1"/>
  <c r="BE112" i="7" s="1"/>
  <c r="BE113" i="7" s="1"/>
  <c r="BE114" i="7" s="1"/>
  <c r="BE115" i="7" s="1"/>
  <c r="BE116" i="7" s="1"/>
  <c r="BE118" i="7" s="1"/>
  <c r="BE119" i="7" s="1"/>
  <c r="BE120" i="7" s="1"/>
  <c r="AO17" i="7"/>
  <c r="AO18" i="7" s="1"/>
  <c r="AO19" i="7" s="1"/>
  <c r="AO20" i="7" s="1"/>
  <c r="AO21" i="7" s="1"/>
  <c r="AO22" i="7" s="1"/>
  <c r="AO23" i="7" s="1"/>
  <c r="AO24" i="7" s="1"/>
  <c r="AO25" i="7" s="1"/>
  <c r="AO26" i="7" s="1"/>
  <c r="AO27" i="7" s="1"/>
  <c r="AO28" i="7" s="1"/>
  <c r="AO29" i="7" s="1"/>
  <c r="AO30" i="7" s="1"/>
  <c r="AO31" i="7" s="1"/>
  <c r="AO32" i="7" s="1"/>
  <c r="AO33" i="7" s="1"/>
  <c r="AO34" i="7" s="1"/>
  <c r="AO35" i="7" s="1"/>
  <c r="AO36" i="7" s="1"/>
  <c r="AO37" i="7" s="1"/>
  <c r="AO38" i="7" s="1"/>
  <c r="AO39" i="7" s="1"/>
  <c r="AO40" i="7" s="1"/>
  <c r="AO41" i="7" s="1"/>
  <c r="AO42" i="7" s="1"/>
  <c r="AO43" i="7" s="1"/>
  <c r="AO44" i="7" s="1"/>
  <c r="AO45" i="7" s="1"/>
  <c r="AO46" i="7" s="1"/>
  <c r="AO47" i="7" s="1"/>
  <c r="AO48" i="7" s="1"/>
  <c r="AO49" i="7" s="1"/>
  <c r="AO50" i="7" s="1"/>
  <c r="AO51" i="7" s="1"/>
  <c r="AO52" i="7" s="1"/>
  <c r="AO53" i="7" s="1"/>
  <c r="AO54" i="7" s="1"/>
  <c r="AO55" i="7" s="1"/>
  <c r="AO56" i="7" s="1"/>
  <c r="AO57" i="7" s="1"/>
  <c r="AO58" i="7" s="1"/>
  <c r="AO59" i="7" s="1"/>
  <c r="AO60" i="7" s="1"/>
  <c r="AO61" i="7" s="1"/>
  <c r="AO62" i="7" s="1"/>
  <c r="AO63" i="7" s="1"/>
  <c r="AO64" i="7" s="1"/>
  <c r="AO65" i="7" s="1"/>
  <c r="AO66" i="7" s="1"/>
  <c r="AO67" i="7" s="1"/>
  <c r="AO68" i="7" s="1"/>
  <c r="AO69" i="7" s="1"/>
  <c r="AO70" i="7" s="1"/>
  <c r="AO71" i="7" s="1"/>
  <c r="AO72" i="7" s="1"/>
  <c r="AO73" i="7" s="1"/>
  <c r="AO74" i="7" s="1"/>
  <c r="AO75" i="7" s="1"/>
  <c r="AO76" i="7" s="1"/>
  <c r="AO77" i="7" s="1"/>
  <c r="AO78" i="7" s="1"/>
  <c r="AO79" i="7" s="1"/>
  <c r="AO80" i="7" s="1"/>
  <c r="AO81" i="7" s="1"/>
  <c r="AO82" i="7" s="1"/>
  <c r="AO83" i="7" s="1"/>
  <c r="AO84" i="7" s="1"/>
  <c r="AO85" i="7" s="1"/>
  <c r="AO86" i="7" s="1"/>
  <c r="AO87" i="7" s="1"/>
  <c r="AO88" i="7" s="1"/>
  <c r="AO89" i="7" s="1"/>
  <c r="AO90" i="7" s="1"/>
  <c r="AO91" i="7" s="1"/>
  <c r="AO92" i="7" s="1"/>
  <c r="AO93" i="7" s="1"/>
  <c r="AO94" i="7" s="1"/>
  <c r="AO95" i="7" s="1"/>
  <c r="AO96" i="7" s="1"/>
  <c r="AO97" i="7" s="1"/>
  <c r="AO98" i="7" s="1"/>
  <c r="AO99" i="7" s="1"/>
  <c r="AO100" i="7" s="1"/>
  <c r="AO101" i="7" s="1"/>
  <c r="AO102" i="7" s="1"/>
  <c r="AO103" i="7" s="1"/>
  <c r="AO104" i="7" s="1"/>
  <c r="AO105" i="7" s="1"/>
  <c r="AO106" i="7" s="1"/>
  <c r="AO107" i="7" s="1"/>
  <c r="AO108" i="7" s="1"/>
  <c r="AO109" i="7" s="1"/>
  <c r="AO110" i="7" s="1"/>
  <c r="AO111" i="7" s="1"/>
  <c r="AO112" i="7" s="1"/>
  <c r="AO113" i="7" s="1"/>
  <c r="AO114" i="7" s="1"/>
  <c r="AO115" i="7" s="1"/>
  <c r="AO116" i="7" s="1"/>
  <c r="AO118" i="7" s="1"/>
  <c r="AO119" i="7" s="1"/>
  <c r="AO120" i="7" s="1"/>
  <c r="Y17" i="7"/>
  <c r="Y18" i="7" s="1"/>
  <c r="Y19" i="7" s="1"/>
  <c r="Y20" i="7" s="1"/>
  <c r="Y21" i="7" s="1"/>
  <c r="Y22" i="7" s="1"/>
  <c r="Y23" i="7" s="1"/>
  <c r="Y24" i="7" s="1"/>
  <c r="Y25" i="7" s="1"/>
  <c r="Y26" i="7" s="1"/>
  <c r="Y27" i="7" s="1"/>
  <c r="Y28" i="7" s="1"/>
  <c r="Y29" i="7" s="1"/>
  <c r="Y30" i="7" s="1"/>
  <c r="Y31" i="7" s="1"/>
  <c r="Y32" i="7" s="1"/>
  <c r="Y33" i="7" s="1"/>
  <c r="Y34" i="7" s="1"/>
  <c r="Y35" i="7" s="1"/>
  <c r="Y36" i="7" s="1"/>
  <c r="Y37" i="7" s="1"/>
  <c r="Y38" i="7" s="1"/>
  <c r="Y39" i="7" s="1"/>
  <c r="Y40" i="7" s="1"/>
  <c r="Y41" i="7" s="1"/>
  <c r="Y42" i="7" s="1"/>
  <c r="Y43" i="7" s="1"/>
  <c r="Y44" i="7" s="1"/>
  <c r="Y45" i="7" s="1"/>
  <c r="Y46" i="7" s="1"/>
  <c r="Y47" i="7" s="1"/>
  <c r="Y48" i="7" s="1"/>
  <c r="Y49" i="7" s="1"/>
  <c r="Y50" i="7" s="1"/>
  <c r="Y51" i="7" s="1"/>
  <c r="Y52" i="7" s="1"/>
  <c r="Y53" i="7" s="1"/>
  <c r="Y54" i="7" s="1"/>
  <c r="Y55" i="7" s="1"/>
  <c r="Y56" i="7" s="1"/>
  <c r="Y57" i="7" s="1"/>
  <c r="Y58" i="7" s="1"/>
  <c r="Y59" i="7" s="1"/>
  <c r="Y60" i="7" s="1"/>
  <c r="Y61" i="7" s="1"/>
  <c r="Y62" i="7" s="1"/>
  <c r="Y63" i="7" s="1"/>
  <c r="Y64" i="7" s="1"/>
  <c r="Y65" i="7" s="1"/>
  <c r="Y66" i="7" s="1"/>
  <c r="Y67" i="7" s="1"/>
  <c r="Y68" i="7" s="1"/>
  <c r="Y69" i="7" s="1"/>
  <c r="Y70" i="7" s="1"/>
  <c r="Y71" i="7" s="1"/>
  <c r="Y72" i="7" s="1"/>
  <c r="Y73" i="7" s="1"/>
  <c r="Y74" i="7" s="1"/>
  <c r="Y75" i="7" s="1"/>
  <c r="Y76" i="7" s="1"/>
  <c r="Y77" i="7" s="1"/>
  <c r="Y78" i="7" s="1"/>
  <c r="Y79" i="7" s="1"/>
  <c r="Y80" i="7" s="1"/>
  <c r="Y81" i="7" s="1"/>
  <c r="Y82" i="7" s="1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Y113" i="7" s="1"/>
  <c r="Y114" i="7" s="1"/>
  <c r="Y115" i="7" s="1"/>
  <c r="Y116" i="7" s="1"/>
  <c r="Y118" i="7" s="1"/>
  <c r="Y119" i="7" s="1"/>
  <c r="Y120" i="7" s="1"/>
  <c r="I17" i="7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56" i="7" s="1"/>
  <c r="I57" i="7" s="1"/>
  <c r="I58" i="7" s="1"/>
  <c r="I59" i="7" s="1"/>
  <c r="I60" i="7" s="1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8" i="7" s="1"/>
  <c r="I119" i="7" s="1"/>
  <c r="I120" i="7" s="1"/>
  <c r="CN17" i="7"/>
  <c r="CN18" i="7" s="1"/>
  <c r="CN19" i="7" s="1"/>
  <c r="CN20" i="7" s="1"/>
  <c r="CN21" i="7" s="1"/>
  <c r="CN22" i="7" s="1"/>
  <c r="CN23" i="7" s="1"/>
  <c r="CN24" i="7" s="1"/>
  <c r="CN25" i="7" s="1"/>
  <c r="CN26" i="7" s="1"/>
  <c r="CN27" i="7" s="1"/>
  <c r="CN28" i="7" s="1"/>
  <c r="CN29" i="7" s="1"/>
  <c r="CN30" i="7" s="1"/>
  <c r="CN31" i="7" s="1"/>
  <c r="CN32" i="7" s="1"/>
  <c r="CN33" i="7" s="1"/>
  <c r="CN34" i="7" s="1"/>
  <c r="CN35" i="7" s="1"/>
  <c r="CN36" i="7" s="1"/>
  <c r="CN37" i="7" s="1"/>
  <c r="CN38" i="7" s="1"/>
  <c r="CN39" i="7" s="1"/>
  <c r="CN40" i="7" s="1"/>
  <c r="CN41" i="7" s="1"/>
  <c r="CN42" i="7" s="1"/>
  <c r="CN43" i="7" s="1"/>
  <c r="CN44" i="7" s="1"/>
  <c r="CN45" i="7" s="1"/>
  <c r="CN46" i="7" s="1"/>
  <c r="CN47" i="7" s="1"/>
  <c r="CN48" i="7" s="1"/>
  <c r="CN49" i="7" s="1"/>
  <c r="CN50" i="7" s="1"/>
  <c r="CN51" i="7" s="1"/>
  <c r="CN52" i="7" s="1"/>
  <c r="CN53" i="7" s="1"/>
  <c r="CN54" i="7" s="1"/>
  <c r="CN55" i="7" s="1"/>
  <c r="CN56" i="7" s="1"/>
  <c r="CN57" i="7" s="1"/>
  <c r="CN58" i="7" s="1"/>
  <c r="CN59" i="7" s="1"/>
  <c r="CN60" i="7" s="1"/>
  <c r="CN61" i="7" s="1"/>
  <c r="CN62" i="7" s="1"/>
  <c r="CN63" i="7" s="1"/>
  <c r="CN64" i="7" s="1"/>
  <c r="CN65" i="7" s="1"/>
  <c r="CN66" i="7" s="1"/>
  <c r="CN67" i="7" s="1"/>
  <c r="CN68" i="7" s="1"/>
  <c r="CN69" i="7" s="1"/>
  <c r="CN70" i="7" s="1"/>
  <c r="CN71" i="7" s="1"/>
  <c r="CN72" i="7" s="1"/>
  <c r="CN73" i="7" s="1"/>
  <c r="CN74" i="7" s="1"/>
  <c r="CN75" i="7" s="1"/>
  <c r="CN76" i="7" s="1"/>
  <c r="CN77" i="7" s="1"/>
  <c r="CN78" i="7" s="1"/>
  <c r="CN79" i="7" s="1"/>
  <c r="CN80" i="7" s="1"/>
  <c r="CN81" i="7" s="1"/>
  <c r="CN82" i="7" s="1"/>
  <c r="CN83" i="7" s="1"/>
  <c r="CN84" i="7" s="1"/>
  <c r="CN85" i="7" s="1"/>
  <c r="CN86" i="7" s="1"/>
  <c r="CN87" i="7" s="1"/>
  <c r="CN88" i="7" s="1"/>
  <c r="CN89" i="7" s="1"/>
  <c r="CN90" i="7" s="1"/>
  <c r="CN91" i="7" s="1"/>
  <c r="CN92" i="7" s="1"/>
  <c r="CN93" i="7" s="1"/>
  <c r="CN94" i="7" s="1"/>
  <c r="CN95" i="7" s="1"/>
  <c r="CN96" i="7" s="1"/>
  <c r="CN97" i="7" s="1"/>
  <c r="CN98" i="7" s="1"/>
  <c r="CN99" i="7" s="1"/>
  <c r="CN100" i="7" s="1"/>
  <c r="CN101" i="7" s="1"/>
  <c r="CN102" i="7" s="1"/>
  <c r="CN103" i="7" s="1"/>
  <c r="CN104" i="7" s="1"/>
  <c r="CN105" i="7" s="1"/>
  <c r="CN106" i="7" s="1"/>
  <c r="CN107" i="7" s="1"/>
  <c r="CN108" i="7" s="1"/>
  <c r="CN109" i="7" s="1"/>
  <c r="CN110" i="7" s="1"/>
  <c r="CN111" i="7" s="1"/>
  <c r="CN112" i="7" s="1"/>
  <c r="CN113" i="7" s="1"/>
  <c r="CN114" i="7" s="1"/>
  <c r="CN115" i="7" s="1"/>
  <c r="CN116" i="7" s="1"/>
  <c r="CN118" i="7" s="1"/>
  <c r="CN119" i="7" s="1"/>
  <c r="CN120" i="7" s="1"/>
  <c r="BX17" i="7"/>
  <c r="BX18" i="7" s="1"/>
  <c r="BX19" i="7" s="1"/>
  <c r="BX20" i="7" s="1"/>
  <c r="BX21" i="7" s="1"/>
  <c r="BX22" i="7" s="1"/>
  <c r="BX23" i="7" s="1"/>
  <c r="BX24" i="7" s="1"/>
  <c r="BX25" i="7" s="1"/>
  <c r="BX26" i="7" s="1"/>
  <c r="BX27" i="7" s="1"/>
  <c r="BX28" i="7" s="1"/>
  <c r="BX29" i="7" s="1"/>
  <c r="BX30" i="7" s="1"/>
  <c r="BX31" i="7" s="1"/>
  <c r="BX32" i="7" s="1"/>
  <c r="BX33" i="7" s="1"/>
  <c r="BX34" i="7" s="1"/>
  <c r="BX35" i="7" s="1"/>
  <c r="BX36" i="7" s="1"/>
  <c r="BX37" i="7" s="1"/>
  <c r="BX38" i="7" s="1"/>
  <c r="BX39" i="7" s="1"/>
  <c r="BX40" i="7" s="1"/>
  <c r="BX41" i="7" s="1"/>
  <c r="BX42" i="7" s="1"/>
  <c r="BX43" i="7" s="1"/>
  <c r="BX44" i="7" s="1"/>
  <c r="BX45" i="7" s="1"/>
  <c r="BX46" i="7" s="1"/>
  <c r="BX47" i="7" s="1"/>
  <c r="BX48" i="7" s="1"/>
  <c r="BX49" i="7" s="1"/>
  <c r="BX50" i="7" s="1"/>
  <c r="BX51" i="7" s="1"/>
  <c r="BX52" i="7" s="1"/>
  <c r="BX53" i="7" s="1"/>
  <c r="BX54" i="7" s="1"/>
  <c r="BX55" i="7" s="1"/>
  <c r="BX56" i="7" s="1"/>
  <c r="BX57" i="7" s="1"/>
  <c r="BX58" i="7" s="1"/>
  <c r="BX59" i="7" s="1"/>
  <c r="BX60" i="7" s="1"/>
  <c r="BX61" i="7" s="1"/>
  <c r="BX62" i="7" s="1"/>
  <c r="BX63" i="7" s="1"/>
  <c r="BX64" i="7" s="1"/>
  <c r="BX65" i="7" s="1"/>
  <c r="BX66" i="7" s="1"/>
  <c r="BX67" i="7" s="1"/>
  <c r="BX68" i="7" s="1"/>
  <c r="BX69" i="7" s="1"/>
  <c r="BX70" i="7" s="1"/>
  <c r="BX71" i="7" s="1"/>
  <c r="BX72" i="7" s="1"/>
  <c r="BX73" i="7" s="1"/>
  <c r="BX74" i="7" s="1"/>
  <c r="BX75" i="7" s="1"/>
  <c r="BX76" i="7" s="1"/>
  <c r="BX77" i="7" s="1"/>
  <c r="BX78" i="7" s="1"/>
  <c r="BX79" i="7" s="1"/>
  <c r="BX80" i="7" s="1"/>
  <c r="BX81" i="7" s="1"/>
  <c r="BX82" i="7" s="1"/>
  <c r="BX83" i="7" s="1"/>
  <c r="BX84" i="7" s="1"/>
  <c r="BX85" i="7" s="1"/>
  <c r="BX86" i="7" s="1"/>
  <c r="BX87" i="7" s="1"/>
  <c r="BX88" i="7" s="1"/>
  <c r="BX89" i="7" s="1"/>
  <c r="BX90" i="7" s="1"/>
  <c r="BX91" i="7" s="1"/>
  <c r="BX92" i="7" s="1"/>
  <c r="BX93" i="7" s="1"/>
  <c r="BX94" i="7" s="1"/>
  <c r="BX95" i="7" s="1"/>
  <c r="BX96" i="7" s="1"/>
  <c r="BX97" i="7" s="1"/>
  <c r="BX98" i="7" s="1"/>
  <c r="BX99" i="7" s="1"/>
  <c r="BX100" i="7" s="1"/>
  <c r="BX101" i="7" s="1"/>
  <c r="BX102" i="7" s="1"/>
  <c r="BX103" i="7" s="1"/>
  <c r="BX104" i="7" s="1"/>
  <c r="BX105" i="7" s="1"/>
  <c r="BX106" i="7" s="1"/>
  <c r="BX107" i="7" s="1"/>
  <c r="BX108" i="7" s="1"/>
  <c r="BX109" i="7" s="1"/>
  <c r="BX110" i="7" s="1"/>
  <c r="BX111" i="7" s="1"/>
  <c r="BX112" i="7" s="1"/>
  <c r="BX113" i="7" s="1"/>
  <c r="BX114" i="7" s="1"/>
  <c r="BX115" i="7" s="1"/>
  <c r="BX116" i="7" s="1"/>
  <c r="BX118" i="7" s="1"/>
  <c r="BX119" i="7" s="1"/>
  <c r="BX120" i="7" s="1"/>
  <c r="BH17" i="7"/>
  <c r="BH18" i="7" s="1"/>
  <c r="BH19" i="7" s="1"/>
  <c r="BH20" i="7" s="1"/>
  <c r="BH21" i="7" s="1"/>
  <c r="BH22" i="7" s="1"/>
  <c r="BH23" i="7" s="1"/>
  <c r="BH24" i="7" s="1"/>
  <c r="BH25" i="7" s="1"/>
  <c r="BH26" i="7" s="1"/>
  <c r="BH27" i="7" s="1"/>
  <c r="BH28" i="7" s="1"/>
  <c r="BH29" i="7" s="1"/>
  <c r="BH30" i="7" s="1"/>
  <c r="BH31" i="7" s="1"/>
  <c r="BH32" i="7" s="1"/>
  <c r="BH33" i="7" s="1"/>
  <c r="BH34" i="7" s="1"/>
  <c r="BH35" i="7" s="1"/>
  <c r="BH36" i="7" s="1"/>
  <c r="BH37" i="7" s="1"/>
  <c r="BH38" i="7" s="1"/>
  <c r="BH39" i="7" s="1"/>
  <c r="BH40" i="7" s="1"/>
  <c r="BH41" i="7" s="1"/>
  <c r="BH42" i="7" s="1"/>
  <c r="BH43" i="7" s="1"/>
  <c r="BH44" i="7" s="1"/>
  <c r="BH45" i="7" s="1"/>
  <c r="BH46" i="7" s="1"/>
  <c r="BH47" i="7" s="1"/>
  <c r="BH48" i="7" s="1"/>
  <c r="BH49" i="7" s="1"/>
  <c r="BH50" i="7" s="1"/>
  <c r="BH51" i="7" s="1"/>
  <c r="BH52" i="7" s="1"/>
  <c r="BH53" i="7" s="1"/>
  <c r="BH54" i="7" s="1"/>
  <c r="BH55" i="7" s="1"/>
  <c r="BH56" i="7" s="1"/>
  <c r="BH57" i="7" s="1"/>
  <c r="BH58" i="7" s="1"/>
  <c r="BH59" i="7" s="1"/>
  <c r="BH60" i="7" s="1"/>
  <c r="BH61" i="7" s="1"/>
  <c r="BH62" i="7" s="1"/>
  <c r="BH63" i="7" s="1"/>
  <c r="BH64" i="7" s="1"/>
  <c r="BH65" i="7" s="1"/>
  <c r="BH66" i="7" s="1"/>
  <c r="BH67" i="7" s="1"/>
  <c r="BH68" i="7" s="1"/>
  <c r="BH69" i="7" s="1"/>
  <c r="BH70" i="7" s="1"/>
  <c r="BH71" i="7" s="1"/>
  <c r="BH72" i="7" s="1"/>
  <c r="BH73" i="7" s="1"/>
  <c r="BH74" i="7" s="1"/>
  <c r="BH75" i="7" s="1"/>
  <c r="BH76" i="7" s="1"/>
  <c r="BH77" i="7" s="1"/>
  <c r="BH78" i="7" s="1"/>
  <c r="BH79" i="7" s="1"/>
  <c r="BH80" i="7" s="1"/>
  <c r="BH81" i="7" s="1"/>
  <c r="BH82" i="7" s="1"/>
  <c r="BH83" i="7" s="1"/>
  <c r="BH84" i="7" s="1"/>
  <c r="BH85" i="7" s="1"/>
  <c r="BH86" i="7" s="1"/>
  <c r="BH87" i="7" s="1"/>
  <c r="BH88" i="7" s="1"/>
  <c r="BH89" i="7" s="1"/>
  <c r="BH90" i="7" s="1"/>
  <c r="BH91" i="7" s="1"/>
  <c r="BH92" i="7" s="1"/>
  <c r="BH93" i="7" s="1"/>
  <c r="BH94" i="7" s="1"/>
  <c r="BH95" i="7" s="1"/>
  <c r="BH96" i="7" s="1"/>
  <c r="BH97" i="7" s="1"/>
  <c r="BH98" i="7" s="1"/>
  <c r="BH99" i="7" s="1"/>
  <c r="BH100" i="7" s="1"/>
  <c r="BH101" i="7" s="1"/>
  <c r="BH102" i="7" s="1"/>
  <c r="BH103" i="7" s="1"/>
  <c r="BH104" i="7" s="1"/>
  <c r="BH105" i="7" s="1"/>
  <c r="BH106" i="7" s="1"/>
  <c r="BH107" i="7" s="1"/>
  <c r="BH108" i="7" s="1"/>
  <c r="BH109" i="7" s="1"/>
  <c r="BH110" i="7" s="1"/>
  <c r="BH111" i="7" s="1"/>
  <c r="BH112" i="7" s="1"/>
  <c r="BH113" i="7" s="1"/>
  <c r="BH114" i="7" s="1"/>
  <c r="BH115" i="7" s="1"/>
  <c r="BH116" i="7" s="1"/>
  <c r="BH118" i="7" s="1"/>
  <c r="BH119" i="7" s="1"/>
  <c r="BH120" i="7" s="1"/>
  <c r="AR17" i="7"/>
  <c r="AR18" i="7" s="1"/>
  <c r="AR19" i="7" s="1"/>
  <c r="AR20" i="7" s="1"/>
  <c r="AR21" i="7" s="1"/>
  <c r="AR22" i="7" s="1"/>
  <c r="AR23" i="7" s="1"/>
  <c r="AR24" i="7" s="1"/>
  <c r="AR25" i="7" s="1"/>
  <c r="AR26" i="7" s="1"/>
  <c r="AR27" i="7" s="1"/>
  <c r="AR28" i="7" s="1"/>
  <c r="AR29" i="7" s="1"/>
  <c r="AR30" i="7" s="1"/>
  <c r="AR31" i="7" s="1"/>
  <c r="AR32" i="7" s="1"/>
  <c r="AR33" i="7" s="1"/>
  <c r="AR34" i="7" s="1"/>
  <c r="AR35" i="7" s="1"/>
  <c r="AR36" i="7" s="1"/>
  <c r="AR37" i="7" s="1"/>
  <c r="AR38" i="7" s="1"/>
  <c r="AR39" i="7" s="1"/>
  <c r="AR40" i="7" s="1"/>
  <c r="AR41" i="7" s="1"/>
  <c r="AR42" i="7" s="1"/>
  <c r="AR43" i="7" s="1"/>
  <c r="AR44" i="7" s="1"/>
  <c r="AR45" i="7" s="1"/>
  <c r="AR46" i="7" s="1"/>
  <c r="AR47" i="7" s="1"/>
  <c r="AR48" i="7" s="1"/>
  <c r="AR49" i="7" s="1"/>
  <c r="AR50" i="7" s="1"/>
  <c r="AR51" i="7" s="1"/>
  <c r="AR52" i="7" s="1"/>
  <c r="AR53" i="7" s="1"/>
  <c r="AR54" i="7" s="1"/>
  <c r="AR55" i="7" s="1"/>
  <c r="AR56" i="7" s="1"/>
  <c r="AR57" i="7" s="1"/>
  <c r="AR58" i="7" s="1"/>
  <c r="AR59" i="7" s="1"/>
  <c r="AR60" i="7" s="1"/>
  <c r="AR61" i="7" s="1"/>
  <c r="AR62" i="7" s="1"/>
  <c r="AR63" i="7" s="1"/>
  <c r="AR64" i="7" s="1"/>
  <c r="AR65" i="7" s="1"/>
  <c r="AR66" i="7" s="1"/>
  <c r="AR67" i="7" s="1"/>
  <c r="AR68" i="7" s="1"/>
  <c r="AR69" i="7" s="1"/>
  <c r="AR70" i="7" s="1"/>
  <c r="AR71" i="7" s="1"/>
  <c r="AR72" i="7" s="1"/>
  <c r="AR73" i="7" s="1"/>
  <c r="AR74" i="7" s="1"/>
  <c r="AR75" i="7" s="1"/>
  <c r="AR76" i="7" s="1"/>
  <c r="AR77" i="7" s="1"/>
  <c r="AR78" i="7" s="1"/>
  <c r="AR79" i="7" s="1"/>
  <c r="AR80" i="7" s="1"/>
  <c r="AR81" i="7" s="1"/>
  <c r="AR82" i="7" s="1"/>
  <c r="AR83" i="7" s="1"/>
  <c r="AR84" i="7" s="1"/>
  <c r="AR85" i="7" s="1"/>
  <c r="AR86" i="7" s="1"/>
  <c r="AR87" i="7" s="1"/>
  <c r="AR88" i="7" s="1"/>
  <c r="AR89" i="7" s="1"/>
  <c r="AR90" i="7" s="1"/>
  <c r="AR91" i="7" s="1"/>
  <c r="AR92" i="7" s="1"/>
  <c r="AR93" i="7" s="1"/>
  <c r="AR94" i="7" s="1"/>
  <c r="AR95" i="7" s="1"/>
  <c r="AR96" i="7" s="1"/>
  <c r="AR97" i="7" s="1"/>
  <c r="AR98" i="7" s="1"/>
  <c r="AR99" i="7" s="1"/>
  <c r="AR100" i="7" s="1"/>
  <c r="AR101" i="7" s="1"/>
  <c r="AR102" i="7" s="1"/>
  <c r="AR103" i="7" s="1"/>
  <c r="AR104" i="7" s="1"/>
  <c r="AR105" i="7" s="1"/>
  <c r="AR106" i="7" s="1"/>
  <c r="AR107" i="7" s="1"/>
  <c r="AR108" i="7" s="1"/>
  <c r="AR109" i="7" s="1"/>
  <c r="AR110" i="7" s="1"/>
  <c r="AR111" i="7" s="1"/>
  <c r="AR112" i="7" s="1"/>
  <c r="AR113" i="7" s="1"/>
  <c r="AR114" i="7" s="1"/>
  <c r="AR115" i="7" s="1"/>
  <c r="AR116" i="7" s="1"/>
  <c r="AR118" i="7" s="1"/>
  <c r="AR119" i="7" s="1"/>
  <c r="AR120" i="7" s="1"/>
  <c r="AB17" i="7"/>
  <c r="AB18" i="7" s="1"/>
  <c r="AB19" i="7" s="1"/>
  <c r="AB20" i="7" s="1"/>
  <c r="AB21" i="7" s="1"/>
  <c r="AB22" i="7" s="1"/>
  <c r="AB23" i="7" s="1"/>
  <c r="AB24" i="7" s="1"/>
  <c r="AB25" i="7" s="1"/>
  <c r="AB26" i="7" s="1"/>
  <c r="AB27" i="7" s="1"/>
  <c r="AB28" i="7" s="1"/>
  <c r="AB29" i="7" s="1"/>
  <c r="AB30" i="7" s="1"/>
  <c r="AB31" i="7" s="1"/>
  <c r="AB32" i="7" s="1"/>
  <c r="AB33" i="7" s="1"/>
  <c r="AB34" i="7" s="1"/>
  <c r="AB35" i="7" s="1"/>
  <c r="AB36" i="7" s="1"/>
  <c r="AB37" i="7" s="1"/>
  <c r="AB38" i="7" s="1"/>
  <c r="AB39" i="7" s="1"/>
  <c r="AB40" i="7" s="1"/>
  <c r="AB41" i="7" s="1"/>
  <c r="AB42" i="7" s="1"/>
  <c r="AB43" i="7" s="1"/>
  <c r="AB44" i="7" s="1"/>
  <c r="AB45" i="7" s="1"/>
  <c r="AB46" i="7" s="1"/>
  <c r="AB47" i="7" s="1"/>
  <c r="AB48" i="7" s="1"/>
  <c r="AB49" i="7" s="1"/>
  <c r="AB50" i="7" s="1"/>
  <c r="AB51" i="7" s="1"/>
  <c r="AB52" i="7" s="1"/>
  <c r="AB53" i="7" s="1"/>
  <c r="AB54" i="7" s="1"/>
  <c r="AB55" i="7" s="1"/>
  <c r="AB56" i="7" s="1"/>
  <c r="AB57" i="7" s="1"/>
  <c r="AB58" i="7" s="1"/>
  <c r="AB59" i="7" s="1"/>
  <c r="AB60" i="7" s="1"/>
  <c r="AB61" i="7" s="1"/>
  <c r="AB62" i="7" s="1"/>
  <c r="AB63" i="7" s="1"/>
  <c r="AB64" i="7" s="1"/>
  <c r="AB65" i="7" s="1"/>
  <c r="AB66" i="7" s="1"/>
  <c r="AB67" i="7" s="1"/>
  <c r="AB68" i="7" s="1"/>
  <c r="AB69" i="7" s="1"/>
  <c r="AB70" i="7" s="1"/>
  <c r="AB71" i="7" s="1"/>
  <c r="AB72" i="7" s="1"/>
  <c r="AB73" i="7" s="1"/>
  <c r="AB74" i="7" s="1"/>
  <c r="AB75" i="7" s="1"/>
  <c r="AB76" i="7" s="1"/>
  <c r="AB77" i="7" s="1"/>
  <c r="AB78" i="7" s="1"/>
  <c r="AB79" i="7" s="1"/>
  <c r="AB80" i="7" s="1"/>
  <c r="AB81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AB113" i="7" s="1"/>
  <c r="AB114" i="7" s="1"/>
  <c r="AB115" i="7" s="1"/>
  <c r="AB116" i="7" s="1"/>
  <c r="AB118" i="7" s="1"/>
  <c r="AB119" i="7" s="1"/>
  <c r="AB120" i="7" s="1"/>
  <c r="L17" i="7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8" i="7" s="1"/>
  <c r="L119" i="7" s="1"/>
  <c r="L120" i="7" s="1"/>
  <c r="CU17" i="7"/>
  <c r="CU18" i="7" s="1"/>
  <c r="CU19" i="7" s="1"/>
  <c r="CU20" i="7" s="1"/>
  <c r="CU21" i="7" s="1"/>
  <c r="CU22" i="7" s="1"/>
  <c r="CU23" i="7" s="1"/>
  <c r="CU24" i="7" s="1"/>
  <c r="CU25" i="7" s="1"/>
  <c r="CU26" i="7" s="1"/>
  <c r="CU27" i="7" s="1"/>
  <c r="CU28" i="7" s="1"/>
  <c r="CU29" i="7" s="1"/>
  <c r="CU30" i="7" s="1"/>
  <c r="CU31" i="7" s="1"/>
  <c r="CU32" i="7" s="1"/>
  <c r="CU33" i="7" s="1"/>
  <c r="CU34" i="7" s="1"/>
  <c r="CU35" i="7" s="1"/>
  <c r="CU36" i="7" s="1"/>
  <c r="CU37" i="7" s="1"/>
  <c r="CU38" i="7" s="1"/>
  <c r="CU39" i="7" s="1"/>
  <c r="CU40" i="7" s="1"/>
  <c r="CU41" i="7" s="1"/>
  <c r="CU42" i="7" s="1"/>
  <c r="CU43" i="7" s="1"/>
  <c r="CU44" i="7" s="1"/>
  <c r="CU45" i="7" s="1"/>
  <c r="CU46" i="7" s="1"/>
  <c r="CU47" i="7" s="1"/>
  <c r="CU48" i="7" s="1"/>
  <c r="CU49" i="7" s="1"/>
  <c r="CU50" i="7" s="1"/>
  <c r="CU51" i="7" s="1"/>
  <c r="CU52" i="7" s="1"/>
  <c r="CU53" i="7" s="1"/>
  <c r="CU54" i="7" s="1"/>
  <c r="CU55" i="7" s="1"/>
  <c r="CU56" i="7" s="1"/>
  <c r="CU57" i="7" s="1"/>
  <c r="CU58" i="7" s="1"/>
  <c r="CU59" i="7" s="1"/>
  <c r="CU60" i="7" s="1"/>
  <c r="CU61" i="7" s="1"/>
  <c r="CU62" i="7" s="1"/>
  <c r="CU63" i="7" s="1"/>
  <c r="CU64" i="7" s="1"/>
  <c r="CU65" i="7" s="1"/>
  <c r="CU66" i="7" s="1"/>
  <c r="CU67" i="7" s="1"/>
  <c r="CU68" i="7" s="1"/>
  <c r="CU69" i="7" s="1"/>
  <c r="CU70" i="7" s="1"/>
  <c r="CU71" i="7" s="1"/>
  <c r="CU72" i="7" s="1"/>
  <c r="CU73" i="7" s="1"/>
  <c r="CU74" i="7" s="1"/>
  <c r="CU75" i="7" s="1"/>
  <c r="CU76" i="7" s="1"/>
  <c r="CU77" i="7" s="1"/>
  <c r="CU78" i="7" s="1"/>
  <c r="CU79" i="7" s="1"/>
  <c r="CU80" i="7" s="1"/>
  <c r="CU81" i="7" s="1"/>
  <c r="CU82" i="7" s="1"/>
  <c r="CU83" i="7" s="1"/>
  <c r="CU84" i="7" s="1"/>
  <c r="CU85" i="7" s="1"/>
  <c r="CU86" i="7" s="1"/>
  <c r="CU87" i="7" s="1"/>
  <c r="CU88" i="7" s="1"/>
  <c r="CU89" i="7" s="1"/>
  <c r="CU90" i="7" s="1"/>
  <c r="CU91" i="7" s="1"/>
  <c r="CU92" i="7" s="1"/>
  <c r="CU93" i="7" s="1"/>
  <c r="CU94" i="7" s="1"/>
  <c r="CU95" i="7" s="1"/>
  <c r="CU96" i="7" s="1"/>
  <c r="CU97" i="7" s="1"/>
  <c r="CU98" i="7" s="1"/>
  <c r="CU99" i="7" s="1"/>
  <c r="CU100" i="7" s="1"/>
  <c r="CU101" i="7" s="1"/>
  <c r="CU102" i="7" s="1"/>
  <c r="CU103" i="7" s="1"/>
  <c r="CU104" i="7" s="1"/>
  <c r="CU105" i="7" s="1"/>
  <c r="CU106" i="7" s="1"/>
  <c r="CU107" i="7" s="1"/>
  <c r="CU108" i="7" s="1"/>
  <c r="CU109" i="7" s="1"/>
  <c r="CU110" i="7" s="1"/>
  <c r="CU111" i="7" s="1"/>
  <c r="CU112" i="7" s="1"/>
  <c r="CU113" i="7" s="1"/>
  <c r="CU114" i="7" s="1"/>
  <c r="CU115" i="7" s="1"/>
  <c r="CU116" i="7" s="1"/>
  <c r="CU118" i="7" s="1"/>
  <c r="CU119" i="7" s="1"/>
  <c r="CU120" i="7" s="1"/>
  <c r="CE17" i="7"/>
  <c r="CE18" i="7" s="1"/>
  <c r="CE19" i="7" s="1"/>
  <c r="CE20" i="7" s="1"/>
  <c r="CE21" i="7" s="1"/>
  <c r="CE22" i="7" s="1"/>
  <c r="CE23" i="7" s="1"/>
  <c r="CE24" i="7" s="1"/>
  <c r="CE25" i="7" s="1"/>
  <c r="CE26" i="7" s="1"/>
  <c r="CE27" i="7" s="1"/>
  <c r="CE28" i="7" s="1"/>
  <c r="CE29" i="7" s="1"/>
  <c r="CE30" i="7" s="1"/>
  <c r="CE31" i="7" s="1"/>
  <c r="CE32" i="7" s="1"/>
  <c r="CE33" i="7" s="1"/>
  <c r="CE34" i="7" s="1"/>
  <c r="CE35" i="7" s="1"/>
  <c r="CE36" i="7" s="1"/>
  <c r="CE37" i="7" s="1"/>
  <c r="CE38" i="7" s="1"/>
  <c r="CE39" i="7" s="1"/>
  <c r="CE40" i="7" s="1"/>
  <c r="CE41" i="7" s="1"/>
  <c r="CE42" i="7" s="1"/>
  <c r="CE43" i="7" s="1"/>
  <c r="CE44" i="7" s="1"/>
  <c r="CE45" i="7" s="1"/>
  <c r="CE46" i="7" s="1"/>
  <c r="CE47" i="7" s="1"/>
  <c r="CE48" i="7" s="1"/>
  <c r="CE49" i="7" s="1"/>
  <c r="CE50" i="7" s="1"/>
  <c r="CE51" i="7" s="1"/>
  <c r="CE52" i="7" s="1"/>
  <c r="CE53" i="7" s="1"/>
  <c r="CE54" i="7" s="1"/>
  <c r="CE55" i="7" s="1"/>
  <c r="CE56" i="7" s="1"/>
  <c r="CE57" i="7" s="1"/>
  <c r="CE58" i="7" s="1"/>
  <c r="CE59" i="7" s="1"/>
  <c r="CE60" i="7" s="1"/>
  <c r="CE61" i="7" s="1"/>
  <c r="CE62" i="7" s="1"/>
  <c r="CE63" i="7" s="1"/>
  <c r="CE64" i="7" s="1"/>
  <c r="CE65" i="7" s="1"/>
  <c r="CE66" i="7" s="1"/>
  <c r="CE67" i="7" s="1"/>
  <c r="CE68" i="7" s="1"/>
  <c r="CE69" i="7" s="1"/>
  <c r="CE70" i="7" s="1"/>
  <c r="CE71" i="7" s="1"/>
  <c r="CE72" i="7" s="1"/>
  <c r="CE73" i="7" s="1"/>
  <c r="CE74" i="7" s="1"/>
  <c r="CE75" i="7" s="1"/>
  <c r="CE76" i="7" s="1"/>
  <c r="CE77" i="7" s="1"/>
  <c r="CE78" i="7" s="1"/>
  <c r="CE79" i="7" s="1"/>
  <c r="CE80" i="7" s="1"/>
  <c r="CE81" i="7" s="1"/>
  <c r="CE82" i="7" s="1"/>
  <c r="CE83" i="7" s="1"/>
  <c r="CE84" i="7" s="1"/>
  <c r="CE85" i="7" s="1"/>
  <c r="CE86" i="7" s="1"/>
  <c r="CE87" i="7" s="1"/>
  <c r="CE88" i="7" s="1"/>
  <c r="CE89" i="7" s="1"/>
  <c r="CE90" i="7" s="1"/>
  <c r="CE91" i="7" s="1"/>
  <c r="CE92" i="7" s="1"/>
  <c r="CE93" i="7" s="1"/>
  <c r="CE94" i="7" s="1"/>
  <c r="CE95" i="7" s="1"/>
  <c r="CE96" i="7" s="1"/>
  <c r="CE97" i="7" s="1"/>
  <c r="CE98" i="7" s="1"/>
  <c r="CE99" i="7" s="1"/>
  <c r="CE100" i="7" s="1"/>
  <c r="CE101" i="7" s="1"/>
  <c r="CE102" i="7" s="1"/>
  <c r="CE103" i="7" s="1"/>
  <c r="CE104" i="7" s="1"/>
  <c r="CE105" i="7" s="1"/>
  <c r="CE106" i="7" s="1"/>
  <c r="CE107" i="7" s="1"/>
  <c r="CE108" i="7" s="1"/>
  <c r="CE109" i="7" s="1"/>
  <c r="CE110" i="7" s="1"/>
  <c r="CE111" i="7" s="1"/>
  <c r="CE112" i="7" s="1"/>
  <c r="CE113" i="7" s="1"/>
  <c r="CE114" i="7" s="1"/>
  <c r="CE115" i="7" s="1"/>
  <c r="CE116" i="7" s="1"/>
  <c r="CE118" i="7" s="1"/>
  <c r="CE119" i="7" s="1"/>
  <c r="CE120" i="7" s="1"/>
  <c r="BO17" i="7"/>
  <c r="BO18" i="7" s="1"/>
  <c r="BO19" i="7" s="1"/>
  <c r="BO20" i="7" s="1"/>
  <c r="BO21" i="7" s="1"/>
  <c r="BO22" i="7" s="1"/>
  <c r="BO23" i="7" s="1"/>
  <c r="BO24" i="7" s="1"/>
  <c r="BO25" i="7" s="1"/>
  <c r="BO26" i="7" s="1"/>
  <c r="BO27" i="7" s="1"/>
  <c r="BO28" i="7" s="1"/>
  <c r="BO29" i="7" s="1"/>
  <c r="BO30" i="7" s="1"/>
  <c r="BO31" i="7" s="1"/>
  <c r="BO32" i="7" s="1"/>
  <c r="BO33" i="7" s="1"/>
  <c r="BO34" i="7" s="1"/>
  <c r="BO35" i="7" s="1"/>
  <c r="BO36" i="7" s="1"/>
  <c r="BO37" i="7" s="1"/>
  <c r="BO38" i="7" s="1"/>
  <c r="BO39" i="7" s="1"/>
  <c r="BO40" i="7" s="1"/>
  <c r="BO41" i="7" s="1"/>
  <c r="BO42" i="7" s="1"/>
  <c r="BO43" i="7" s="1"/>
  <c r="BO44" i="7" s="1"/>
  <c r="BO45" i="7" s="1"/>
  <c r="BO46" i="7" s="1"/>
  <c r="BO47" i="7" s="1"/>
  <c r="BO48" i="7" s="1"/>
  <c r="BO49" i="7" s="1"/>
  <c r="BO50" i="7" s="1"/>
  <c r="BO51" i="7" s="1"/>
  <c r="BO52" i="7" s="1"/>
  <c r="BO53" i="7" s="1"/>
  <c r="BO54" i="7" s="1"/>
  <c r="BO55" i="7" s="1"/>
  <c r="BO56" i="7" s="1"/>
  <c r="BO57" i="7" s="1"/>
  <c r="BO58" i="7" s="1"/>
  <c r="BO59" i="7" s="1"/>
  <c r="BO60" i="7" s="1"/>
  <c r="BO61" i="7" s="1"/>
  <c r="BO62" i="7" s="1"/>
  <c r="BO63" i="7" s="1"/>
  <c r="BO64" i="7" s="1"/>
  <c r="BO65" i="7" s="1"/>
  <c r="BO66" i="7" s="1"/>
  <c r="BO67" i="7" s="1"/>
  <c r="BO68" i="7" s="1"/>
  <c r="BO69" i="7" s="1"/>
  <c r="BO70" i="7" s="1"/>
  <c r="BO71" i="7" s="1"/>
  <c r="BO72" i="7" s="1"/>
  <c r="BO73" i="7" s="1"/>
  <c r="BO74" i="7" s="1"/>
  <c r="BO75" i="7" s="1"/>
  <c r="BO76" i="7" s="1"/>
  <c r="BO77" i="7" s="1"/>
  <c r="BO78" i="7" s="1"/>
  <c r="BO79" i="7" s="1"/>
  <c r="BO80" i="7" s="1"/>
  <c r="BO81" i="7" s="1"/>
  <c r="BO82" i="7" s="1"/>
  <c r="BO83" i="7" s="1"/>
  <c r="BO84" i="7" s="1"/>
  <c r="BO85" i="7" s="1"/>
  <c r="BO86" i="7" s="1"/>
  <c r="BO87" i="7" s="1"/>
  <c r="BO88" i="7" s="1"/>
  <c r="BO89" i="7" s="1"/>
  <c r="BO90" i="7" s="1"/>
  <c r="BO91" i="7" s="1"/>
  <c r="BO92" i="7" s="1"/>
  <c r="BO93" i="7" s="1"/>
  <c r="BO94" i="7" s="1"/>
  <c r="BO95" i="7" s="1"/>
  <c r="BO96" i="7" s="1"/>
  <c r="BO97" i="7" s="1"/>
  <c r="BO98" i="7" s="1"/>
  <c r="BO99" i="7" s="1"/>
  <c r="BO100" i="7" s="1"/>
  <c r="BO101" i="7" s="1"/>
  <c r="BO102" i="7" s="1"/>
  <c r="BO103" i="7" s="1"/>
  <c r="BO104" i="7" s="1"/>
  <c r="BO105" i="7" s="1"/>
  <c r="BO106" i="7" s="1"/>
  <c r="BO107" i="7" s="1"/>
  <c r="BO108" i="7" s="1"/>
  <c r="BO109" i="7" s="1"/>
  <c r="BO110" i="7" s="1"/>
  <c r="BO111" i="7" s="1"/>
  <c r="BO112" i="7" s="1"/>
  <c r="BO113" i="7" s="1"/>
  <c r="BO114" i="7" s="1"/>
  <c r="BO115" i="7" s="1"/>
  <c r="BO116" i="7" s="1"/>
  <c r="BO118" i="7" s="1"/>
  <c r="BO119" i="7" s="1"/>
  <c r="BO120" i="7" s="1"/>
  <c r="AY17" i="7"/>
  <c r="AY18" i="7" s="1"/>
  <c r="AY19" i="7" s="1"/>
  <c r="AY20" i="7" s="1"/>
  <c r="AY21" i="7" s="1"/>
  <c r="AY22" i="7" s="1"/>
  <c r="AY23" i="7" s="1"/>
  <c r="AY24" i="7" s="1"/>
  <c r="AY25" i="7" s="1"/>
  <c r="AY26" i="7" s="1"/>
  <c r="AY27" i="7" s="1"/>
  <c r="AY28" i="7" s="1"/>
  <c r="AY29" i="7" s="1"/>
  <c r="AY30" i="7" s="1"/>
  <c r="AY31" i="7" s="1"/>
  <c r="AY32" i="7" s="1"/>
  <c r="AY33" i="7" s="1"/>
  <c r="AY34" i="7" s="1"/>
  <c r="AY35" i="7" s="1"/>
  <c r="AY36" i="7" s="1"/>
  <c r="AY37" i="7" s="1"/>
  <c r="AY38" i="7" s="1"/>
  <c r="AY39" i="7" s="1"/>
  <c r="AY40" i="7" s="1"/>
  <c r="AY41" i="7" s="1"/>
  <c r="AY42" i="7" s="1"/>
  <c r="AY43" i="7" s="1"/>
  <c r="AY44" i="7" s="1"/>
  <c r="AY45" i="7" s="1"/>
  <c r="AY46" i="7" s="1"/>
  <c r="AY47" i="7" s="1"/>
  <c r="AY48" i="7" s="1"/>
  <c r="AY49" i="7" s="1"/>
  <c r="AY50" i="7" s="1"/>
  <c r="AY51" i="7" s="1"/>
  <c r="AY52" i="7" s="1"/>
  <c r="AY53" i="7" s="1"/>
  <c r="AY54" i="7" s="1"/>
  <c r="AY55" i="7" s="1"/>
  <c r="AY56" i="7" s="1"/>
  <c r="AY57" i="7" s="1"/>
  <c r="AY58" i="7" s="1"/>
  <c r="AY59" i="7" s="1"/>
  <c r="AY60" i="7" s="1"/>
  <c r="AY61" i="7" s="1"/>
  <c r="AY62" i="7" s="1"/>
  <c r="AY63" i="7" s="1"/>
  <c r="AY64" i="7" s="1"/>
  <c r="AY65" i="7" s="1"/>
  <c r="AY66" i="7" s="1"/>
  <c r="AY67" i="7" s="1"/>
  <c r="AY68" i="7" s="1"/>
  <c r="AY69" i="7" s="1"/>
  <c r="AY70" i="7" s="1"/>
  <c r="AY71" i="7" s="1"/>
  <c r="AY72" i="7" s="1"/>
  <c r="AY73" i="7" s="1"/>
  <c r="AY74" i="7" s="1"/>
  <c r="AY75" i="7" s="1"/>
  <c r="AY76" i="7" s="1"/>
  <c r="AY77" i="7" s="1"/>
  <c r="AY78" i="7" s="1"/>
  <c r="AY79" i="7" s="1"/>
  <c r="AY80" i="7" s="1"/>
  <c r="AY81" i="7" s="1"/>
  <c r="AY82" i="7" s="1"/>
  <c r="AY83" i="7" s="1"/>
  <c r="AY84" i="7" s="1"/>
  <c r="AY85" i="7" s="1"/>
  <c r="AY86" i="7" s="1"/>
  <c r="AY87" i="7" s="1"/>
  <c r="AY88" i="7" s="1"/>
  <c r="AY89" i="7" s="1"/>
  <c r="AY90" i="7" s="1"/>
  <c r="AY91" i="7" s="1"/>
  <c r="AY92" i="7" s="1"/>
  <c r="AY93" i="7" s="1"/>
  <c r="AY94" i="7" s="1"/>
  <c r="AY95" i="7" s="1"/>
  <c r="AY96" i="7" s="1"/>
  <c r="AY97" i="7" s="1"/>
  <c r="AY98" i="7" s="1"/>
  <c r="AY99" i="7" s="1"/>
  <c r="AY100" i="7" s="1"/>
  <c r="AY101" i="7" s="1"/>
  <c r="AY102" i="7" s="1"/>
  <c r="AY103" i="7" s="1"/>
  <c r="AY104" i="7" s="1"/>
  <c r="AY105" i="7" s="1"/>
  <c r="AY106" i="7" s="1"/>
  <c r="AY107" i="7" s="1"/>
  <c r="AY108" i="7" s="1"/>
  <c r="AY109" i="7" s="1"/>
  <c r="AY110" i="7" s="1"/>
  <c r="AY111" i="7" s="1"/>
  <c r="AY112" i="7" s="1"/>
  <c r="AY113" i="7" s="1"/>
  <c r="AY114" i="7" s="1"/>
  <c r="AY115" i="7" s="1"/>
  <c r="AY116" i="7" s="1"/>
  <c r="AY118" i="7" s="1"/>
  <c r="AY119" i="7" s="1"/>
  <c r="AY120" i="7" s="1"/>
  <c r="AI17" i="7"/>
  <c r="AI18" i="7" s="1"/>
  <c r="AI19" i="7" s="1"/>
  <c r="AI20" i="7" s="1"/>
  <c r="AI21" i="7" s="1"/>
  <c r="AI22" i="7" s="1"/>
  <c r="AI23" i="7" s="1"/>
  <c r="AI24" i="7" s="1"/>
  <c r="AI25" i="7" s="1"/>
  <c r="AI26" i="7" s="1"/>
  <c r="AI27" i="7" s="1"/>
  <c r="AI28" i="7" s="1"/>
  <c r="AI29" i="7" s="1"/>
  <c r="AI30" i="7" s="1"/>
  <c r="AI31" i="7" s="1"/>
  <c r="AI32" i="7" s="1"/>
  <c r="AI33" i="7" s="1"/>
  <c r="AI34" i="7" s="1"/>
  <c r="AI35" i="7" s="1"/>
  <c r="AI36" i="7" s="1"/>
  <c r="AI37" i="7" s="1"/>
  <c r="AI38" i="7" s="1"/>
  <c r="AI39" i="7" s="1"/>
  <c r="AI40" i="7" s="1"/>
  <c r="AI41" i="7" s="1"/>
  <c r="AI42" i="7" s="1"/>
  <c r="AI43" i="7" s="1"/>
  <c r="AI44" i="7" s="1"/>
  <c r="AI45" i="7" s="1"/>
  <c r="AI46" i="7" s="1"/>
  <c r="AI47" i="7" s="1"/>
  <c r="AI48" i="7" s="1"/>
  <c r="AI49" i="7" s="1"/>
  <c r="AI50" i="7" s="1"/>
  <c r="AI51" i="7" s="1"/>
  <c r="AI52" i="7" s="1"/>
  <c r="AI53" i="7" s="1"/>
  <c r="AI54" i="7" s="1"/>
  <c r="AI55" i="7" s="1"/>
  <c r="AI56" i="7" s="1"/>
  <c r="AI57" i="7" s="1"/>
  <c r="AI58" i="7" s="1"/>
  <c r="AI59" i="7" s="1"/>
  <c r="AI60" i="7" s="1"/>
  <c r="AI61" i="7" s="1"/>
  <c r="AI62" i="7" s="1"/>
  <c r="AI63" i="7" s="1"/>
  <c r="AI64" i="7" s="1"/>
  <c r="AI65" i="7" s="1"/>
  <c r="AI66" i="7" s="1"/>
  <c r="AI67" i="7" s="1"/>
  <c r="AI68" i="7" s="1"/>
  <c r="AI69" i="7" s="1"/>
  <c r="AI70" i="7" s="1"/>
  <c r="AI71" i="7" s="1"/>
  <c r="AI72" i="7" s="1"/>
  <c r="AI73" i="7" s="1"/>
  <c r="AI74" i="7" s="1"/>
  <c r="AI75" i="7" s="1"/>
  <c r="AI76" i="7" s="1"/>
  <c r="AI77" i="7" s="1"/>
  <c r="AI78" i="7" s="1"/>
  <c r="AI79" i="7" s="1"/>
  <c r="AI80" i="7" s="1"/>
  <c r="AI81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I113" i="7" s="1"/>
  <c r="AI114" i="7" s="1"/>
  <c r="AI115" i="7" s="1"/>
  <c r="AI116" i="7" s="1"/>
  <c r="AI118" i="7" s="1"/>
  <c r="AI119" i="7" s="1"/>
  <c r="AI120" i="7" s="1"/>
  <c r="C122" i="7" l="1"/>
  <c r="C121" i="7"/>
  <c r="B9" i="6" l="1"/>
  <c r="C3" i="6"/>
  <c r="C2" i="6"/>
  <c r="C1" i="6"/>
  <c r="B10" i="6" l="1"/>
  <c r="B11" i="6" s="1"/>
  <c r="B12" i="6" s="1"/>
  <c r="B4" i="5" l="1"/>
  <c r="B9" i="5"/>
  <c r="C15" i="5"/>
  <c r="B10" i="5" l="1"/>
  <c r="H17" i="5" l="1"/>
  <c r="B11" i="5"/>
  <c r="G17" i="5"/>
  <c r="H26" i="5" l="1"/>
  <c r="H38" i="5" s="1"/>
  <c r="Q26" i="5"/>
  <c r="Q38" i="5" s="1"/>
  <c r="E11" i="5"/>
  <c r="B12" i="5"/>
  <c r="F16" i="5"/>
  <c r="E17" i="5"/>
  <c r="G16" i="5"/>
  <c r="H20" i="5"/>
  <c r="G15" i="5"/>
  <c r="E16" i="5"/>
  <c r="H16" i="5"/>
  <c r="H15" i="5"/>
  <c r="G18" i="5"/>
  <c r="H19" i="5"/>
  <c r="F15" i="5"/>
  <c r="D16" i="5"/>
  <c r="H18" i="5"/>
  <c r="D15" i="5"/>
  <c r="F17" i="5"/>
  <c r="F18" i="5"/>
  <c r="G19" i="5"/>
  <c r="E15" i="5"/>
  <c r="H24" i="5" l="1"/>
  <c r="H36" i="5" s="1"/>
  <c r="Q24" i="5"/>
  <c r="Q36" i="5" s="1"/>
  <c r="Q29" i="5"/>
  <c r="Q41" i="5" s="1"/>
  <c r="H29" i="5"/>
  <c r="H41" i="5" s="1"/>
  <c r="Q25" i="5"/>
  <c r="Q37" i="5" s="1"/>
  <c r="H25" i="5"/>
  <c r="H37" i="5" s="1"/>
  <c r="H28" i="5"/>
  <c r="H40" i="5" s="1"/>
  <c r="Q28" i="5"/>
  <c r="Q40" i="5" s="1"/>
  <c r="Q27" i="5"/>
  <c r="Q39" i="5" s="1"/>
  <c r="H27" i="5"/>
  <c r="H39" i="5" s="1"/>
  <c r="G24" i="5" l="1"/>
  <c r="G25" i="5"/>
  <c r="P25" i="5"/>
  <c r="P24" i="5"/>
  <c r="G28" i="5"/>
  <c r="G40" i="5" s="1"/>
  <c r="P28" i="5"/>
  <c r="P40" i="5" s="1"/>
  <c r="G26" i="5"/>
  <c r="G27" i="5"/>
  <c r="P26" i="5"/>
  <c r="P27" i="5"/>
  <c r="G39" i="5" l="1"/>
  <c r="F27" i="5"/>
  <c r="F39" i="5" s="1"/>
  <c r="G38" i="5"/>
  <c r="F26" i="5"/>
  <c r="P39" i="5"/>
  <c r="O27" i="5"/>
  <c r="O39" i="5" s="1"/>
  <c r="G37" i="5"/>
  <c r="F25" i="5"/>
  <c r="P36" i="5"/>
  <c r="O24" i="5"/>
  <c r="P37" i="5"/>
  <c r="O25" i="5"/>
  <c r="P38" i="5"/>
  <c r="O26" i="5"/>
  <c r="G36" i="5"/>
  <c r="F24" i="5"/>
  <c r="O37" i="5" l="1"/>
  <c r="N25" i="5"/>
  <c r="F37" i="5"/>
  <c r="E25" i="5"/>
  <c r="F38" i="5"/>
  <c r="E26" i="5"/>
  <c r="E38" i="5" s="1"/>
  <c r="F36" i="5"/>
  <c r="E24" i="5"/>
  <c r="O38" i="5"/>
  <c r="N26" i="5"/>
  <c r="N38" i="5" s="1"/>
  <c r="O36" i="5"/>
  <c r="N24" i="5"/>
  <c r="E36" i="5" l="1"/>
  <c r="D24" i="5"/>
  <c r="E37" i="5"/>
  <c r="D25" i="5"/>
  <c r="D37" i="5" s="1"/>
  <c r="N36" i="5"/>
  <c r="M24" i="5"/>
  <c r="N37" i="5"/>
  <c r="M25" i="5"/>
  <c r="M37" i="5" s="1"/>
  <c r="D36" i="5" l="1"/>
  <c r="C24" i="5"/>
  <c r="C36" i="5" s="1"/>
  <c r="M36" i="5"/>
  <c r="L24" i="5"/>
  <c r="L36" i="5" s="1"/>
</calcChain>
</file>

<file path=xl/sharedStrings.xml><?xml version="1.0" encoding="utf-8"?>
<sst xmlns="http://schemas.openxmlformats.org/spreadsheetml/2006/main" count="197" uniqueCount="58">
  <si>
    <t>j</t>
  </si>
  <si>
    <t>Quanto Option</t>
  </si>
  <si>
    <t>i</t>
  </si>
  <si>
    <t>Put Option</t>
  </si>
  <si>
    <t>Call Option</t>
  </si>
  <si>
    <t>S(n)</t>
  </si>
  <si>
    <t>p*</t>
  </si>
  <si>
    <t>u*d=</t>
  </si>
  <si>
    <t>d</t>
  </si>
  <si>
    <t>u</t>
  </si>
  <si>
    <t>delta_t</t>
  </si>
  <si>
    <t>N</t>
  </si>
  <si>
    <t>sigma</t>
  </si>
  <si>
    <t>r</t>
  </si>
  <si>
    <t>year</t>
  </si>
  <si>
    <t>T</t>
  </si>
  <si>
    <t>USDPLN</t>
  </si>
  <si>
    <t>FX(0)</t>
  </si>
  <si>
    <t>XAUUSD</t>
  </si>
  <si>
    <t>K</t>
  </si>
  <si>
    <t>S(0)</t>
  </si>
  <si>
    <t xml:space="preserve">Underlier price : </t>
  </si>
  <si>
    <t xml:space="preserve">Option Put : </t>
  </si>
  <si>
    <t xml:space="preserve">Quanto price : </t>
  </si>
  <si>
    <t xml:space="preserve">Delta hedge : </t>
  </si>
  <si>
    <t xml:space="preserve">Delta hedge(money): : </t>
  </si>
  <si>
    <t>XUAUSD</t>
  </si>
  <si>
    <t>years</t>
  </si>
  <si>
    <t>fx(0)</t>
  </si>
  <si>
    <t>samples</t>
  </si>
  <si>
    <t>n</t>
  </si>
  <si>
    <t>Call price</t>
  </si>
  <si>
    <t>quanto price(N)</t>
  </si>
  <si>
    <t>quanto price (0)</t>
  </si>
  <si>
    <t>Count &gt;0</t>
  </si>
  <si>
    <t>avg quanto price(0)</t>
  </si>
  <si>
    <t>PLN</t>
  </si>
  <si>
    <t>Samples</t>
  </si>
  <si>
    <t>S(T)</t>
  </si>
  <si>
    <t>Quanto price</t>
  </si>
  <si>
    <t>S</t>
  </si>
  <si>
    <t>cena S</t>
  </si>
  <si>
    <t>aj*</t>
  </si>
  <si>
    <t>b*</t>
  </si>
  <si>
    <t>cj*</t>
  </si>
  <si>
    <t>suma</t>
  </si>
  <si>
    <t>S_max</t>
  </si>
  <si>
    <t>M</t>
  </si>
  <si>
    <t>deltat</t>
  </si>
  <si>
    <t>deltS</t>
  </si>
  <si>
    <t>bj*</t>
  </si>
  <si>
    <t>Sum</t>
  </si>
  <si>
    <t>j/i</t>
  </si>
  <si>
    <t xml:space="preserve">Option Call : </t>
  </si>
  <si>
    <t>lat</t>
  </si>
  <si>
    <t>delta_s</t>
  </si>
  <si>
    <t>s_max</t>
  </si>
  <si>
    <t>Samples_max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</si>
</sst>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color rgb="FF000000"/>
      <name val="Arial"/>
      <family val="2"/>
      <charset val="238"/>
    </font>
    <font>
      <b/>
      <sz val="11"/>
      <color theme="1"/>
      <name val="Czcionka tekstu podstawowego"/>
      <charset val="23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AC8C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/>
    <xf numFmtId="10" fontId="0" fillId="0" borderId="0" xfId="0" applyNumberFormat="1"/>
    <xf numFmtId="0" fontId="0" fillId="2" borderId="0" xfId="0" applyNumberFormat="1" applyFill="1"/>
    <xf numFmtId="9" fontId="0" fillId="0" borderId="0" xfId="0" applyNumberFormat="1"/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3" fillId="5" borderId="1" xfId="0" applyFont="1" applyFill="1" applyBorder="1"/>
    <xf numFmtId="0" fontId="0" fillId="2" borderId="1" xfId="0" applyFill="1" applyBorder="1"/>
    <xf numFmtId="0" fontId="3" fillId="6" borderId="0" xfId="0" applyFont="1" applyFill="1"/>
    <xf numFmtId="0" fontId="3" fillId="7" borderId="0" xfId="0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3" fillId="8" borderId="1" xfId="0" applyFont="1" applyFill="1" applyBorder="1"/>
    <xf numFmtId="0" fontId="0" fillId="9" borderId="0" xfId="0" applyFill="1"/>
    <xf numFmtId="0" fontId="0" fillId="10" borderId="0" xfId="0" applyFill="1"/>
    <xf numFmtId="2" fontId="0" fillId="11" borderId="0" xfId="0" applyNumberFormat="1" applyFill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2" fontId="0" fillId="0" borderId="0" xfId="0" applyNumberFormat="1"/>
    <xf numFmtId="0" fontId="0" fillId="12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13" borderId="0" xfId="0" applyFill="1"/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0" borderId="1" xfId="0" applyFill="1" applyBorder="1"/>
    <xf numFmtId="0" fontId="0" fillId="5" borderId="1" xfId="0" applyFill="1" applyBorder="1"/>
    <xf numFmtId="0" fontId="0" fillId="0" borderId="1" xfId="0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yVal>
            <c:numRef>
              <c:f>MCarlo_ar!$D$16:$D$116</c:f>
              <c:numCache>
                <c:formatCode>General</c:formatCode>
                <c:ptCount val="101"/>
                <c:pt idx="0">
                  <c:v>1200</c:v>
                </c:pt>
                <c:pt idx="1">
                  <c:v>1170.1678090266935</c:v>
                </c:pt>
                <c:pt idx="2">
                  <c:v>1141.0772510686099</c:v>
                </c:pt>
                <c:pt idx="3">
                  <c:v>1112.7098890109644</c:v>
                </c:pt>
                <c:pt idx="4">
                  <c:v>1141.0772510686097</c:v>
                </c:pt>
                <c:pt idx="5">
                  <c:v>1112.7098890109644</c:v>
                </c:pt>
                <c:pt idx="6">
                  <c:v>1141.0772510686097</c:v>
                </c:pt>
                <c:pt idx="7">
                  <c:v>1170.167809026693</c:v>
                </c:pt>
                <c:pt idx="8">
                  <c:v>1141.0772510686097</c:v>
                </c:pt>
                <c:pt idx="9">
                  <c:v>1170.167809026693</c:v>
                </c:pt>
                <c:pt idx="10">
                  <c:v>1141.0772510686097</c:v>
                </c:pt>
                <c:pt idx="11">
                  <c:v>1170.167809026693</c:v>
                </c:pt>
                <c:pt idx="12">
                  <c:v>1199.9999999999995</c:v>
                </c:pt>
                <c:pt idx="13">
                  <c:v>1170.167809026693</c:v>
                </c:pt>
                <c:pt idx="14">
                  <c:v>1199.9999999999995</c:v>
                </c:pt>
                <c:pt idx="15">
                  <c:v>1230.5927311380608</c:v>
                </c:pt>
                <c:pt idx="16">
                  <c:v>1199.9999999999995</c:v>
                </c:pt>
                <c:pt idx="17">
                  <c:v>1230.5927311380608</c:v>
                </c:pt>
                <c:pt idx="18">
                  <c:v>1199.9999999999995</c:v>
                </c:pt>
                <c:pt idx="19">
                  <c:v>1170.167809026693</c:v>
                </c:pt>
                <c:pt idx="20">
                  <c:v>1199.9999999999995</c:v>
                </c:pt>
                <c:pt idx="21">
                  <c:v>1170.167809026693</c:v>
                </c:pt>
                <c:pt idx="22">
                  <c:v>1141.0772510686097</c:v>
                </c:pt>
                <c:pt idx="23">
                  <c:v>1112.7098890109644</c:v>
                </c:pt>
                <c:pt idx="24">
                  <c:v>1085.0477440885795</c:v>
                </c:pt>
                <c:pt idx="25">
                  <c:v>1112.7098890109644</c:v>
                </c:pt>
                <c:pt idx="26">
                  <c:v>1085.0477440885795</c:v>
                </c:pt>
                <c:pt idx="27">
                  <c:v>1112.7098890109644</c:v>
                </c:pt>
                <c:pt idx="28">
                  <c:v>1141.0772510686097</c:v>
                </c:pt>
                <c:pt idx="29">
                  <c:v>1170.167809026693</c:v>
                </c:pt>
                <c:pt idx="30">
                  <c:v>1199.9999999999995</c:v>
                </c:pt>
                <c:pt idx="31">
                  <c:v>1170.167809026693</c:v>
                </c:pt>
                <c:pt idx="32">
                  <c:v>1141.0772510686097</c:v>
                </c:pt>
                <c:pt idx="33">
                  <c:v>1112.7098890109644</c:v>
                </c:pt>
                <c:pt idx="34">
                  <c:v>1141.0772510686097</c:v>
                </c:pt>
                <c:pt idx="35">
                  <c:v>1112.7098890109644</c:v>
                </c:pt>
                <c:pt idx="36">
                  <c:v>1085.0477440885795</c:v>
                </c:pt>
                <c:pt idx="37">
                  <c:v>1058.0732844912411</c:v>
                </c:pt>
                <c:pt idx="38">
                  <c:v>1085.0477440885795</c:v>
                </c:pt>
                <c:pt idx="39">
                  <c:v>1112.7098890109644</c:v>
                </c:pt>
                <c:pt idx="40">
                  <c:v>1141.0772510686097</c:v>
                </c:pt>
                <c:pt idx="41">
                  <c:v>1112.7098890109644</c:v>
                </c:pt>
                <c:pt idx="42">
                  <c:v>1085.0477440885795</c:v>
                </c:pt>
                <c:pt idx="43">
                  <c:v>1112.7098890109644</c:v>
                </c:pt>
                <c:pt idx="44">
                  <c:v>1141.0772510686097</c:v>
                </c:pt>
                <c:pt idx="45">
                  <c:v>1170.167809026693</c:v>
                </c:pt>
                <c:pt idx="46">
                  <c:v>1141.0772510686097</c:v>
                </c:pt>
                <c:pt idx="47">
                  <c:v>1112.7098890109644</c:v>
                </c:pt>
                <c:pt idx="48">
                  <c:v>1141.0772510686097</c:v>
                </c:pt>
                <c:pt idx="49">
                  <c:v>1112.7098890109644</c:v>
                </c:pt>
                <c:pt idx="50">
                  <c:v>1085.0477440885795</c:v>
                </c:pt>
                <c:pt idx="51">
                  <c:v>1058.0732844912411</c:v>
                </c:pt>
                <c:pt idx="52">
                  <c:v>1085.0477440885795</c:v>
                </c:pt>
                <c:pt idx="53">
                  <c:v>1058.0732844912411</c:v>
                </c:pt>
                <c:pt idx="54">
                  <c:v>1085.0477440885795</c:v>
                </c:pt>
                <c:pt idx="55">
                  <c:v>1112.7098890109644</c:v>
                </c:pt>
                <c:pt idx="56">
                  <c:v>1085.0477440885795</c:v>
                </c:pt>
                <c:pt idx="57">
                  <c:v>1058.0732844912411</c:v>
                </c:pt>
                <c:pt idx="58">
                  <c:v>1031.7694142523274</c:v>
                </c:pt>
                <c:pt idx="59">
                  <c:v>1006.1194624136672</c:v>
                </c:pt>
                <c:pt idx="60">
                  <c:v>1031.7694142523274</c:v>
                </c:pt>
                <c:pt idx="61">
                  <c:v>1006.1194624136672</c:v>
                </c:pt>
                <c:pt idx="62">
                  <c:v>981.10717245976286</c:v>
                </c:pt>
                <c:pt idx="63">
                  <c:v>956.7166920146791</c:v>
                </c:pt>
                <c:pt idx="64">
                  <c:v>981.10717245976286</c:v>
                </c:pt>
                <c:pt idx="65">
                  <c:v>1006.1194624136671</c:v>
                </c:pt>
                <c:pt idx="66">
                  <c:v>981.10717245976275</c:v>
                </c:pt>
                <c:pt idx="67">
                  <c:v>1006.119462413667</c:v>
                </c:pt>
                <c:pt idx="68">
                  <c:v>981.10717245976264</c:v>
                </c:pt>
                <c:pt idx="69">
                  <c:v>1006.1194624136668</c:v>
                </c:pt>
                <c:pt idx="70">
                  <c:v>981.10717245976264</c:v>
                </c:pt>
                <c:pt idx="71">
                  <c:v>1006.1194624136668</c:v>
                </c:pt>
                <c:pt idx="72">
                  <c:v>981.10717245976264</c:v>
                </c:pt>
                <c:pt idx="73">
                  <c:v>956.71669201467887</c:v>
                </c:pt>
                <c:pt idx="74">
                  <c:v>981.10717245976264</c:v>
                </c:pt>
                <c:pt idx="75">
                  <c:v>956.71669201467887</c:v>
                </c:pt>
                <c:pt idx="76">
                  <c:v>932.93256279506875</c:v>
                </c:pt>
                <c:pt idx="77">
                  <c:v>909.73971081296975</c:v>
                </c:pt>
                <c:pt idx="78">
                  <c:v>887.12343682215874</c:v>
                </c:pt>
                <c:pt idx="79">
                  <c:v>865.06940700201312</c:v>
                </c:pt>
                <c:pt idx="80">
                  <c:v>843.56364387297219</c:v>
                </c:pt>
                <c:pt idx="81">
                  <c:v>865.06940700201312</c:v>
                </c:pt>
                <c:pt idx="82">
                  <c:v>843.56364387297219</c:v>
                </c:pt>
                <c:pt idx="83">
                  <c:v>865.06940700201312</c:v>
                </c:pt>
                <c:pt idx="84">
                  <c:v>887.12343682215874</c:v>
                </c:pt>
                <c:pt idx="85">
                  <c:v>865.06940700201312</c:v>
                </c:pt>
                <c:pt idx="86">
                  <c:v>843.56364387297219</c:v>
                </c:pt>
                <c:pt idx="87">
                  <c:v>865.06940700201312</c:v>
                </c:pt>
                <c:pt idx="88">
                  <c:v>843.56364387297219</c:v>
                </c:pt>
                <c:pt idx="89">
                  <c:v>865.06940700201312</c:v>
                </c:pt>
                <c:pt idx="90">
                  <c:v>843.56364387297219</c:v>
                </c:pt>
                <c:pt idx="91">
                  <c:v>865.06940700201312</c:v>
                </c:pt>
                <c:pt idx="92">
                  <c:v>843.56364387297219</c:v>
                </c:pt>
                <c:pt idx="93">
                  <c:v>822.59251743784137</c:v>
                </c:pt>
                <c:pt idx="94">
                  <c:v>802.14273654332578</c:v>
                </c:pt>
                <c:pt idx="95">
                  <c:v>782.20134045631642</c:v>
                </c:pt>
                <c:pt idx="96">
                  <c:v>802.14273654332578</c:v>
                </c:pt>
                <c:pt idx="97">
                  <c:v>822.59251743784137</c:v>
                </c:pt>
                <c:pt idx="98">
                  <c:v>802.14273654332578</c:v>
                </c:pt>
                <c:pt idx="99">
                  <c:v>822.59251743784137</c:v>
                </c:pt>
                <c:pt idx="100">
                  <c:v>843.56364387297208</c:v>
                </c:pt>
              </c:numCache>
            </c:numRef>
          </c:yVal>
          <c:smooth val="1"/>
        </c:ser>
        <c:ser>
          <c:idx val="2"/>
          <c:order val="1"/>
          <c:yVal>
            <c:numRef>
              <c:f>MCarlo_ar!$E$15:$E$116</c:f>
              <c:numCache>
                <c:formatCode>General</c:formatCode>
                <c:ptCount val="102"/>
                <c:pt idx="0">
                  <c:v>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1112.7098890109644</c:v>
                </c:pt>
                <c:pt idx="21">
                  <c:v>1141.0772510686097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1141.0772510686097</c:v>
                </c:pt>
                <c:pt idx="32">
                  <c:v>1170.167809026693</c:v>
                </c:pt>
                <c:pt idx="33">
                  <c:v>1141.0772510686097</c:v>
                </c:pt>
                <c:pt idx="34">
                  <c:v>1112.7098890109644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1031.7694142523274</c:v>
                </c:pt>
                <c:pt idx="38">
                  <c:v>1006.1194624136672</c:v>
                </c:pt>
                <c:pt idx="39">
                  <c:v>1031.7694142523274</c:v>
                </c:pt>
                <c:pt idx="40">
                  <c:v>1006.1194624136672</c:v>
                </c:pt>
                <c:pt idx="41">
                  <c:v>981.10717245976286</c:v>
                </c:pt>
                <c:pt idx="42">
                  <c:v>1006.1194624136671</c:v>
                </c:pt>
                <c:pt idx="43">
                  <c:v>981.10717245976275</c:v>
                </c:pt>
                <c:pt idx="44">
                  <c:v>1006.119462413667</c:v>
                </c:pt>
                <c:pt idx="45">
                  <c:v>1031.7694142523271</c:v>
                </c:pt>
                <c:pt idx="46">
                  <c:v>1006.119462413667</c:v>
                </c:pt>
                <c:pt idx="47">
                  <c:v>981.10717245976264</c:v>
                </c:pt>
                <c:pt idx="48">
                  <c:v>956.71669201467887</c:v>
                </c:pt>
                <c:pt idx="49">
                  <c:v>981.10717245976264</c:v>
                </c:pt>
                <c:pt idx="50">
                  <c:v>956.71669201467887</c:v>
                </c:pt>
                <c:pt idx="51">
                  <c:v>932.93256279506875</c:v>
                </c:pt>
                <c:pt idx="52">
                  <c:v>909.73971081296975</c:v>
                </c:pt>
                <c:pt idx="53">
                  <c:v>887.12343682215874</c:v>
                </c:pt>
                <c:pt idx="54">
                  <c:v>865.06940700201312</c:v>
                </c:pt>
                <c:pt idx="55">
                  <c:v>843.56364387297219</c:v>
                </c:pt>
                <c:pt idx="56">
                  <c:v>822.59251743784137</c:v>
                </c:pt>
                <c:pt idx="57">
                  <c:v>802.14273654332578</c:v>
                </c:pt>
                <c:pt idx="58">
                  <c:v>822.59251743784137</c:v>
                </c:pt>
                <c:pt idx="59">
                  <c:v>843.56364387297208</c:v>
                </c:pt>
                <c:pt idx="60">
                  <c:v>822.59251743784137</c:v>
                </c:pt>
                <c:pt idx="61">
                  <c:v>843.56364387297208</c:v>
                </c:pt>
                <c:pt idx="62">
                  <c:v>822.59251743784137</c:v>
                </c:pt>
                <c:pt idx="63">
                  <c:v>843.56364387297208</c:v>
                </c:pt>
                <c:pt idx="64">
                  <c:v>865.06940700201301</c:v>
                </c:pt>
                <c:pt idx="65">
                  <c:v>843.56364387297208</c:v>
                </c:pt>
                <c:pt idx="66">
                  <c:v>822.59251743784137</c:v>
                </c:pt>
                <c:pt idx="67">
                  <c:v>843.56364387297208</c:v>
                </c:pt>
                <c:pt idx="68">
                  <c:v>865.06940700201301</c:v>
                </c:pt>
                <c:pt idx="69">
                  <c:v>887.12343682215862</c:v>
                </c:pt>
                <c:pt idx="70">
                  <c:v>909.73971081296963</c:v>
                </c:pt>
                <c:pt idx="71">
                  <c:v>887.12343682215862</c:v>
                </c:pt>
                <c:pt idx="72">
                  <c:v>865.06940700201301</c:v>
                </c:pt>
                <c:pt idx="73">
                  <c:v>887.12343682215862</c:v>
                </c:pt>
                <c:pt idx="74">
                  <c:v>909.73971081296963</c:v>
                </c:pt>
                <c:pt idx="75">
                  <c:v>887.12343682215862</c:v>
                </c:pt>
                <c:pt idx="76">
                  <c:v>865.06940700201301</c:v>
                </c:pt>
                <c:pt idx="77">
                  <c:v>843.56364387297208</c:v>
                </c:pt>
                <c:pt idx="78">
                  <c:v>822.59251743784137</c:v>
                </c:pt>
                <c:pt idx="79">
                  <c:v>843.56364387297208</c:v>
                </c:pt>
                <c:pt idx="80">
                  <c:v>822.59251743784137</c:v>
                </c:pt>
                <c:pt idx="81">
                  <c:v>843.56364387297208</c:v>
                </c:pt>
                <c:pt idx="82">
                  <c:v>865.06940700201301</c:v>
                </c:pt>
                <c:pt idx="83">
                  <c:v>887.12343682215862</c:v>
                </c:pt>
                <c:pt idx="84">
                  <c:v>909.73971081296963</c:v>
                </c:pt>
                <c:pt idx="85">
                  <c:v>887.12343682215862</c:v>
                </c:pt>
                <c:pt idx="86">
                  <c:v>909.73971081296963</c:v>
                </c:pt>
                <c:pt idx="87">
                  <c:v>932.93256279506863</c:v>
                </c:pt>
                <c:pt idx="88">
                  <c:v>956.71669201467864</c:v>
                </c:pt>
                <c:pt idx="89">
                  <c:v>932.93256279506863</c:v>
                </c:pt>
                <c:pt idx="90">
                  <c:v>909.73971081296963</c:v>
                </c:pt>
                <c:pt idx="91">
                  <c:v>932.93256279506863</c:v>
                </c:pt>
                <c:pt idx="92">
                  <c:v>956.71669201467864</c:v>
                </c:pt>
                <c:pt idx="93">
                  <c:v>981.10717245976241</c:v>
                </c:pt>
                <c:pt idx="94">
                  <c:v>956.71669201467864</c:v>
                </c:pt>
                <c:pt idx="95">
                  <c:v>932.93256279506863</c:v>
                </c:pt>
                <c:pt idx="96">
                  <c:v>909.73971081296963</c:v>
                </c:pt>
                <c:pt idx="97">
                  <c:v>932.93256279506863</c:v>
                </c:pt>
                <c:pt idx="98">
                  <c:v>909.73971081296963</c:v>
                </c:pt>
                <c:pt idx="99">
                  <c:v>887.12343682215862</c:v>
                </c:pt>
                <c:pt idx="100">
                  <c:v>865.06940700201301</c:v>
                </c:pt>
                <c:pt idx="101">
                  <c:v>887.12343682215862</c:v>
                </c:pt>
              </c:numCache>
            </c:numRef>
          </c:yVal>
          <c:smooth val="1"/>
        </c:ser>
        <c:ser>
          <c:idx val="3"/>
          <c:order val="2"/>
          <c:yVal>
            <c:numRef>
              <c:f>MCarlo_ar!$F$15:$F$116</c:f>
              <c:numCache>
                <c:formatCode>General</c:formatCode>
                <c:ptCount val="102"/>
                <c:pt idx="0">
                  <c:v>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1170.1678090266932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1199.9999999999995</c:v>
                </c:pt>
                <c:pt idx="16">
                  <c:v>1170.167809026693</c:v>
                </c:pt>
                <c:pt idx="17">
                  <c:v>1199.9999999999995</c:v>
                </c:pt>
                <c:pt idx="18">
                  <c:v>1230.5927311380608</c:v>
                </c:pt>
                <c:pt idx="19">
                  <c:v>1261.9653916081936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1199.9999999999995</c:v>
                </c:pt>
                <c:pt idx="26">
                  <c:v>1230.5927311380608</c:v>
                </c:pt>
                <c:pt idx="27">
                  <c:v>1261.9653916081936</c:v>
                </c:pt>
                <c:pt idx="28">
                  <c:v>1230.5927311380608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1199.9999999999995</c:v>
                </c:pt>
                <c:pt idx="32">
                  <c:v>1170.167809026693</c:v>
                </c:pt>
                <c:pt idx="33">
                  <c:v>1199.9999999999995</c:v>
                </c:pt>
                <c:pt idx="34">
                  <c:v>1170.167809026693</c:v>
                </c:pt>
                <c:pt idx="35">
                  <c:v>1141.0772510686097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1112.7098890109644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1170.167809026693</c:v>
                </c:pt>
                <c:pt idx="49">
                  <c:v>1199.9999999999995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1058.0732844912411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1141.0772510686097</c:v>
                </c:pt>
                <c:pt idx="58">
                  <c:v>1112.7098890109644</c:v>
                </c:pt>
                <c:pt idx="59">
                  <c:v>1141.0772510686097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1085.0477440885795</c:v>
                </c:pt>
                <c:pt idx="64">
                  <c:v>1058.0732844912411</c:v>
                </c:pt>
                <c:pt idx="65">
                  <c:v>1085.0477440885795</c:v>
                </c:pt>
                <c:pt idx="66">
                  <c:v>1112.7098890109644</c:v>
                </c:pt>
                <c:pt idx="67">
                  <c:v>1141.0772510686097</c:v>
                </c:pt>
                <c:pt idx="68">
                  <c:v>1170.167809026693</c:v>
                </c:pt>
                <c:pt idx="69">
                  <c:v>1141.0772510686097</c:v>
                </c:pt>
                <c:pt idx="70">
                  <c:v>1170.167809026693</c:v>
                </c:pt>
                <c:pt idx="71">
                  <c:v>1141.0772510686097</c:v>
                </c:pt>
                <c:pt idx="72">
                  <c:v>1170.167809026693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1141.0772510686097</c:v>
                </c:pt>
                <c:pt idx="76">
                  <c:v>1112.7098890109644</c:v>
                </c:pt>
                <c:pt idx="77">
                  <c:v>1085.0477440885795</c:v>
                </c:pt>
                <c:pt idx="78">
                  <c:v>1058.0732844912411</c:v>
                </c:pt>
                <c:pt idx="79">
                  <c:v>1031.7694142523274</c:v>
                </c:pt>
                <c:pt idx="80">
                  <c:v>1006.1194624136672</c:v>
                </c:pt>
                <c:pt idx="81">
                  <c:v>981.10717245976286</c:v>
                </c:pt>
                <c:pt idx="82">
                  <c:v>956.7166920146791</c:v>
                </c:pt>
                <c:pt idx="83">
                  <c:v>932.93256279506897</c:v>
                </c:pt>
                <c:pt idx="84">
                  <c:v>909.73971081296986</c:v>
                </c:pt>
                <c:pt idx="85">
                  <c:v>887.12343682215885</c:v>
                </c:pt>
                <c:pt idx="86">
                  <c:v>865.06940700201324</c:v>
                </c:pt>
                <c:pt idx="87">
                  <c:v>843.56364387297231</c:v>
                </c:pt>
                <c:pt idx="88">
                  <c:v>822.59251743784148</c:v>
                </c:pt>
                <c:pt idx="89">
                  <c:v>843.56364387297219</c:v>
                </c:pt>
                <c:pt idx="90">
                  <c:v>865.06940700201312</c:v>
                </c:pt>
                <c:pt idx="91">
                  <c:v>887.12343682215874</c:v>
                </c:pt>
                <c:pt idx="92">
                  <c:v>865.06940700201312</c:v>
                </c:pt>
                <c:pt idx="93">
                  <c:v>843.56364387297219</c:v>
                </c:pt>
                <c:pt idx="94">
                  <c:v>865.06940700201312</c:v>
                </c:pt>
                <c:pt idx="95">
                  <c:v>843.56364387297219</c:v>
                </c:pt>
                <c:pt idx="96">
                  <c:v>822.59251743784137</c:v>
                </c:pt>
                <c:pt idx="97">
                  <c:v>802.14273654332578</c:v>
                </c:pt>
                <c:pt idx="98">
                  <c:v>822.59251743784137</c:v>
                </c:pt>
                <c:pt idx="99">
                  <c:v>802.14273654332578</c:v>
                </c:pt>
                <c:pt idx="100">
                  <c:v>782.20134045631642</c:v>
                </c:pt>
                <c:pt idx="101">
                  <c:v>762.755690649592</c:v>
                </c:pt>
              </c:numCache>
            </c:numRef>
          </c:yVal>
          <c:smooth val="1"/>
        </c:ser>
        <c:ser>
          <c:idx val="4"/>
          <c:order val="3"/>
          <c:yVal>
            <c:numRef>
              <c:f>MCarlo_ar!$G$15:$G$116</c:f>
              <c:numCache>
                <c:formatCode>General</c:formatCode>
                <c:ptCount val="102"/>
                <c:pt idx="0">
                  <c:v>4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1395.6606777721715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1431.2415710013786</c:v>
                </c:pt>
                <c:pt idx="23">
                  <c:v>1467.7295614807633</c:v>
                </c:pt>
                <c:pt idx="24">
                  <c:v>1505.1477746955679</c:v>
                </c:pt>
                <c:pt idx="25">
                  <c:v>1467.7295614807631</c:v>
                </c:pt>
                <c:pt idx="26">
                  <c:v>1431.2415710013784</c:v>
                </c:pt>
                <c:pt idx="27">
                  <c:v>1395.6606777721713</c:v>
                </c:pt>
                <c:pt idx="28">
                  <c:v>1360.964331211143</c:v>
                </c:pt>
                <c:pt idx="29">
                  <c:v>1327.1305413473519</c:v>
                </c:pt>
                <c:pt idx="30">
                  <c:v>1294.1378648840337</c:v>
                </c:pt>
                <c:pt idx="31">
                  <c:v>1261.9653916081938</c:v>
                </c:pt>
                <c:pt idx="32">
                  <c:v>1294.1378648840337</c:v>
                </c:pt>
                <c:pt idx="33">
                  <c:v>1261.9653916081938</c:v>
                </c:pt>
                <c:pt idx="34">
                  <c:v>1294.1378648840337</c:v>
                </c:pt>
                <c:pt idx="35">
                  <c:v>1327.1305413473519</c:v>
                </c:pt>
                <c:pt idx="36">
                  <c:v>1360.964331211143</c:v>
                </c:pt>
                <c:pt idx="37">
                  <c:v>1327.1305413473519</c:v>
                </c:pt>
                <c:pt idx="38">
                  <c:v>1360.964331211143</c:v>
                </c:pt>
                <c:pt idx="39">
                  <c:v>1395.6606777721713</c:v>
                </c:pt>
                <c:pt idx="40">
                  <c:v>1431.2415710013784</c:v>
                </c:pt>
                <c:pt idx="41">
                  <c:v>1467.7295614807631</c:v>
                </c:pt>
                <c:pt idx="42">
                  <c:v>1505.1477746955677</c:v>
                </c:pt>
                <c:pt idx="43">
                  <c:v>1543.5199256908284</c:v>
                </c:pt>
                <c:pt idx="44">
                  <c:v>1582.8703341015782</c:v>
                </c:pt>
                <c:pt idx="45">
                  <c:v>1623.2239395662307</c:v>
                </c:pt>
                <c:pt idx="46">
                  <c:v>1582.8703341015782</c:v>
                </c:pt>
                <c:pt idx="47">
                  <c:v>1543.5199256908284</c:v>
                </c:pt>
                <c:pt idx="48">
                  <c:v>1505.1477746955677</c:v>
                </c:pt>
                <c:pt idx="49">
                  <c:v>1543.5199256908284</c:v>
                </c:pt>
                <c:pt idx="50">
                  <c:v>1505.1477746955677</c:v>
                </c:pt>
                <c:pt idx="51">
                  <c:v>1543.5199256908284</c:v>
                </c:pt>
                <c:pt idx="52">
                  <c:v>1582.8703341015782</c:v>
                </c:pt>
                <c:pt idx="53">
                  <c:v>1623.2239395662307</c:v>
                </c:pt>
                <c:pt idx="54">
                  <c:v>1582.8703341015782</c:v>
                </c:pt>
                <c:pt idx="55">
                  <c:v>1543.5199256908284</c:v>
                </c:pt>
                <c:pt idx="56">
                  <c:v>1505.1477746955677</c:v>
                </c:pt>
                <c:pt idx="57">
                  <c:v>1543.5199256908284</c:v>
                </c:pt>
                <c:pt idx="58">
                  <c:v>1505.1477746955677</c:v>
                </c:pt>
                <c:pt idx="59">
                  <c:v>1467.7295614807629</c:v>
                </c:pt>
                <c:pt idx="60">
                  <c:v>1505.1477746955675</c:v>
                </c:pt>
                <c:pt idx="61">
                  <c:v>1467.7295614807629</c:v>
                </c:pt>
                <c:pt idx="62">
                  <c:v>1505.1477746955675</c:v>
                </c:pt>
                <c:pt idx="63">
                  <c:v>1543.5199256908281</c:v>
                </c:pt>
                <c:pt idx="64">
                  <c:v>1582.870334101578</c:v>
                </c:pt>
                <c:pt idx="65">
                  <c:v>1623.2239395662305</c:v>
                </c:pt>
                <c:pt idx="66">
                  <c:v>1664.6063175329091</c:v>
                </c:pt>
                <c:pt idx="67">
                  <c:v>1623.2239395662305</c:v>
                </c:pt>
                <c:pt idx="68">
                  <c:v>1582.870334101578</c:v>
                </c:pt>
                <c:pt idx="69">
                  <c:v>1543.5199256908281</c:v>
                </c:pt>
                <c:pt idx="70">
                  <c:v>1582.870334101578</c:v>
                </c:pt>
                <c:pt idx="71">
                  <c:v>1543.5199256908281</c:v>
                </c:pt>
                <c:pt idx="72">
                  <c:v>1582.870334101578</c:v>
                </c:pt>
                <c:pt idx="73">
                  <c:v>1623.2239395662305</c:v>
                </c:pt>
                <c:pt idx="74">
                  <c:v>1664.6063175329091</c:v>
                </c:pt>
                <c:pt idx="75">
                  <c:v>1623.2239395662305</c:v>
                </c:pt>
                <c:pt idx="76">
                  <c:v>1582.870334101578</c:v>
                </c:pt>
                <c:pt idx="77">
                  <c:v>1623.2239395662305</c:v>
                </c:pt>
                <c:pt idx="78">
                  <c:v>1664.6063175329091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1623.2239395662305</c:v>
                </c:pt>
                <c:pt idx="82">
                  <c:v>1664.6063175329091</c:v>
                </c:pt>
                <c:pt idx="83">
                  <c:v>1623.2239395662305</c:v>
                </c:pt>
                <c:pt idx="84">
                  <c:v>1582.870334101578</c:v>
                </c:pt>
                <c:pt idx="85">
                  <c:v>1543.5199256908281</c:v>
                </c:pt>
                <c:pt idx="86">
                  <c:v>1582.870334101578</c:v>
                </c:pt>
                <c:pt idx="87">
                  <c:v>1543.5199256908281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1431.2415710013781</c:v>
                </c:pt>
                <c:pt idx="91">
                  <c:v>1467.7295614807629</c:v>
                </c:pt>
                <c:pt idx="92">
                  <c:v>1431.2415710013781</c:v>
                </c:pt>
                <c:pt idx="93">
                  <c:v>1467.7295614807629</c:v>
                </c:pt>
                <c:pt idx="94">
                  <c:v>1431.2415710013781</c:v>
                </c:pt>
                <c:pt idx="95">
                  <c:v>1395.6606777721711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1360.9643312111427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5"/>
          <c:order val="4"/>
          <c:yVal>
            <c:numRef>
              <c:f>MCarlo_ar!$H$15:$H$116</c:f>
              <c:numCache>
                <c:formatCode>General</c:formatCode>
                <c:ptCount val="102"/>
                <c:pt idx="0">
                  <c:v>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1395.6606777721715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1360.9643312111432</c:v>
                </c:pt>
                <c:pt idx="27">
                  <c:v>1395.6606777721715</c:v>
                </c:pt>
                <c:pt idx="28">
                  <c:v>1431.2415710013786</c:v>
                </c:pt>
                <c:pt idx="29">
                  <c:v>1467.7295614807633</c:v>
                </c:pt>
                <c:pt idx="30">
                  <c:v>1431.2415710013786</c:v>
                </c:pt>
                <c:pt idx="31">
                  <c:v>1395.6606777721715</c:v>
                </c:pt>
                <c:pt idx="32">
                  <c:v>1360.9643312111432</c:v>
                </c:pt>
                <c:pt idx="33">
                  <c:v>1395.6606777721715</c:v>
                </c:pt>
                <c:pt idx="34">
                  <c:v>1360.9643312111432</c:v>
                </c:pt>
                <c:pt idx="35">
                  <c:v>1395.6606777721715</c:v>
                </c:pt>
                <c:pt idx="36">
                  <c:v>1360.9643312111432</c:v>
                </c:pt>
                <c:pt idx="37">
                  <c:v>1395.6606777721715</c:v>
                </c:pt>
                <c:pt idx="38">
                  <c:v>1431.2415710013786</c:v>
                </c:pt>
                <c:pt idx="39">
                  <c:v>1395.6606777721715</c:v>
                </c:pt>
                <c:pt idx="40">
                  <c:v>1360.9643312111432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1327.1305413473522</c:v>
                </c:pt>
                <c:pt idx="44">
                  <c:v>1360.9643312111432</c:v>
                </c:pt>
                <c:pt idx="45">
                  <c:v>1327.1305413473522</c:v>
                </c:pt>
                <c:pt idx="46">
                  <c:v>1294.1378648840339</c:v>
                </c:pt>
                <c:pt idx="47">
                  <c:v>1327.1305413473522</c:v>
                </c:pt>
                <c:pt idx="48">
                  <c:v>1294.1378648840339</c:v>
                </c:pt>
                <c:pt idx="49">
                  <c:v>1261.9653916081941</c:v>
                </c:pt>
                <c:pt idx="50">
                  <c:v>1294.1378648840339</c:v>
                </c:pt>
                <c:pt idx="51">
                  <c:v>1327.1305413473522</c:v>
                </c:pt>
                <c:pt idx="52">
                  <c:v>1360.9643312111432</c:v>
                </c:pt>
                <c:pt idx="53">
                  <c:v>1395.6606777721715</c:v>
                </c:pt>
                <c:pt idx="54">
                  <c:v>1431.2415710013786</c:v>
                </c:pt>
                <c:pt idx="55">
                  <c:v>1467.7295614807633</c:v>
                </c:pt>
                <c:pt idx="56">
                  <c:v>1505.1477746955679</c:v>
                </c:pt>
                <c:pt idx="57">
                  <c:v>1543.5199256908286</c:v>
                </c:pt>
                <c:pt idx="58">
                  <c:v>1505.1477746955679</c:v>
                </c:pt>
                <c:pt idx="59">
                  <c:v>1543.5199256908286</c:v>
                </c:pt>
                <c:pt idx="60">
                  <c:v>1582.8703341015785</c:v>
                </c:pt>
                <c:pt idx="61">
                  <c:v>1543.5199256908286</c:v>
                </c:pt>
                <c:pt idx="62">
                  <c:v>1582.8703341015785</c:v>
                </c:pt>
                <c:pt idx="63">
                  <c:v>1543.5199256908286</c:v>
                </c:pt>
                <c:pt idx="64">
                  <c:v>1582.8703341015785</c:v>
                </c:pt>
                <c:pt idx="65">
                  <c:v>1623.2239395662309</c:v>
                </c:pt>
                <c:pt idx="66">
                  <c:v>1582.8703341015785</c:v>
                </c:pt>
                <c:pt idx="67">
                  <c:v>1543.5199256908286</c:v>
                </c:pt>
                <c:pt idx="68">
                  <c:v>1505.1477746955679</c:v>
                </c:pt>
                <c:pt idx="69">
                  <c:v>1467.7295614807631</c:v>
                </c:pt>
                <c:pt idx="70">
                  <c:v>1505.1477746955677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1467.7295614807629</c:v>
                </c:pt>
                <c:pt idx="78">
                  <c:v>1505.1477746955675</c:v>
                </c:pt>
                <c:pt idx="79">
                  <c:v>1543.5199256908281</c:v>
                </c:pt>
                <c:pt idx="80">
                  <c:v>1582.870334101578</c:v>
                </c:pt>
                <c:pt idx="81">
                  <c:v>1543.5199256908281</c:v>
                </c:pt>
                <c:pt idx="82">
                  <c:v>1582.870334101578</c:v>
                </c:pt>
                <c:pt idx="83">
                  <c:v>1623.2239395662305</c:v>
                </c:pt>
                <c:pt idx="84">
                  <c:v>1582.870334101578</c:v>
                </c:pt>
                <c:pt idx="85">
                  <c:v>1543.5199256908281</c:v>
                </c:pt>
                <c:pt idx="86">
                  <c:v>1582.870334101578</c:v>
                </c:pt>
                <c:pt idx="87">
                  <c:v>1623.2239395662305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1582.870334101578</c:v>
                </c:pt>
                <c:pt idx="91">
                  <c:v>1623.2239395662305</c:v>
                </c:pt>
                <c:pt idx="92">
                  <c:v>1664.6063175329091</c:v>
                </c:pt>
                <c:pt idx="93">
                  <c:v>1623.2239395662305</c:v>
                </c:pt>
                <c:pt idx="94">
                  <c:v>1582.870334101578</c:v>
                </c:pt>
                <c:pt idx="95">
                  <c:v>1543.5199256908281</c:v>
                </c:pt>
                <c:pt idx="96">
                  <c:v>1505.1477746955675</c:v>
                </c:pt>
                <c:pt idx="97">
                  <c:v>1467.7295614807629</c:v>
                </c:pt>
                <c:pt idx="98">
                  <c:v>1431.2415710013781</c:v>
                </c:pt>
                <c:pt idx="99">
                  <c:v>1467.7295614807629</c:v>
                </c:pt>
                <c:pt idx="100">
                  <c:v>1505.1477746955675</c:v>
                </c:pt>
                <c:pt idx="101">
                  <c:v>1467.7295614807629</c:v>
                </c:pt>
              </c:numCache>
            </c:numRef>
          </c:yVal>
          <c:smooth val="1"/>
        </c:ser>
        <c:ser>
          <c:idx val="6"/>
          <c:order val="5"/>
          <c:yVal>
            <c:numRef>
              <c:f>MCarlo_ar!$I$15:$I$116</c:f>
              <c:numCache>
                <c:formatCode>General</c:formatCode>
                <c:ptCount val="102"/>
                <c:pt idx="0">
                  <c:v>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1170.167809026693</c:v>
                </c:pt>
                <c:pt idx="17">
                  <c:v>1199.9999999999995</c:v>
                </c:pt>
                <c:pt idx="18">
                  <c:v>1230.5927311380608</c:v>
                </c:pt>
                <c:pt idx="19">
                  <c:v>1261.9653916081936</c:v>
                </c:pt>
                <c:pt idx="20">
                  <c:v>1294.1378648840334</c:v>
                </c:pt>
                <c:pt idx="21">
                  <c:v>1261.9653916081936</c:v>
                </c:pt>
                <c:pt idx="22">
                  <c:v>1294.1378648840334</c:v>
                </c:pt>
                <c:pt idx="23">
                  <c:v>1327.1305413473517</c:v>
                </c:pt>
                <c:pt idx="24">
                  <c:v>1360.9643312111427</c:v>
                </c:pt>
                <c:pt idx="25">
                  <c:v>1395.6606777721711</c:v>
                </c:pt>
                <c:pt idx="26">
                  <c:v>1360.9643312111427</c:v>
                </c:pt>
                <c:pt idx="27">
                  <c:v>1395.6606777721711</c:v>
                </c:pt>
                <c:pt idx="28">
                  <c:v>1431.2415710013781</c:v>
                </c:pt>
                <c:pt idx="29">
                  <c:v>1395.6606777721711</c:v>
                </c:pt>
                <c:pt idx="30">
                  <c:v>1360.9643312111427</c:v>
                </c:pt>
                <c:pt idx="31">
                  <c:v>1395.6606777721711</c:v>
                </c:pt>
                <c:pt idx="32">
                  <c:v>1431.2415710013781</c:v>
                </c:pt>
                <c:pt idx="33">
                  <c:v>1467.7295614807629</c:v>
                </c:pt>
                <c:pt idx="34">
                  <c:v>1505.1477746955675</c:v>
                </c:pt>
                <c:pt idx="35">
                  <c:v>1543.5199256908281</c:v>
                </c:pt>
                <c:pt idx="36">
                  <c:v>1582.870334101578</c:v>
                </c:pt>
                <c:pt idx="37">
                  <c:v>1543.5199256908281</c:v>
                </c:pt>
                <c:pt idx="38">
                  <c:v>1582.870334101578</c:v>
                </c:pt>
                <c:pt idx="39">
                  <c:v>1623.2239395662305</c:v>
                </c:pt>
                <c:pt idx="40">
                  <c:v>1582.870334101578</c:v>
                </c:pt>
                <c:pt idx="41">
                  <c:v>1543.5199256908281</c:v>
                </c:pt>
                <c:pt idx="42">
                  <c:v>1505.1477746955675</c:v>
                </c:pt>
                <c:pt idx="43">
                  <c:v>1543.5199256908281</c:v>
                </c:pt>
                <c:pt idx="44">
                  <c:v>1582.870334101578</c:v>
                </c:pt>
                <c:pt idx="45">
                  <c:v>1543.5199256908281</c:v>
                </c:pt>
                <c:pt idx="46">
                  <c:v>1582.870334101578</c:v>
                </c:pt>
                <c:pt idx="47">
                  <c:v>1623.2239395662305</c:v>
                </c:pt>
                <c:pt idx="48">
                  <c:v>1582.870334101578</c:v>
                </c:pt>
                <c:pt idx="49">
                  <c:v>1623.2239395662305</c:v>
                </c:pt>
                <c:pt idx="50">
                  <c:v>1664.6063175329091</c:v>
                </c:pt>
                <c:pt idx="51">
                  <c:v>1707.0436954687445</c:v>
                </c:pt>
                <c:pt idx="52">
                  <c:v>1664.6063175329091</c:v>
                </c:pt>
                <c:pt idx="53">
                  <c:v>1707.0436954687445</c:v>
                </c:pt>
                <c:pt idx="54">
                  <c:v>1664.6063175329091</c:v>
                </c:pt>
                <c:pt idx="55">
                  <c:v>1707.0436954687445</c:v>
                </c:pt>
                <c:pt idx="56">
                  <c:v>1750.5629694824095</c:v>
                </c:pt>
                <c:pt idx="57">
                  <c:v>1795.1917213704276</c:v>
                </c:pt>
                <c:pt idx="58">
                  <c:v>1750.5629694824095</c:v>
                </c:pt>
                <c:pt idx="59">
                  <c:v>1795.1917213704276</c:v>
                </c:pt>
                <c:pt idx="60">
                  <c:v>1750.5629694824095</c:v>
                </c:pt>
                <c:pt idx="61">
                  <c:v>1707.0436954687445</c:v>
                </c:pt>
                <c:pt idx="62">
                  <c:v>1664.6063175329091</c:v>
                </c:pt>
                <c:pt idx="63">
                  <c:v>1623.2239395662305</c:v>
                </c:pt>
                <c:pt idx="64">
                  <c:v>1664.6063175329091</c:v>
                </c:pt>
                <c:pt idx="65">
                  <c:v>1707.0436954687445</c:v>
                </c:pt>
                <c:pt idx="66">
                  <c:v>1750.5629694824095</c:v>
                </c:pt>
                <c:pt idx="67">
                  <c:v>1707.0436954687445</c:v>
                </c:pt>
                <c:pt idx="68">
                  <c:v>1750.5629694824095</c:v>
                </c:pt>
                <c:pt idx="69">
                  <c:v>1795.1917213704276</c:v>
                </c:pt>
                <c:pt idx="70">
                  <c:v>1750.5629694824095</c:v>
                </c:pt>
                <c:pt idx="71">
                  <c:v>1795.1917213704276</c:v>
                </c:pt>
                <c:pt idx="72">
                  <c:v>1750.5629694824095</c:v>
                </c:pt>
                <c:pt idx="73">
                  <c:v>1707.0436954687445</c:v>
                </c:pt>
                <c:pt idx="74">
                  <c:v>1664.6063175329091</c:v>
                </c:pt>
                <c:pt idx="75">
                  <c:v>1707.0436954687445</c:v>
                </c:pt>
                <c:pt idx="76">
                  <c:v>1750.5629694824095</c:v>
                </c:pt>
                <c:pt idx="77">
                  <c:v>1707.0436954687445</c:v>
                </c:pt>
                <c:pt idx="78">
                  <c:v>1750.5629694824095</c:v>
                </c:pt>
                <c:pt idx="79">
                  <c:v>1707.0436954687445</c:v>
                </c:pt>
                <c:pt idx="80">
                  <c:v>1664.6063175329091</c:v>
                </c:pt>
                <c:pt idx="81">
                  <c:v>1623.2239395662305</c:v>
                </c:pt>
                <c:pt idx="82">
                  <c:v>1582.870334101578</c:v>
                </c:pt>
                <c:pt idx="83">
                  <c:v>1543.5199256908281</c:v>
                </c:pt>
                <c:pt idx="84">
                  <c:v>1582.870334101578</c:v>
                </c:pt>
                <c:pt idx="85">
                  <c:v>1543.5199256908281</c:v>
                </c:pt>
                <c:pt idx="86">
                  <c:v>1582.870334101578</c:v>
                </c:pt>
                <c:pt idx="87">
                  <c:v>1623.2239395662305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1664.6063175329091</c:v>
                </c:pt>
                <c:pt idx="91">
                  <c:v>1623.2239395662305</c:v>
                </c:pt>
                <c:pt idx="92">
                  <c:v>1664.6063175329091</c:v>
                </c:pt>
                <c:pt idx="93">
                  <c:v>1623.2239395662305</c:v>
                </c:pt>
                <c:pt idx="94">
                  <c:v>1582.870334101578</c:v>
                </c:pt>
                <c:pt idx="95">
                  <c:v>1543.5199256908281</c:v>
                </c:pt>
                <c:pt idx="96">
                  <c:v>1582.870334101578</c:v>
                </c:pt>
                <c:pt idx="97">
                  <c:v>1623.2239395662305</c:v>
                </c:pt>
                <c:pt idx="98">
                  <c:v>1664.6063175329091</c:v>
                </c:pt>
                <c:pt idx="99">
                  <c:v>1707.0436954687445</c:v>
                </c:pt>
                <c:pt idx="100">
                  <c:v>1750.5629694824095</c:v>
                </c:pt>
                <c:pt idx="101">
                  <c:v>1707.0436954687445</c:v>
                </c:pt>
              </c:numCache>
            </c:numRef>
          </c:yVal>
          <c:smooth val="1"/>
        </c:ser>
        <c:ser>
          <c:idx val="7"/>
          <c:order val="6"/>
          <c:yVal>
            <c:numRef>
              <c:f>MCarlo_ar!$J$15:$J$116</c:f>
              <c:numCache>
                <c:formatCode>General</c:formatCode>
                <c:ptCount val="102"/>
                <c:pt idx="0">
                  <c:v>7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1431.2415710013786</c:v>
                </c:pt>
                <c:pt idx="13">
                  <c:v>1467.7295614807633</c:v>
                </c:pt>
                <c:pt idx="14">
                  <c:v>1505.1477746955679</c:v>
                </c:pt>
                <c:pt idx="15">
                  <c:v>1543.5199256908286</c:v>
                </c:pt>
                <c:pt idx="16">
                  <c:v>1582.8703341015785</c:v>
                </c:pt>
                <c:pt idx="17">
                  <c:v>1623.2239395662309</c:v>
                </c:pt>
                <c:pt idx="18">
                  <c:v>1582.8703341015785</c:v>
                </c:pt>
                <c:pt idx="19">
                  <c:v>1543.5199256908286</c:v>
                </c:pt>
                <c:pt idx="20">
                  <c:v>1505.1477746955679</c:v>
                </c:pt>
                <c:pt idx="21">
                  <c:v>1543.5199256908286</c:v>
                </c:pt>
                <c:pt idx="22">
                  <c:v>1582.8703341015785</c:v>
                </c:pt>
                <c:pt idx="23">
                  <c:v>1623.2239395662309</c:v>
                </c:pt>
                <c:pt idx="24">
                  <c:v>1582.8703341015785</c:v>
                </c:pt>
                <c:pt idx="25">
                  <c:v>1543.5199256908286</c:v>
                </c:pt>
                <c:pt idx="26">
                  <c:v>1582.8703341015785</c:v>
                </c:pt>
                <c:pt idx="27">
                  <c:v>1543.5199256908286</c:v>
                </c:pt>
                <c:pt idx="28">
                  <c:v>1505.1477746955679</c:v>
                </c:pt>
                <c:pt idx="29">
                  <c:v>1543.5199256908286</c:v>
                </c:pt>
                <c:pt idx="30">
                  <c:v>1582.8703341015785</c:v>
                </c:pt>
                <c:pt idx="31">
                  <c:v>1623.2239395662309</c:v>
                </c:pt>
                <c:pt idx="32">
                  <c:v>1582.8703341015785</c:v>
                </c:pt>
                <c:pt idx="33">
                  <c:v>1623.2239395662309</c:v>
                </c:pt>
                <c:pt idx="34">
                  <c:v>1664.6063175329095</c:v>
                </c:pt>
                <c:pt idx="35">
                  <c:v>1707.043695468745</c:v>
                </c:pt>
                <c:pt idx="36">
                  <c:v>1664.6063175329095</c:v>
                </c:pt>
                <c:pt idx="37">
                  <c:v>1623.2239395662309</c:v>
                </c:pt>
                <c:pt idx="38">
                  <c:v>1582.8703341015785</c:v>
                </c:pt>
                <c:pt idx="39">
                  <c:v>1543.5199256908286</c:v>
                </c:pt>
                <c:pt idx="40">
                  <c:v>1582.8703341015785</c:v>
                </c:pt>
                <c:pt idx="41">
                  <c:v>1623.2239395662309</c:v>
                </c:pt>
                <c:pt idx="42">
                  <c:v>1664.6063175329095</c:v>
                </c:pt>
                <c:pt idx="43">
                  <c:v>1707.043695468745</c:v>
                </c:pt>
                <c:pt idx="44">
                  <c:v>1664.6063175329095</c:v>
                </c:pt>
                <c:pt idx="45">
                  <c:v>1707.043695468745</c:v>
                </c:pt>
                <c:pt idx="46">
                  <c:v>1750.5629694824099</c:v>
                </c:pt>
                <c:pt idx="47">
                  <c:v>1707.043695468745</c:v>
                </c:pt>
                <c:pt idx="48">
                  <c:v>1750.5629694824099</c:v>
                </c:pt>
                <c:pt idx="49">
                  <c:v>1707.043695468745</c:v>
                </c:pt>
                <c:pt idx="50">
                  <c:v>1664.6063175329095</c:v>
                </c:pt>
                <c:pt idx="51">
                  <c:v>1623.2239395662309</c:v>
                </c:pt>
                <c:pt idx="52">
                  <c:v>1664.6063175329095</c:v>
                </c:pt>
                <c:pt idx="53">
                  <c:v>1707.043695468745</c:v>
                </c:pt>
                <c:pt idx="54">
                  <c:v>1750.5629694824099</c:v>
                </c:pt>
                <c:pt idx="55">
                  <c:v>1707.043695468745</c:v>
                </c:pt>
                <c:pt idx="56">
                  <c:v>1664.6063175329095</c:v>
                </c:pt>
                <c:pt idx="57">
                  <c:v>1707.043695468745</c:v>
                </c:pt>
                <c:pt idx="58">
                  <c:v>1750.5629694824099</c:v>
                </c:pt>
                <c:pt idx="59">
                  <c:v>1707.043695468745</c:v>
                </c:pt>
                <c:pt idx="60">
                  <c:v>1750.5629694824099</c:v>
                </c:pt>
                <c:pt idx="61">
                  <c:v>1707.043695468745</c:v>
                </c:pt>
                <c:pt idx="62">
                  <c:v>1664.6063175329095</c:v>
                </c:pt>
                <c:pt idx="63">
                  <c:v>1707.043695468745</c:v>
                </c:pt>
                <c:pt idx="64">
                  <c:v>1750.5629694824099</c:v>
                </c:pt>
                <c:pt idx="65">
                  <c:v>1795.191721370428</c:v>
                </c:pt>
                <c:pt idx="66">
                  <c:v>1840.9582360980605</c:v>
                </c:pt>
                <c:pt idx="67">
                  <c:v>1887.8915197258502</c:v>
                </c:pt>
                <c:pt idx="68">
                  <c:v>1936.0213177931828</c:v>
                </c:pt>
                <c:pt idx="69">
                  <c:v>1887.8915197258502</c:v>
                </c:pt>
                <c:pt idx="70">
                  <c:v>1936.0213177931828</c:v>
                </c:pt>
                <c:pt idx="71">
                  <c:v>1887.8915197258502</c:v>
                </c:pt>
                <c:pt idx="72">
                  <c:v>1936.0213177931828</c:v>
                </c:pt>
                <c:pt idx="73">
                  <c:v>1985.3781341705178</c:v>
                </c:pt>
                <c:pt idx="74">
                  <c:v>2035.9932503922382</c:v>
                </c:pt>
                <c:pt idx="75">
                  <c:v>1985.3781341705178</c:v>
                </c:pt>
                <c:pt idx="76">
                  <c:v>2035.9932503922382</c:v>
                </c:pt>
                <c:pt idx="77">
                  <c:v>2087.8987454823691</c:v>
                </c:pt>
                <c:pt idx="78">
                  <c:v>2035.993250392238</c:v>
                </c:pt>
                <c:pt idx="79">
                  <c:v>1985.3781341705176</c:v>
                </c:pt>
                <c:pt idx="80">
                  <c:v>2035.993250392238</c:v>
                </c:pt>
                <c:pt idx="81">
                  <c:v>1985.3781341705176</c:v>
                </c:pt>
                <c:pt idx="82">
                  <c:v>1936.0213177931826</c:v>
                </c:pt>
                <c:pt idx="83">
                  <c:v>1887.89151972585</c:v>
                </c:pt>
                <c:pt idx="84">
                  <c:v>1936.0213177931826</c:v>
                </c:pt>
                <c:pt idx="85">
                  <c:v>1887.89151972585</c:v>
                </c:pt>
                <c:pt idx="86">
                  <c:v>1840.9582360980603</c:v>
                </c:pt>
                <c:pt idx="87">
                  <c:v>1795.1917213704278</c:v>
                </c:pt>
                <c:pt idx="88">
                  <c:v>1840.9582360980603</c:v>
                </c:pt>
                <c:pt idx="89">
                  <c:v>1795.1917213704278</c:v>
                </c:pt>
                <c:pt idx="90">
                  <c:v>1840.9582360980603</c:v>
                </c:pt>
                <c:pt idx="91">
                  <c:v>1887.89151972585</c:v>
                </c:pt>
                <c:pt idx="92">
                  <c:v>1936.0213177931826</c:v>
                </c:pt>
                <c:pt idx="93">
                  <c:v>1985.3781341705176</c:v>
                </c:pt>
                <c:pt idx="94">
                  <c:v>1936.0213177931826</c:v>
                </c:pt>
                <c:pt idx="95">
                  <c:v>1887.89151972585</c:v>
                </c:pt>
                <c:pt idx="96">
                  <c:v>1840.9582360980603</c:v>
                </c:pt>
                <c:pt idx="97">
                  <c:v>1795.1917213704278</c:v>
                </c:pt>
                <c:pt idx="98">
                  <c:v>1840.9582360980603</c:v>
                </c:pt>
                <c:pt idx="99">
                  <c:v>1795.1917213704278</c:v>
                </c:pt>
                <c:pt idx="100">
                  <c:v>1750.5629694824097</c:v>
                </c:pt>
                <c:pt idx="101">
                  <c:v>1795.1917213704278</c:v>
                </c:pt>
              </c:numCache>
            </c:numRef>
          </c:yVal>
          <c:smooth val="1"/>
        </c:ser>
        <c:ser>
          <c:idx val="8"/>
          <c:order val="7"/>
          <c:yVal>
            <c:numRef>
              <c:f>MCarlo_ar!$K$15:$K$116</c:f>
              <c:numCache>
                <c:formatCode>General</c:formatCode>
                <c:ptCount val="102"/>
                <c:pt idx="0">
                  <c:v>8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1170.1678090266932</c:v>
                </c:pt>
                <c:pt idx="7">
                  <c:v>1199.9999999999998</c:v>
                </c:pt>
                <c:pt idx="8">
                  <c:v>1230.592731138061</c:v>
                </c:pt>
                <c:pt idx="9">
                  <c:v>1199.9999999999998</c:v>
                </c:pt>
                <c:pt idx="10">
                  <c:v>1170.1678090266932</c:v>
                </c:pt>
                <c:pt idx="11">
                  <c:v>1199.9999999999998</c:v>
                </c:pt>
                <c:pt idx="12">
                  <c:v>1230.592731138061</c:v>
                </c:pt>
                <c:pt idx="13">
                  <c:v>1199.9999999999998</c:v>
                </c:pt>
                <c:pt idx="14">
                  <c:v>1230.592731138061</c:v>
                </c:pt>
                <c:pt idx="15">
                  <c:v>1199.9999999999998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1294.1378648840334</c:v>
                </c:pt>
                <c:pt idx="25">
                  <c:v>1327.1305413473517</c:v>
                </c:pt>
                <c:pt idx="26">
                  <c:v>1360.9643312111427</c:v>
                </c:pt>
                <c:pt idx="27">
                  <c:v>1395.6606777721711</c:v>
                </c:pt>
                <c:pt idx="28">
                  <c:v>1431.2415710013781</c:v>
                </c:pt>
                <c:pt idx="29">
                  <c:v>1467.7295614807629</c:v>
                </c:pt>
                <c:pt idx="30">
                  <c:v>1505.1477746955675</c:v>
                </c:pt>
                <c:pt idx="31">
                  <c:v>1543.5199256908281</c:v>
                </c:pt>
                <c:pt idx="32">
                  <c:v>1582.870334101578</c:v>
                </c:pt>
                <c:pt idx="33">
                  <c:v>1623.2239395662305</c:v>
                </c:pt>
                <c:pt idx="34">
                  <c:v>1582.870334101578</c:v>
                </c:pt>
                <c:pt idx="35">
                  <c:v>1623.2239395662305</c:v>
                </c:pt>
                <c:pt idx="36">
                  <c:v>1582.870334101578</c:v>
                </c:pt>
                <c:pt idx="37">
                  <c:v>1623.2239395662305</c:v>
                </c:pt>
                <c:pt idx="38">
                  <c:v>1664.6063175329091</c:v>
                </c:pt>
                <c:pt idx="39">
                  <c:v>1707.0436954687445</c:v>
                </c:pt>
                <c:pt idx="40">
                  <c:v>1664.6063175329091</c:v>
                </c:pt>
                <c:pt idx="41">
                  <c:v>1623.2239395662305</c:v>
                </c:pt>
                <c:pt idx="42">
                  <c:v>1582.870334101578</c:v>
                </c:pt>
                <c:pt idx="43">
                  <c:v>1543.5199256908281</c:v>
                </c:pt>
                <c:pt idx="44">
                  <c:v>1582.870334101578</c:v>
                </c:pt>
                <c:pt idx="45">
                  <c:v>1623.2239395662305</c:v>
                </c:pt>
                <c:pt idx="46">
                  <c:v>1582.870334101578</c:v>
                </c:pt>
                <c:pt idx="47">
                  <c:v>1543.5199256908281</c:v>
                </c:pt>
                <c:pt idx="48">
                  <c:v>1582.870334101578</c:v>
                </c:pt>
                <c:pt idx="49">
                  <c:v>1623.2239395662305</c:v>
                </c:pt>
                <c:pt idx="50">
                  <c:v>1664.6063175329091</c:v>
                </c:pt>
                <c:pt idx="51">
                  <c:v>1623.2239395662305</c:v>
                </c:pt>
                <c:pt idx="52">
                  <c:v>1664.6063175329091</c:v>
                </c:pt>
                <c:pt idx="53">
                  <c:v>1707.0436954687445</c:v>
                </c:pt>
                <c:pt idx="54">
                  <c:v>1750.5629694824095</c:v>
                </c:pt>
                <c:pt idx="55">
                  <c:v>1795.1917213704276</c:v>
                </c:pt>
                <c:pt idx="56">
                  <c:v>1840.9582360980601</c:v>
                </c:pt>
                <c:pt idx="57">
                  <c:v>1887.8915197258498</c:v>
                </c:pt>
                <c:pt idx="58">
                  <c:v>1840.9582360980601</c:v>
                </c:pt>
                <c:pt idx="59">
                  <c:v>1887.8915197258498</c:v>
                </c:pt>
                <c:pt idx="60">
                  <c:v>1936.0213177931823</c:v>
                </c:pt>
                <c:pt idx="61">
                  <c:v>1985.3781341705173</c:v>
                </c:pt>
                <c:pt idx="62">
                  <c:v>1936.0213177931823</c:v>
                </c:pt>
                <c:pt idx="63">
                  <c:v>1887.8915197258498</c:v>
                </c:pt>
                <c:pt idx="64">
                  <c:v>1840.9582360980601</c:v>
                </c:pt>
                <c:pt idx="65">
                  <c:v>1887.8915197258498</c:v>
                </c:pt>
                <c:pt idx="66">
                  <c:v>1840.9582360980601</c:v>
                </c:pt>
                <c:pt idx="67">
                  <c:v>1887.8915197258498</c:v>
                </c:pt>
                <c:pt idx="68">
                  <c:v>1936.0213177931823</c:v>
                </c:pt>
                <c:pt idx="69">
                  <c:v>1887.8915197258498</c:v>
                </c:pt>
                <c:pt idx="70">
                  <c:v>1936.0213177931823</c:v>
                </c:pt>
                <c:pt idx="71">
                  <c:v>1887.8915197258498</c:v>
                </c:pt>
                <c:pt idx="72">
                  <c:v>1936.0213177931823</c:v>
                </c:pt>
                <c:pt idx="73">
                  <c:v>1887.8915197258498</c:v>
                </c:pt>
                <c:pt idx="74">
                  <c:v>1840.9582360980601</c:v>
                </c:pt>
                <c:pt idx="75">
                  <c:v>1887.8915197258498</c:v>
                </c:pt>
                <c:pt idx="76">
                  <c:v>1840.9582360980601</c:v>
                </c:pt>
                <c:pt idx="77">
                  <c:v>1887.8915197258498</c:v>
                </c:pt>
                <c:pt idx="78">
                  <c:v>1936.0213177931823</c:v>
                </c:pt>
                <c:pt idx="79">
                  <c:v>1985.3781341705173</c:v>
                </c:pt>
                <c:pt idx="80">
                  <c:v>2035.9932503922378</c:v>
                </c:pt>
                <c:pt idx="81">
                  <c:v>2087.8987454823687</c:v>
                </c:pt>
                <c:pt idx="82">
                  <c:v>2035.9932503922375</c:v>
                </c:pt>
                <c:pt idx="83">
                  <c:v>2087.8987454823687</c:v>
                </c:pt>
                <c:pt idx="84">
                  <c:v>2141.1275162857332</c:v>
                </c:pt>
                <c:pt idx="85">
                  <c:v>2087.8987454823687</c:v>
                </c:pt>
                <c:pt idx="86">
                  <c:v>2141.1275162857332</c:v>
                </c:pt>
                <c:pt idx="87">
                  <c:v>2087.8987454823687</c:v>
                </c:pt>
                <c:pt idx="88">
                  <c:v>2035.9932503922375</c:v>
                </c:pt>
                <c:pt idx="89">
                  <c:v>1985.3781341705171</c:v>
                </c:pt>
                <c:pt idx="90">
                  <c:v>1936.0213177931821</c:v>
                </c:pt>
                <c:pt idx="91">
                  <c:v>1887.8915197258495</c:v>
                </c:pt>
                <c:pt idx="92">
                  <c:v>1936.0213177931819</c:v>
                </c:pt>
                <c:pt idx="93">
                  <c:v>1887.8915197258493</c:v>
                </c:pt>
                <c:pt idx="94">
                  <c:v>1840.9582360980596</c:v>
                </c:pt>
                <c:pt idx="95">
                  <c:v>1795.1917213704271</c:v>
                </c:pt>
                <c:pt idx="96">
                  <c:v>1750.562969482409</c:v>
                </c:pt>
                <c:pt idx="97">
                  <c:v>1707.0436954687441</c:v>
                </c:pt>
                <c:pt idx="98">
                  <c:v>1664.6063175329086</c:v>
                </c:pt>
                <c:pt idx="99">
                  <c:v>1707.0436954687441</c:v>
                </c:pt>
                <c:pt idx="100">
                  <c:v>1664.6063175329086</c:v>
                </c:pt>
                <c:pt idx="101">
                  <c:v>1707.0436954687441</c:v>
                </c:pt>
              </c:numCache>
            </c:numRef>
          </c:yVal>
          <c:smooth val="1"/>
        </c:ser>
        <c:ser>
          <c:idx val="9"/>
          <c:order val="8"/>
          <c:yVal>
            <c:numRef>
              <c:f>MCarlo_ar!$L$15:$L$116</c:f>
              <c:numCache>
                <c:formatCode>General</c:formatCode>
                <c:ptCount val="102"/>
                <c:pt idx="0">
                  <c:v>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1395.6606777721715</c:v>
                </c:pt>
                <c:pt idx="26">
                  <c:v>1431.2415710013786</c:v>
                </c:pt>
                <c:pt idx="27">
                  <c:v>1395.6606777721715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1360.9643312111432</c:v>
                </c:pt>
                <c:pt idx="35">
                  <c:v>1327.1305413473522</c:v>
                </c:pt>
                <c:pt idx="36">
                  <c:v>1360.9643312111432</c:v>
                </c:pt>
                <c:pt idx="37">
                  <c:v>1327.1305413473522</c:v>
                </c:pt>
                <c:pt idx="38">
                  <c:v>1360.9643312111432</c:v>
                </c:pt>
                <c:pt idx="39">
                  <c:v>1327.1305413473522</c:v>
                </c:pt>
                <c:pt idx="40">
                  <c:v>1360.9643312111432</c:v>
                </c:pt>
                <c:pt idx="41">
                  <c:v>1395.6606777721715</c:v>
                </c:pt>
                <c:pt idx="42">
                  <c:v>1431.2415710013786</c:v>
                </c:pt>
                <c:pt idx="43">
                  <c:v>1467.7295614807633</c:v>
                </c:pt>
                <c:pt idx="44">
                  <c:v>1505.1477746955679</c:v>
                </c:pt>
                <c:pt idx="45">
                  <c:v>1467.7295614807631</c:v>
                </c:pt>
                <c:pt idx="46">
                  <c:v>1431.2415710013784</c:v>
                </c:pt>
                <c:pt idx="47">
                  <c:v>1395.6606777721713</c:v>
                </c:pt>
                <c:pt idx="48">
                  <c:v>1431.2415710013784</c:v>
                </c:pt>
                <c:pt idx="49">
                  <c:v>1467.7295614807631</c:v>
                </c:pt>
                <c:pt idx="50">
                  <c:v>1431.2415710013784</c:v>
                </c:pt>
                <c:pt idx="51">
                  <c:v>1395.6606777721713</c:v>
                </c:pt>
                <c:pt idx="52">
                  <c:v>1431.2415710013784</c:v>
                </c:pt>
                <c:pt idx="53">
                  <c:v>1467.7295614807631</c:v>
                </c:pt>
                <c:pt idx="54">
                  <c:v>1431.2415710013784</c:v>
                </c:pt>
                <c:pt idx="55">
                  <c:v>1395.6606777721713</c:v>
                </c:pt>
                <c:pt idx="56">
                  <c:v>1360.964331211143</c:v>
                </c:pt>
                <c:pt idx="57">
                  <c:v>1327.1305413473519</c:v>
                </c:pt>
                <c:pt idx="58">
                  <c:v>1360.964331211143</c:v>
                </c:pt>
                <c:pt idx="59">
                  <c:v>1395.6606777721713</c:v>
                </c:pt>
                <c:pt idx="60">
                  <c:v>1431.2415710013784</c:v>
                </c:pt>
                <c:pt idx="61">
                  <c:v>1467.7295614807631</c:v>
                </c:pt>
                <c:pt idx="62">
                  <c:v>1505.1477746955677</c:v>
                </c:pt>
                <c:pt idx="63">
                  <c:v>1543.5199256908284</c:v>
                </c:pt>
                <c:pt idx="64">
                  <c:v>1505.1477746955677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1467.7295614807629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1505.1477746955675</c:v>
                </c:pt>
                <c:pt idx="71">
                  <c:v>1543.5199256908281</c:v>
                </c:pt>
                <c:pt idx="72">
                  <c:v>1505.1477746955675</c:v>
                </c:pt>
                <c:pt idx="73">
                  <c:v>1543.5199256908281</c:v>
                </c:pt>
                <c:pt idx="74">
                  <c:v>1582.870334101578</c:v>
                </c:pt>
                <c:pt idx="75">
                  <c:v>1623.2239395662305</c:v>
                </c:pt>
                <c:pt idx="76">
                  <c:v>1582.870334101578</c:v>
                </c:pt>
                <c:pt idx="77">
                  <c:v>1623.2239395662305</c:v>
                </c:pt>
                <c:pt idx="78">
                  <c:v>1664.6063175329091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1707.0436954687445</c:v>
                </c:pt>
                <c:pt idx="82">
                  <c:v>1750.5629694824095</c:v>
                </c:pt>
                <c:pt idx="83">
                  <c:v>1795.1917213704276</c:v>
                </c:pt>
                <c:pt idx="84">
                  <c:v>1750.5629694824095</c:v>
                </c:pt>
                <c:pt idx="85">
                  <c:v>1795.1917213704276</c:v>
                </c:pt>
                <c:pt idx="86">
                  <c:v>1750.5629694824095</c:v>
                </c:pt>
                <c:pt idx="87">
                  <c:v>1707.0436954687445</c:v>
                </c:pt>
                <c:pt idx="88">
                  <c:v>1664.6063175329091</c:v>
                </c:pt>
                <c:pt idx="89">
                  <c:v>1623.2239395662305</c:v>
                </c:pt>
                <c:pt idx="90">
                  <c:v>1582.870334101578</c:v>
                </c:pt>
                <c:pt idx="91">
                  <c:v>1543.5199256908281</c:v>
                </c:pt>
                <c:pt idx="92">
                  <c:v>1582.870334101578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1664.6063175329091</c:v>
                </c:pt>
                <c:pt idx="97">
                  <c:v>1623.2239395662305</c:v>
                </c:pt>
                <c:pt idx="98">
                  <c:v>1664.6063175329091</c:v>
                </c:pt>
                <c:pt idx="99">
                  <c:v>1623.2239395662305</c:v>
                </c:pt>
                <c:pt idx="100">
                  <c:v>1664.6063175329091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10"/>
          <c:order val="9"/>
          <c:yVal>
            <c:numRef>
              <c:f>MCarlo_ar!$M$15:$M$116</c:f>
              <c:numCache>
                <c:formatCode>General</c:formatCode>
                <c:ptCount val="102"/>
                <c:pt idx="0">
                  <c:v>10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1170.167809026693</c:v>
                </c:pt>
                <c:pt idx="9">
                  <c:v>1199.9999999999995</c:v>
                </c:pt>
                <c:pt idx="10">
                  <c:v>1170.167809026693</c:v>
                </c:pt>
                <c:pt idx="11">
                  <c:v>1199.9999999999995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1199.9999999999995</c:v>
                </c:pt>
                <c:pt idx="16">
                  <c:v>1230.5927311380608</c:v>
                </c:pt>
                <c:pt idx="17">
                  <c:v>1261.9653916081936</c:v>
                </c:pt>
                <c:pt idx="18">
                  <c:v>1230.5927311380608</c:v>
                </c:pt>
                <c:pt idx="19">
                  <c:v>1199.9999999999995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1230.5927311380608</c:v>
                </c:pt>
                <c:pt idx="25">
                  <c:v>1199.9999999999995</c:v>
                </c:pt>
                <c:pt idx="26">
                  <c:v>1230.5927311380608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1199.9999999999995</c:v>
                </c:pt>
                <c:pt idx="32">
                  <c:v>1170.167809026693</c:v>
                </c:pt>
                <c:pt idx="33">
                  <c:v>1141.0772510686097</c:v>
                </c:pt>
                <c:pt idx="34">
                  <c:v>1112.7098890109644</c:v>
                </c:pt>
                <c:pt idx="35">
                  <c:v>1141.0772510686097</c:v>
                </c:pt>
                <c:pt idx="36">
                  <c:v>1170.167809026693</c:v>
                </c:pt>
                <c:pt idx="37">
                  <c:v>1141.0772510686097</c:v>
                </c:pt>
                <c:pt idx="38">
                  <c:v>1170.167809026693</c:v>
                </c:pt>
                <c:pt idx="39">
                  <c:v>1199.9999999999995</c:v>
                </c:pt>
                <c:pt idx="40">
                  <c:v>1230.5927311380608</c:v>
                </c:pt>
                <c:pt idx="41">
                  <c:v>1261.9653916081936</c:v>
                </c:pt>
                <c:pt idx="42">
                  <c:v>1294.1378648840334</c:v>
                </c:pt>
                <c:pt idx="43">
                  <c:v>1261.9653916081936</c:v>
                </c:pt>
                <c:pt idx="44">
                  <c:v>1294.1378648840334</c:v>
                </c:pt>
                <c:pt idx="45">
                  <c:v>1261.9653916081936</c:v>
                </c:pt>
                <c:pt idx="46">
                  <c:v>1294.1378648840334</c:v>
                </c:pt>
                <c:pt idx="47">
                  <c:v>1327.1305413473517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1294.1378648840334</c:v>
                </c:pt>
                <c:pt idx="51">
                  <c:v>1261.9653916081936</c:v>
                </c:pt>
                <c:pt idx="52">
                  <c:v>1294.1378648840334</c:v>
                </c:pt>
                <c:pt idx="53">
                  <c:v>1327.1305413473517</c:v>
                </c:pt>
                <c:pt idx="54">
                  <c:v>1294.1378648840334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1395.6606777721711</c:v>
                </c:pt>
                <c:pt idx="68">
                  <c:v>1360.9643312111427</c:v>
                </c:pt>
                <c:pt idx="69">
                  <c:v>1327.1305413473517</c:v>
                </c:pt>
                <c:pt idx="70">
                  <c:v>1294.1378648840334</c:v>
                </c:pt>
                <c:pt idx="71">
                  <c:v>1261.9653916081936</c:v>
                </c:pt>
                <c:pt idx="72">
                  <c:v>1230.5927311380608</c:v>
                </c:pt>
                <c:pt idx="73">
                  <c:v>1199.9999999999995</c:v>
                </c:pt>
                <c:pt idx="74">
                  <c:v>1230.5927311380608</c:v>
                </c:pt>
                <c:pt idx="75">
                  <c:v>1261.9653916081936</c:v>
                </c:pt>
                <c:pt idx="76">
                  <c:v>1230.5927311380608</c:v>
                </c:pt>
                <c:pt idx="77">
                  <c:v>1199.9999999999995</c:v>
                </c:pt>
                <c:pt idx="78">
                  <c:v>1170.167809026693</c:v>
                </c:pt>
                <c:pt idx="79">
                  <c:v>1141.0772510686097</c:v>
                </c:pt>
                <c:pt idx="80">
                  <c:v>1170.167809026693</c:v>
                </c:pt>
                <c:pt idx="81">
                  <c:v>1141.0772510686097</c:v>
                </c:pt>
                <c:pt idx="82">
                  <c:v>1112.7098890109644</c:v>
                </c:pt>
                <c:pt idx="83">
                  <c:v>1085.0477440885795</c:v>
                </c:pt>
                <c:pt idx="84">
                  <c:v>1112.7098890109644</c:v>
                </c:pt>
                <c:pt idx="85">
                  <c:v>1085.0477440885795</c:v>
                </c:pt>
                <c:pt idx="86">
                  <c:v>1112.7098890109644</c:v>
                </c:pt>
                <c:pt idx="87">
                  <c:v>1085.0477440885795</c:v>
                </c:pt>
                <c:pt idx="88">
                  <c:v>1112.7098890109644</c:v>
                </c:pt>
                <c:pt idx="89">
                  <c:v>1141.0772510686097</c:v>
                </c:pt>
                <c:pt idx="90">
                  <c:v>1170.167809026693</c:v>
                </c:pt>
                <c:pt idx="91">
                  <c:v>1141.0772510686097</c:v>
                </c:pt>
                <c:pt idx="92">
                  <c:v>1170.167809026693</c:v>
                </c:pt>
                <c:pt idx="93">
                  <c:v>1199.9999999999995</c:v>
                </c:pt>
                <c:pt idx="94">
                  <c:v>1170.167809026693</c:v>
                </c:pt>
                <c:pt idx="95">
                  <c:v>1199.9999999999995</c:v>
                </c:pt>
                <c:pt idx="96">
                  <c:v>1230.5927311380608</c:v>
                </c:pt>
                <c:pt idx="97">
                  <c:v>1261.9653916081936</c:v>
                </c:pt>
                <c:pt idx="98">
                  <c:v>1230.5927311380608</c:v>
                </c:pt>
                <c:pt idx="99">
                  <c:v>1199.9999999999995</c:v>
                </c:pt>
                <c:pt idx="100">
                  <c:v>1170.167809026693</c:v>
                </c:pt>
                <c:pt idx="101">
                  <c:v>1199.9999999999995</c:v>
                </c:pt>
              </c:numCache>
            </c:numRef>
          </c:yVal>
          <c:smooth val="1"/>
        </c:ser>
        <c:ser>
          <c:idx val="11"/>
          <c:order val="10"/>
          <c:yVal>
            <c:numRef>
              <c:f>MCarlo_ar!$N$15:$N$116</c:f>
              <c:numCache>
                <c:formatCode>General</c:formatCode>
                <c:ptCount val="102"/>
                <c:pt idx="0">
                  <c:v>11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1294.1378648840339</c:v>
                </c:pt>
                <c:pt idx="25">
                  <c:v>1261.9653916081941</c:v>
                </c:pt>
                <c:pt idx="26">
                  <c:v>1230.5927311380613</c:v>
                </c:pt>
                <c:pt idx="27">
                  <c:v>1261.9653916081941</c:v>
                </c:pt>
                <c:pt idx="28">
                  <c:v>1294.1378648840339</c:v>
                </c:pt>
                <c:pt idx="29">
                  <c:v>1327.1305413473522</c:v>
                </c:pt>
                <c:pt idx="30">
                  <c:v>1294.1378648840339</c:v>
                </c:pt>
                <c:pt idx="31">
                  <c:v>1327.1305413473522</c:v>
                </c:pt>
                <c:pt idx="32">
                  <c:v>1360.9643312111432</c:v>
                </c:pt>
                <c:pt idx="33">
                  <c:v>1327.1305413473522</c:v>
                </c:pt>
                <c:pt idx="34">
                  <c:v>1360.9643312111432</c:v>
                </c:pt>
                <c:pt idx="35">
                  <c:v>1395.6606777721715</c:v>
                </c:pt>
                <c:pt idx="36">
                  <c:v>1360.9643312111432</c:v>
                </c:pt>
                <c:pt idx="37">
                  <c:v>1395.6606777721715</c:v>
                </c:pt>
                <c:pt idx="38">
                  <c:v>1360.9643312111432</c:v>
                </c:pt>
                <c:pt idx="39">
                  <c:v>1327.1305413473522</c:v>
                </c:pt>
                <c:pt idx="40">
                  <c:v>1294.1378648840339</c:v>
                </c:pt>
                <c:pt idx="41">
                  <c:v>1261.9653916081941</c:v>
                </c:pt>
                <c:pt idx="42">
                  <c:v>1230.5927311380613</c:v>
                </c:pt>
                <c:pt idx="43">
                  <c:v>1261.9653916081941</c:v>
                </c:pt>
                <c:pt idx="44">
                  <c:v>1230.5927311380613</c:v>
                </c:pt>
                <c:pt idx="45">
                  <c:v>1261.9653916081941</c:v>
                </c:pt>
                <c:pt idx="46">
                  <c:v>1230.5927311380613</c:v>
                </c:pt>
                <c:pt idx="47">
                  <c:v>1261.9653916081941</c:v>
                </c:pt>
                <c:pt idx="48">
                  <c:v>1294.1378648840339</c:v>
                </c:pt>
                <c:pt idx="49">
                  <c:v>1261.9653916081941</c:v>
                </c:pt>
                <c:pt idx="50">
                  <c:v>1230.5927311380613</c:v>
                </c:pt>
                <c:pt idx="51">
                  <c:v>1200</c:v>
                </c:pt>
                <c:pt idx="52">
                  <c:v>1230.5927311380613</c:v>
                </c:pt>
                <c:pt idx="53">
                  <c:v>1261.9653916081941</c:v>
                </c:pt>
                <c:pt idx="54">
                  <c:v>1294.1378648840339</c:v>
                </c:pt>
                <c:pt idx="55">
                  <c:v>1261.9653916081941</c:v>
                </c:pt>
                <c:pt idx="56">
                  <c:v>1230.5927311380613</c:v>
                </c:pt>
                <c:pt idx="57">
                  <c:v>1200</c:v>
                </c:pt>
                <c:pt idx="58">
                  <c:v>1170.1678090266935</c:v>
                </c:pt>
                <c:pt idx="59">
                  <c:v>1200</c:v>
                </c:pt>
                <c:pt idx="60">
                  <c:v>1170.1678090266935</c:v>
                </c:pt>
                <c:pt idx="61">
                  <c:v>1200</c:v>
                </c:pt>
                <c:pt idx="62">
                  <c:v>1170.1678090266935</c:v>
                </c:pt>
                <c:pt idx="63">
                  <c:v>1141.0772510686099</c:v>
                </c:pt>
                <c:pt idx="64">
                  <c:v>1170.1678090266932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1199.9999999999995</c:v>
                </c:pt>
                <c:pt idx="68">
                  <c:v>1170.167809026693</c:v>
                </c:pt>
                <c:pt idx="69">
                  <c:v>1141.0772510686097</c:v>
                </c:pt>
                <c:pt idx="70">
                  <c:v>1170.167809026693</c:v>
                </c:pt>
                <c:pt idx="71">
                  <c:v>1141.0772510686097</c:v>
                </c:pt>
                <c:pt idx="72">
                  <c:v>1112.7098890109644</c:v>
                </c:pt>
                <c:pt idx="73">
                  <c:v>1141.0772510686097</c:v>
                </c:pt>
                <c:pt idx="74">
                  <c:v>1112.7098890109644</c:v>
                </c:pt>
                <c:pt idx="75">
                  <c:v>1141.0772510686097</c:v>
                </c:pt>
                <c:pt idx="76">
                  <c:v>1170.167809026693</c:v>
                </c:pt>
                <c:pt idx="77">
                  <c:v>1199.9999999999995</c:v>
                </c:pt>
                <c:pt idx="78">
                  <c:v>1170.167809026693</c:v>
                </c:pt>
                <c:pt idx="79">
                  <c:v>1141.0772510686097</c:v>
                </c:pt>
                <c:pt idx="80">
                  <c:v>1112.7098890109644</c:v>
                </c:pt>
                <c:pt idx="81">
                  <c:v>1141.0772510686097</c:v>
                </c:pt>
                <c:pt idx="82">
                  <c:v>1170.167809026693</c:v>
                </c:pt>
                <c:pt idx="83">
                  <c:v>1199.9999999999995</c:v>
                </c:pt>
                <c:pt idx="84">
                  <c:v>1230.5927311380608</c:v>
                </c:pt>
                <c:pt idx="85">
                  <c:v>1199.9999999999995</c:v>
                </c:pt>
                <c:pt idx="86">
                  <c:v>1230.5927311380608</c:v>
                </c:pt>
                <c:pt idx="87">
                  <c:v>1261.9653916081936</c:v>
                </c:pt>
                <c:pt idx="88">
                  <c:v>1294.1378648840334</c:v>
                </c:pt>
                <c:pt idx="89">
                  <c:v>1327.1305413473517</c:v>
                </c:pt>
                <c:pt idx="90">
                  <c:v>1360.9643312111427</c:v>
                </c:pt>
                <c:pt idx="91">
                  <c:v>1327.1305413473517</c:v>
                </c:pt>
                <c:pt idx="92">
                  <c:v>1360.9643312111427</c:v>
                </c:pt>
                <c:pt idx="93">
                  <c:v>1395.6606777721711</c:v>
                </c:pt>
                <c:pt idx="94">
                  <c:v>1360.9643312111427</c:v>
                </c:pt>
                <c:pt idx="95">
                  <c:v>1395.6606777721711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1294.1378648840334</c:v>
                </c:pt>
                <c:pt idx="101">
                  <c:v>1261.9653916081936</c:v>
                </c:pt>
              </c:numCache>
            </c:numRef>
          </c:yVal>
          <c:smooth val="1"/>
        </c:ser>
        <c:ser>
          <c:idx val="12"/>
          <c:order val="11"/>
          <c:yVal>
            <c:numRef>
              <c:f>MCarlo_ar!$O$15:$O$116</c:f>
              <c:numCache>
                <c:formatCode>General</c:formatCode>
                <c:ptCount val="102"/>
                <c:pt idx="0">
                  <c:v>12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1141.0772510686099</c:v>
                </c:pt>
                <c:pt idx="16">
                  <c:v>1170.1678090266932</c:v>
                </c:pt>
                <c:pt idx="17">
                  <c:v>1199.9999999999998</c:v>
                </c:pt>
                <c:pt idx="18">
                  <c:v>1170.1678090266932</c:v>
                </c:pt>
                <c:pt idx="19">
                  <c:v>1199.9999999999998</c:v>
                </c:pt>
                <c:pt idx="20">
                  <c:v>1230.592731138061</c:v>
                </c:pt>
                <c:pt idx="21">
                  <c:v>1261.9653916081938</c:v>
                </c:pt>
                <c:pt idx="22">
                  <c:v>1230.592731138061</c:v>
                </c:pt>
                <c:pt idx="23">
                  <c:v>1199.9999999999998</c:v>
                </c:pt>
                <c:pt idx="24">
                  <c:v>1170.1678090266932</c:v>
                </c:pt>
                <c:pt idx="25">
                  <c:v>1141.0772510686097</c:v>
                </c:pt>
                <c:pt idx="26">
                  <c:v>1112.7098890109644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1058.0732844912411</c:v>
                </c:pt>
                <c:pt idx="31">
                  <c:v>1031.7694142523274</c:v>
                </c:pt>
                <c:pt idx="32">
                  <c:v>1058.0732844912411</c:v>
                </c:pt>
                <c:pt idx="33">
                  <c:v>1085.0477440885795</c:v>
                </c:pt>
                <c:pt idx="34">
                  <c:v>1112.7098890109644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1141.0772510686097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1199.9999999999995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1294.1378648840334</c:v>
                </c:pt>
                <c:pt idx="45">
                  <c:v>1327.1305413473517</c:v>
                </c:pt>
                <c:pt idx="46">
                  <c:v>1294.1378648840334</c:v>
                </c:pt>
                <c:pt idx="47">
                  <c:v>1327.1305413473517</c:v>
                </c:pt>
                <c:pt idx="48">
                  <c:v>1294.1378648840334</c:v>
                </c:pt>
                <c:pt idx="49">
                  <c:v>1261.9653916081936</c:v>
                </c:pt>
                <c:pt idx="50">
                  <c:v>1230.5927311380608</c:v>
                </c:pt>
                <c:pt idx="51">
                  <c:v>1199.9999999999995</c:v>
                </c:pt>
                <c:pt idx="52">
                  <c:v>1230.5927311380608</c:v>
                </c:pt>
                <c:pt idx="53">
                  <c:v>1199.9999999999995</c:v>
                </c:pt>
                <c:pt idx="54">
                  <c:v>1230.5927311380608</c:v>
                </c:pt>
                <c:pt idx="55">
                  <c:v>1199.9999999999995</c:v>
                </c:pt>
                <c:pt idx="56">
                  <c:v>1170.167809026693</c:v>
                </c:pt>
                <c:pt idx="57">
                  <c:v>1141.0772510686097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1085.0477440885795</c:v>
                </c:pt>
                <c:pt idx="64">
                  <c:v>1058.0732844912411</c:v>
                </c:pt>
                <c:pt idx="65">
                  <c:v>1085.0477440885795</c:v>
                </c:pt>
                <c:pt idx="66">
                  <c:v>1058.0732844912411</c:v>
                </c:pt>
                <c:pt idx="67">
                  <c:v>1085.0477440885795</c:v>
                </c:pt>
                <c:pt idx="68">
                  <c:v>1112.7098890109644</c:v>
                </c:pt>
                <c:pt idx="69">
                  <c:v>1141.0772510686097</c:v>
                </c:pt>
                <c:pt idx="70">
                  <c:v>1112.7098890109644</c:v>
                </c:pt>
                <c:pt idx="71">
                  <c:v>1141.0772510686097</c:v>
                </c:pt>
                <c:pt idx="72">
                  <c:v>1170.167809026693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1170.167809026693</c:v>
                </c:pt>
                <c:pt idx="77">
                  <c:v>1199.9999999999995</c:v>
                </c:pt>
                <c:pt idx="78">
                  <c:v>1170.167809026693</c:v>
                </c:pt>
                <c:pt idx="79">
                  <c:v>1141.0772510686097</c:v>
                </c:pt>
                <c:pt idx="80">
                  <c:v>1112.7098890109644</c:v>
                </c:pt>
                <c:pt idx="81">
                  <c:v>1085.0477440885795</c:v>
                </c:pt>
                <c:pt idx="82">
                  <c:v>1058.0732844912411</c:v>
                </c:pt>
                <c:pt idx="83">
                  <c:v>1085.0477440885795</c:v>
                </c:pt>
                <c:pt idx="84">
                  <c:v>1058.0732844912411</c:v>
                </c:pt>
                <c:pt idx="85">
                  <c:v>1085.0477440885795</c:v>
                </c:pt>
                <c:pt idx="86">
                  <c:v>1058.0732844912411</c:v>
                </c:pt>
                <c:pt idx="87">
                  <c:v>1031.7694142523274</c:v>
                </c:pt>
                <c:pt idx="88">
                  <c:v>1058.0732844912411</c:v>
                </c:pt>
                <c:pt idx="89">
                  <c:v>1031.7694142523274</c:v>
                </c:pt>
                <c:pt idx="90">
                  <c:v>1006.1194624136672</c:v>
                </c:pt>
                <c:pt idx="91">
                  <c:v>1031.7694142523274</c:v>
                </c:pt>
                <c:pt idx="92">
                  <c:v>1058.0732844912411</c:v>
                </c:pt>
                <c:pt idx="93">
                  <c:v>1031.7694142523274</c:v>
                </c:pt>
                <c:pt idx="94">
                  <c:v>1058.0732844912411</c:v>
                </c:pt>
                <c:pt idx="95">
                  <c:v>1085.0477440885795</c:v>
                </c:pt>
                <c:pt idx="96">
                  <c:v>1058.0732844912411</c:v>
                </c:pt>
                <c:pt idx="97">
                  <c:v>1085.0477440885795</c:v>
                </c:pt>
                <c:pt idx="98">
                  <c:v>1112.7098890109644</c:v>
                </c:pt>
                <c:pt idx="99">
                  <c:v>1141.0772510686097</c:v>
                </c:pt>
                <c:pt idx="100">
                  <c:v>1112.7098890109644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13"/>
          <c:order val="12"/>
          <c:yVal>
            <c:numRef>
              <c:f>MCarlo_ar!$P$15:$P$116</c:f>
              <c:numCache>
                <c:formatCode>General</c:formatCode>
                <c:ptCount val="102"/>
                <c:pt idx="0">
                  <c:v>13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1170.1678090266935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1141.0772510686099</c:v>
                </c:pt>
                <c:pt idx="20">
                  <c:v>1112.7098890109644</c:v>
                </c:pt>
                <c:pt idx="21">
                  <c:v>1085.0477440885795</c:v>
                </c:pt>
                <c:pt idx="22">
                  <c:v>1112.7098890109644</c:v>
                </c:pt>
                <c:pt idx="23">
                  <c:v>1085.0477440885795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1141.0772510686097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1031.7694142523274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1006.1194624136672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981.10717245976286</c:v>
                </c:pt>
                <c:pt idx="44">
                  <c:v>1006.1194624136671</c:v>
                </c:pt>
                <c:pt idx="45">
                  <c:v>1031.7694142523271</c:v>
                </c:pt>
                <c:pt idx="46">
                  <c:v>1058.0732844912409</c:v>
                </c:pt>
                <c:pt idx="47">
                  <c:v>1031.7694142523271</c:v>
                </c:pt>
                <c:pt idx="48">
                  <c:v>1058.0732844912409</c:v>
                </c:pt>
                <c:pt idx="49">
                  <c:v>1085.0477440885793</c:v>
                </c:pt>
                <c:pt idx="50">
                  <c:v>1058.0732844912409</c:v>
                </c:pt>
                <c:pt idx="51">
                  <c:v>1031.7694142523271</c:v>
                </c:pt>
                <c:pt idx="52">
                  <c:v>1058.0732844912409</c:v>
                </c:pt>
                <c:pt idx="53">
                  <c:v>1085.0477440885793</c:v>
                </c:pt>
                <c:pt idx="54">
                  <c:v>1112.7098890109642</c:v>
                </c:pt>
                <c:pt idx="55">
                  <c:v>1141.0772510686095</c:v>
                </c:pt>
                <c:pt idx="56">
                  <c:v>1112.7098890109642</c:v>
                </c:pt>
                <c:pt idx="57">
                  <c:v>1141.0772510686095</c:v>
                </c:pt>
                <c:pt idx="58">
                  <c:v>1112.7098890109642</c:v>
                </c:pt>
                <c:pt idx="59">
                  <c:v>1085.0477440885793</c:v>
                </c:pt>
                <c:pt idx="60">
                  <c:v>1058.0732844912409</c:v>
                </c:pt>
                <c:pt idx="61">
                  <c:v>1085.0477440885793</c:v>
                </c:pt>
                <c:pt idx="62">
                  <c:v>1112.7098890109642</c:v>
                </c:pt>
                <c:pt idx="63">
                  <c:v>1085.0477440885793</c:v>
                </c:pt>
                <c:pt idx="64">
                  <c:v>1112.7098890109642</c:v>
                </c:pt>
                <c:pt idx="65">
                  <c:v>1085.0477440885793</c:v>
                </c:pt>
                <c:pt idx="66">
                  <c:v>1058.0732844912409</c:v>
                </c:pt>
                <c:pt idx="67">
                  <c:v>1085.0477440885793</c:v>
                </c:pt>
                <c:pt idx="68">
                  <c:v>1058.0732844912409</c:v>
                </c:pt>
                <c:pt idx="69">
                  <c:v>1031.7694142523271</c:v>
                </c:pt>
                <c:pt idx="70">
                  <c:v>1058.0732844912409</c:v>
                </c:pt>
                <c:pt idx="71">
                  <c:v>1085.0477440885793</c:v>
                </c:pt>
                <c:pt idx="72">
                  <c:v>1112.7098890109642</c:v>
                </c:pt>
                <c:pt idx="73">
                  <c:v>1141.0772510686095</c:v>
                </c:pt>
                <c:pt idx="74">
                  <c:v>1170.1678090266928</c:v>
                </c:pt>
                <c:pt idx="75">
                  <c:v>1199.9999999999993</c:v>
                </c:pt>
                <c:pt idx="76">
                  <c:v>1230.5927311380606</c:v>
                </c:pt>
                <c:pt idx="77">
                  <c:v>1261.9653916081934</c:v>
                </c:pt>
                <c:pt idx="78">
                  <c:v>1230.5927311380606</c:v>
                </c:pt>
                <c:pt idx="79">
                  <c:v>1199.9999999999993</c:v>
                </c:pt>
                <c:pt idx="80">
                  <c:v>1170.1678090266928</c:v>
                </c:pt>
                <c:pt idx="81">
                  <c:v>1141.0772510686095</c:v>
                </c:pt>
                <c:pt idx="82">
                  <c:v>1170.1678090266928</c:v>
                </c:pt>
                <c:pt idx="83">
                  <c:v>1141.0772510686095</c:v>
                </c:pt>
                <c:pt idx="84">
                  <c:v>1112.7098890109642</c:v>
                </c:pt>
                <c:pt idx="85">
                  <c:v>1085.0477440885793</c:v>
                </c:pt>
                <c:pt idx="86">
                  <c:v>1112.7098890109642</c:v>
                </c:pt>
                <c:pt idx="87">
                  <c:v>1141.0772510686095</c:v>
                </c:pt>
                <c:pt idx="88">
                  <c:v>1112.7098890109642</c:v>
                </c:pt>
                <c:pt idx="89">
                  <c:v>1085.0477440885793</c:v>
                </c:pt>
                <c:pt idx="90">
                  <c:v>1112.7098890109642</c:v>
                </c:pt>
                <c:pt idx="91">
                  <c:v>1141.0772510686095</c:v>
                </c:pt>
                <c:pt idx="92">
                  <c:v>1112.7098890109642</c:v>
                </c:pt>
                <c:pt idx="93">
                  <c:v>1141.0772510686095</c:v>
                </c:pt>
                <c:pt idx="94">
                  <c:v>1112.7098890109642</c:v>
                </c:pt>
                <c:pt idx="95">
                  <c:v>1141.0772510686095</c:v>
                </c:pt>
                <c:pt idx="96">
                  <c:v>1112.7098890109642</c:v>
                </c:pt>
                <c:pt idx="97">
                  <c:v>1141.0772510686095</c:v>
                </c:pt>
                <c:pt idx="98">
                  <c:v>1112.7098890109642</c:v>
                </c:pt>
                <c:pt idx="99">
                  <c:v>1085.0477440885793</c:v>
                </c:pt>
                <c:pt idx="100">
                  <c:v>1058.0732844912409</c:v>
                </c:pt>
                <c:pt idx="101">
                  <c:v>1031.7694142523271</c:v>
                </c:pt>
              </c:numCache>
            </c:numRef>
          </c:yVal>
          <c:smooth val="1"/>
        </c:ser>
        <c:ser>
          <c:idx val="14"/>
          <c:order val="13"/>
          <c:yVal>
            <c:numRef>
              <c:f>MCarlo_ar!$Q$15:$Q$116</c:f>
              <c:numCache>
                <c:formatCode>General</c:formatCode>
                <c:ptCount val="102"/>
                <c:pt idx="0">
                  <c:v>14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1261.9653916081941</c:v>
                </c:pt>
                <c:pt idx="22">
                  <c:v>1294.1378648840339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1327.1305413473522</c:v>
                </c:pt>
                <c:pt idx="28">
                  <c:v>1294.1378648840339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1294.1378648840339</c:v>
                </c:pt>
                <c:pt idx="37">
                  <c:v>1327.1305413473522</c:v>
                </c:pt>
                <c:pt idx="38">
                  <c:v>1294.1378648840339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1261.9653916081941</c:v>
                </c:pt>
                <c:pt idx="42">
                  <c:v>1294.1378648840339</c:v>
                </c:pt>
                <c:pt idx="43">
                  <c:v>1261.9653916081941</c:v>
                </c:pt>
                <c:pt idx="44">
                  <c:v>1294.1378648840339</c:v>
                </c:pt>
                <c:pt idx="45">
                  <c:v>1261.9653916081941</c:v>
                </c:pt>
                <c:pt idx="46">
                  <c:v>1230.5927311380613</c:v>
                </c:pt>
                <c:pt idx="47">
                  <c:v>1200</c:v>
                </c:pt>
                <c:pt idx="48">
                  <c:v>1230.5927311380613</c:v>
                </c:pt>
                <c:pt idx="49">
                  <c:v>1200</c:v>
                </c:pt>
                <c:pt idx="50">
                  <c:v>1230.5927311380613</c:v>
                </c:pt>
                <c:pt idx="51">
                  <c:v>1261.9653916081941</c:v>
                </c:pt>
                <c:pt idx="52">
                  <c:v>1230.5927311380613</c:v>
                </c:pt>
                <c:pt idx="53">
                  <c:v>1261.9653916081941</c:v>
                </c:pt>
                <c:pt idx="54">
                  <c:v>1294.1378648840339</c:v>
                </c:pt>
                <c:pt idx="55">
                  <c:v>1261.9653916081941</c:v>
                </c:pt>
                <c:pt idx="56">
                  <c:v>1230.5927311380613</c:v>
                </c:pt>
                <c:pt idx="57">
                  <c:v>1261.9653916081941</c:v>
                </c:pt>
                <c:pt idx="58">
                  <c:v>1294.1378648840339</c:v>
                </c:pt>
                <c:pt idx="59">
                  <c:v>1327.1305413473522</c:v>
                </c:pt>
                <c:pt idx="60">
                  <c:v>1360.9643312111432</c:v>
                </c:pt>
                <c:pt idx="61">
                  <c:v>1395.6606777721715</c:v>
                </c:pt>
                <c:pt idx="62">
                  <c:v>1360.9643312111432</c:v>
                </c:pt>
                <c:pt idx="63">
                  <c:v>1395.6606777721715</c:v>
                </c:pt>
                <c:pt idx="64">
                  <c:v>1431.2415710013786</c:v>
                </c:pt>
                <c:pt idx="65">
                  <c:v>1467.7295614807633</c:v>
                </c:pt>
                <c:pt idx="66">
                  <c:v>1431.2415710013786</c:v>
                </c:pt>
                <c:pt idx="67">
                  <c:v>1467.7295614807633</c:v>
                </c:pt>
                <c:pt idx="68">
                  <c:v>1431.2415710013786</c:v>
                </c:pt>
                <c:pt idx="69">
                  <c:v>1467.7295614807633</c:v>
                </c:pt>
                <c:pt idx="70">
                  <c:v>1431.2415710013786</c:v>
                </c:pt>
                <c:pt idx="71">
                  <c:v>1395.6606777721715</c:v>
                </c:pt>
                <c:pt idx="72">
                  <c:v>1360.9643312111432</c:v>
                </c:pt>
                <c:pt idx="73">
                  <c:v>1395.6606777721715</c:v>
                </c:pt>
                <c:pt idx="74">
                  <c:v>1431.2415710013786</c:v>
                </c:pt>
                <c:pt idx="75">
                  <c:v>1467.7295614807633</c:v>
                </c:pt>
                <c:pt idx="76">
                  <c:v>1431.2415710013786</c:v>
                </c:pt>
                <c:pt idx="77">
                  <c:v>1395.6606777721715</c:v>
                </c:pt>
                <c:pt idx="78">
                  <c:v>1431.2415710013786</c:v>
                </c:pt>
                <c:pt idx="79">
                  <c:v>1395.6606777721715</c:v>
                </c:pt>
                <c:pt idx="80">
                  <c:v>1431.2415710013786</c:v>
                </c:pt>
                <c:pt idx="81">
                  <c:v>1395.6606777721715</c:v>
                </c:pt>
                <c:pt idx="82">
                  <c:v>1360.9643312111432</c:v>
                </c:pt>
                <c:pt idx="83">
                  <c:v>1327.1305413473522</c:v>
                </c:pt>
                <c:pt idx="84">
                  <c:v>1294.1378648840339</c:v>
                </c:pt>
                <c:pt idx="85">
                  <c:v>1261.9653916081941</c:v>
                </c:pt>
                <c:pt idx="86">
                  <c:v>1230.5927311380613</c:v>
                </c:pt>
                <c:pt idx="87">
                  <c:v>1200</c:v>
                </c:pt>
                <c:pt idx="88">
                  <c:v>1170.1678090266935</c:v>
                </c:pt>
                <c:pt idx="89">
                  <c:v>1141.0772510686099</c:v>
                </c:pt>
                <c:pt idx="90">
                  <c:v>1170.1678090266932</c:v>
                </c:pt>
                <c:pt idx="91">
                  <c:v>1199.9999999999998</c:v>
                </c:pt>
                <c:pt idx="92">
                  <c:v>1230.592731138061</c:v>
                </c:pt>
                <c:pt idx="93">
                  <c:v>1199.9999999999998</c:v>
                </c:pt>
                <c:pt idx="94">
                  <c:v>1170.1678090266932</c:v>
                </c:pt>
                <c:pt idx="95">
                  <c:v>1199.9999999999998</c:v>
                </c:pt>
                <c:pt idx="96">
                  <c:v>1230.592731138061</c:v>
                </c:pt>
                <c:pt idx="97">
                  <c:v>1261.9653916081938</c:v>
                </c:pt>
                <c:pt idx="98">
                  <c:v>1294.1378648840337</c:v>
                </c:pt>
                <c:pt idx="99">
                  <c:v>1261.9653916081938</c:v>
                </c:pt>
                <c:pt idx="100">
                  <c:v>1230.592731138061</c:v>
                </c:pt>
                <c:pt idx="101">
                  <c:v>1261.9653916081938</c:v>
                </c:pt>
              </c:numCache>
            </c:numRef>
          </c:yVal>
          <c:smooth val="1"/>
        </c:ser>
        <c:ser>
          <c:idx val="15"/>
          <c:order val="14"/>
          <c:yVal>
            <c:numRef>
              <c:f>MCarlo_ar!$R$15:$R$116</c:f>
              <c:numCache>
                <c:formatCode>General</c:formatCode>
                <c:ptCount val="102"/>
                <c:pt idx="0">
                  <c:v>15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1199.9999999999995</c:v>
                </c:pt>
                <c:pt idx="14">
                  <c:v>1230.5927311380608</c:v>
                </c:pt>
                <c:pt idx="15">
                  <c:v>1199.9999999999995</c:v>
                </c:pt>
                <c:pt idx="16">
                  <c:v>1230.5927311380608</c:v>
                </c:pt>
                <c:pt idx="17">
                  <c:v>1261.9653916081936</c:v>
                </c:pt>
                <c:pt idx="18">
                  <c:v>1230.5927311380608</c:v>
                </c:pt>
                <c:pt idx="19">
                  <c:v>1199.9999999999995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1230.5927311380608</c:v>
                </c:pt>
                <c:pt idx="25">
                  <c:v>1261.9653916081936</c:v>
                </c:pt>
                <c:pt idx="26">
                  <c:v>1294.1378648840334</c:v>
                </c:pt>
                <c:pt idx="27">
                  <c:v>1327.1305413473517</c:v>
                </c:pt>
                <c:pt idx="28">
                  <c:v>1360.9643312111427</c:v>
                </c:pt>
                <c:pt idx="29">
                  <c:v>1327.1305413473517</c:v>
                </c:pt>
                <c:pt idx="30">
                  <c:v>1360.9643312111427</c:v>
                </c:pt>
                <c:pt idx="31">
                  <c:v>1395.6606777721711</c:v>
                </c:pt>
                <c:pt idx="32">
                  <c:v>1360.9643312111427</c:v>
                </c:pt>
                <c:pt idx="33">
                  <c:v>1327.1305413473517</c:v>
                </c:pt>
                <c:pt idx="34">
                  <c:v>1360.9643312111427</c:v>
                </c:pt>
                <c:pt idx="35">
                  <c:v>1395.6606777721711</c:v>
                </c:pt>
                <c:pt idx="36">
                  <c:v>1431.2415710013781</c:v>
                </c:pt>
                <c:pt idx="37">
                  <c:v>1467.7295614807629</c:v>
                </c:pt>
                <c:pt idx="38">
                  <c:v>1505.1477746955675</c:v>
                </c:pt>
                <c:pt idx="39">
                  <c:v>1543.5199256908281</c:v>
                </c:pt>
                <c:pt idx="40">
                  <c:v>1582.870334101578</c:v>
                </c:pt>
                <c:pt idx="41">
                  <c:v>1623.2239395662305</c:v>
                </c:pt>
                <c:pt idx="42">
                  <c:v>1582.870334101578</c:v>
                </c:pt>
                <c:pt idx="43">
                  <c:v>1623.2239395662305</c:v>
                </c:pt>
                <c:pt idx="44">
                  <c:v>1664.6063175329091</c:v>
                </c:pt>
                <c:pt idx="45">
                  <c:v>1623.2239395662305</c:v>
                </c:pt>
                <c:pt idx="46">
                  <c:v>1582.870334101578</c:v>
                </c:pt>
                <c:pt idx="47">
                  <c:v>1623.2239395662305</c:v>
                </c:pt>
                <c:pt idx="48">
                  <c:v>1664.6063175329091</c:v>
                </c:pt>
                <c:pt idx="49">
                  <c:v>1707.0436954687445</c:v>
                </c:pt>
                <c:pt idx="50">
                  <c:v>1750.5629694824095</c:v>
                </c:pt>
                <c:pt idx="51">
                  <c:v>1795.1917213704276</c:v>
                </c:pt>
                <c:pt idx="52">
                  <c:v>1750.5629694824095</c:v>
                </c:pt>
                <c:pt idx="53">
                  <c:v>1707.0436954687445</c:v>
                </c:pt>
                <c:pt idx="54">
                  <c:v>1664.6063175329091</c:v>
                </c:pt>
                <c:pt idx="55">
                  <c:v>1707.0436954687445</c:v>
                </c:pt>
                <c:pt idx="56">
                  <c:v>1664.6063175329091</c:v>
                </c:pt>
                <c:pt idx="57">
                  <c:v>1623.2239395662305</c:v>
                </c:pt>
                <c:pt idx="58">
                  <c:v>1582.870334101578</c:v>
                </c:pt>
                <c:pt idx="59">
                  <c:v>1543.5199256908281</c:v>
                </c:pt>
                <c:pt idx="60">
                  <c:v>1505.1477746955675</c:v>
                </c:pt>
                <c:pt idx="61">
                  <c:v>1467.7295614807629</c:v>
                </c:pt>
                <c:pt idx="62">
                  <c:v>1505.1477746955675</c:v>
                </c:pt>
                <c:pt idx="63">
                  <c:v>1467.7295614807629</c:v>
                </c:pt>
                <c:pt idx="64">
                  <c:v>1505.1477746955675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1505.1477746955675</c:v>
                </c:pt>
                <c:pt idx="71">
                  <c:v>1467.7295614807629</c:v>
                </c:pt>
                <c:pt idx="72">
                  <c:v>1505.1477746955675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1543.5199256908281</c:v>
                </c:pt>
                <c:pt idx="76">
                  <c:v>1505.1477746955675</c:v>
                </c:pt>
                <c:pt idx="77">
                  <c:v>1467.7295614807629</c:v>
                </c:pt>
                <c:pt idx="78">
                  <c:v>1505.1477746955675</c:v>
                </c:pt>
                <c:pt idx="79">
                  <c:v>1467.7295614807629</c:v>
                </c:pt>
                <c:pt idx="80">
                  <c:v>1505.1477746955675</c:v>
                </c:pt>
                <c:pt idx="81">
                  <c:v>1543.5199256908281</c:v>
                </c:pt>
                <c:pt idx="82">
                  <c:v>1582.870334101578</c:v>
                </c:pt>
                <c:pt idx="83">
                  <c:v>1543.5199256908281</c:v>
                </c:pt>
                <c:pt idx="84">
                  <c:v>1505.1477746955675</c:v>
                </c:pt>
                <c:pt idx="85">
                  <c:v>1543.5199256908281</c:v>
                </c:pt>
                <c:pt idx="86">
                  <c:v>1505.1477746955675</c:v>
                </c:pt>
                <c:pt idx="87">
                  <c:v>1543.5199256908281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1582.870334101578</c:v>
                </c:pt>
                <c:pt idx="91">
                  <c:v>1623.2239395662305</c:v>
                </c:pt>
                <c:pt idx="92">
                  <c:v>1664.6063175329091</c:v>
                </c:pt>
                <c:pt idx="93">
                  <c:v>1707.0436954687445</c:v>
                </c:pt>
                <c:pt idx="94">
                  <c:v>1750.5629694824095</c:v>
                </c:pt>
                <c:pt idx="95">
                  <c:v>1795.1917213704276</c:v>
                </c:pt>
                <c:pt idx="96">
                  <c:v>1840.9582360980601</c:v>
                </c:pt>
                <c:pt idx="97">
                  <c:v>1795.1917213704276</c:v>
                </c:pt>
                <c:pt idx="98">
                  <c:v>1840.9582360980601</c:v>
                </c:pt>
                <c:pt idx="99">
                  <c:v>1887.8915197258498</c:v>
                </c:pt>
                <c:pt idx="100">
                  <c:v>1840.9582360980601</c:v>
                </c:pt>
                <c:pt idx="101">
                  <c:v>1795.1917213704276</c:v>
                </c:pt>
              </c:numCache>
            </c:numRef>
          </c:yVal>
          <c:smooth val="1"/>
        </c:ser>
        <c:ser>
          <c:idx val="16"/>
          <c:order val="15"/>
          <c:yVal>
            <c:numRef>
              <c:f>MCarlo_ar!$S$15:$S$116</c:f>
              <c:numCache>
                <c:formatCode>General</c:formatCode>
                <c:ptCount val="102"/>
                <c:pt idx="0">
                  <c:v>16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1261.9653916081941</c:v>
                </c:pt>
                <c:pt idx="22">
                  <c:v>1294.1378648840339</c:v>
                </c:pt>
                <c:pt idx="23">
                  <c:v>1261.9653916081941</c:v>
                </c:pt>
                <c:pt idx="24">
                  <c:v>1230.5927311380613</c:v>
                </c:pt>
                <c:pt idx="25">
                  <c:v>1261.9653916081941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1294.1378648840339</c:v>
                </c:pt>
                <c:pt idx="29">
                  <c:v>1261.9653916081941</c:v>
                </c:pt>
                <c:pt idx="30">
                  <c:v>1230.5927311380613</c:v>
                </c:pt>
                <c:pt idx="31">
                  <c:v>1261.9653916081941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1360.9643312111432</c:v>
                </c:pt>
                <c:pt idx="35">
                  <c:v>1395.6606777721715</c:v>
                </c:pt>
                <c:pt idx="36">
                  <c:v>1431.2415710013786</c:v>
                </c:pt>
                <c:pt idx="37">
                  <c:v>1395.6606777721715</c:v>
                </c:pt>
                <c:pt idx="38">
                  <c:v>1360.9643312111432</c:v>
                </c:pt>
                <c:pt idx="39">
                  <c:v>1327.1305413473522</c:v>
                </c:pt>
                <c:pt idx="40">
                  <c:v>1360.9643312111432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1327.1305413473522</c:v>
                </c:pt>
                <c:pt idx="44">
                  <c:v>1294.1378648840339</c:v>
                </c:pt>
                <c:pt idx="45">
                  <c:v>1327.1305413473522</c:v>
                </c:pt>
                <c:pt idx="46">
                  <c:v>1294.1378648840339</c:v>
                </c:pt>
                <c:pt idx="47">
                  <c:v>1327.1305413473522</c:v>
                </c:pt>
                <c:pt idx="48">
                  <c:v>1294.1378648840339</c:v>
                </c:pt>
                <c:pt idx="49">
                  <c:v>1261.9653916081941</c:v>
                </c:pt>
                <c:pt idx="50">
                  <c:v>1294.1378648840339</c:v>
                </c:pt>
                <c:pt idx="51">
                  <c:v>1261.9653916081941</c:v>
                </c:pt>
                <c:pt idx="52">
                  <c:v>1294.1378648840339</c:v>
                </c:pt>
                <c:pt idx="53">
                  <c:v>1261.9653916081941</c:v>
                </c:pt>
                <c:pt idx="54">
                  <c:v>1230.5927311380613</c:v>
                </c:pt>
                <c:pt idx="55">
                  <c:v>1261.9653916081941</c:v>
                </c:pt>
                <c:pt idx="56">
                  <c:v>1294.1378648840339</c:v>
                </c:pt>
                <c:pt idx="57">
                  <c:v>1261.9653916081941</c:v>
                </c:pt>
                <c:pt idx="58">
                  <c:v>1294.1378648840339</c:v>
                </c:pt>
                <c:pt idx="59">
                  <c:v>1327.1305413473522</c:v>
                </c:pt>
                <c:pt idx="60">
                  <c:v>1294.1378648840339</c:v>
                </c:pt>
                <c:pt idx="61">
                  <c:v>1327.1305413473522</c:v>
                </c:pt>
                <c:pt idx="62">
                  <c:v>1360.9643312111432</c:v>
                </c:pt>
                <c:pt idx="63">
                  <c:v>1395.6606777721715</c:v>
                </c:pt>
                <c:pt idx="64">
                  <c:v>1431.2415710013786</c:v>
                </c:pt>
                <c:pt idx="65">
                  <c:v>1467.7295614807633</c:v>
                </c:pt>
                <c:pt idx="66">
                  <c:v>1505.1477746955679</c:v>
                </c:pt>
                <c:pt idx="67">
                  <c:v>1467.7295614807631</c:v>
                </c:pt>
                <c:pt idx="68">
                  <c:v>1431.2415710013784</c:v>
                </c:pt>
                <c:pt idx="69">
                  <c:v>1395.6606777721713</c:v>
                </c:pt>
                <c:pt idx="70">
                  <c:v>1360.964331211143</c:v>
                </c:pt>
                <c:pt idx="71">
                  <c:v>1395.6606777721713</c:v>
                </c:pt>
                <c:pt idx="72">
                  <c:v>1360.964331211143</c:v>
                </c:pt>
                <c:pt idx="73">
                  <c:v>1395.6606777721713</c:v>
                </c:pt>
                <c:pt idx="74">
                  <c:v>1360.964331211143</c:v>
                </c:pt>
                <c:pt idx="75">
                  <c:v>1395.6606777721713</c:v>
                </c:pt>
                <c:pt idx="76">
                  <c:v>1360.964331211143</c:v>
                </c:pt>
                <c:pt idx="77">
                  <c:v>1327.1305413473519</c:v>
                </c:pt>
                <c:pt idx="78">
                  <c:v>1360.964331211143</c:v>
                </c:pt>
                <c:pt idx="79">
                  <c:v>1395.6606777721713</c:v>
                </c:pt>
                <c:pt idx="80">
                  <c:v>1431.2415710013784</c:v>
                </c:pt>
                <c:pt idx="81">
                  <c:v>1467.7295614807631</c:v>
                </c:pt>
                <c:pt idx="82">
                  <c:v>1431.2415710013784</c:v>
                </c:pt>
                <c:pt idx="83">
                  <c:v>1467.7295614807631</c:v>
                </c:pt>
                <c:pt idx="84">
                  <c:v>1431.2415710013784</c:v>
                </c:pt>
                <c:pt idx="85">
                  <c:v>1395.6606777721713</c:v>
                </c:pt>
                <c:pt idx="86">
                  <c:v>1360.964331211143</c:v>
                </c:pt>
                <c:pt idx="87">
                  <c:v>1395.6606777721713</c:v>
                </c:pt>
                <c:pt idx="88">
                  <c:v>1431.2415710013784</c:v>
                </c:pt>
                <c:pt idx="89">
                  <c:v>1395.6606777721713</c:v>
                </c:pt>
                <c:pt idx="90">
                  <c:v>1431.2415710013784</c:v>
                </c:pt>
                <c:pt idx="91">
                  <c:v>1395.6606777721713</c:v>
                </c:pt>
                <c:pt idx="92">
                  <c:v>1431.2415710013784</c:v>
                </c:pt>
                <c:pt idx="93">
                  <c:v>1467.7295614807631</c:v>
                </c:pt>
                <c:pt idx="94">
                  <c:v>1505.1477746955677</c:v>
                </c:pt>
                <c:pt idx="95">
                  <c:v>1543.5199256908284</c:v>
                </c:pt>
                <c:pt idx="96">
                  <c:v>1505.1477746955677</c:v>
                </c:pt>
                <c:pt idx="97">
                  <c:v>1467.7295614807629</c:v>
                </c:pt>
                <c:pt idx="98">
                  <c:v>1431.2415710013781</c:v>
                </c:pt>
                <c:pt idx="99">
                  <c:v>1467.7295614807629</c:v>
                </c:pt>
                <c:pt idx="100">
                  <c:v>1505.1477746955675</c:v>
                </c:pt>
                <c:pt idx="101">
                  <c:v>1543.5199256908281</c:v>
                </c:pt>
              </c:numCache>
            </c:numRef>
          </c:yVal>
          <c:smooth val="1"/>
        </c:ser>
        <c:ser>
          <c:idx val="17"/>
          <c:order val="16"/>
          <c:yVal>
            <c:numRef>
              <c:f>MCarlo_ar!$T$15:$T$116</c:f>
              <c:numCache>
                <c:formatCode>General</c:formatCode>
                <c:ptCount val="102"/>
                <c:pt idx="0">
                  <c:v>17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1170.1678090266935</c:v>
                </c:pt>
                <c:pt idx="17">
                  <c:v>1141.0772510686099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1141.0772510686097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1112.7098890109644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1031.7694142523274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1006.1194624136672</c:v>
                </c:pt>
                <c:pt idx="41">
                  <c:v>1031.7694142523274</c:v>
                </c:pt>
                <c:pt idx="42">
                  <c:v>1058.0732844912411</c:v>
                </c:pt>
                <c:pt idx="43">
                  <c:v>1031.7694142523274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1006.1194624136672</c:v>
                </c:pt>
                <c:pt idx="47">
                  <c:v>981.10717245976286</c:v>
                </c:pt>
                <c:pt idx="48">
                  <c:v>1006.1194624136671</c:v>
                </c:pt>
                <c:pt idx="49">
                  <c:v>981.10717245976275</c:v>
                </c:pt>
                <c:pt idx="50">
                  <c:v>1006.119462413667</c:v>
                </c:pt>
                <c:pt idx="51">
                  <c:v>981.10717245976264</c:v>
                </c:pt>
                <c:pt idx="52">
                  <c:v>956.71669201467887</c:v>
                </c:pt>
                <c:pt idx="53">
                  <c:v>981.10717245976264</c:v>
                </c:pt>
                <c:pt idx="54">
                  <c:v>956.71669201467887</c:v>
                </c:pt>
                <c:pt idx="55">
                  <c:v>981.10717245976264</c:v>
                </c:pt>
                <c:pt idx="56">
                  <c:v>956.71669201467887</c:v>
                </c:pt>
                <c:pt idx="57">
                  <c:v>981.10717245976264</c:v>
                </c:pt>
                <c:pt idx="58">
                  <c:v>1006.1194624136668</c:v>
                </c:pt>
                <c:pt idx="59">
                  <c:v>1031.7694142523269</c:v>
                </c:pt>
                <c:pt idx="60">
                  <c:v>1058.0732844912407</c:v>
                </c:pt>
                <c:pt idx="61">
                  <c:v>1031.7694142523269</c:v>
                </c:pt>
                <c:pt idx="62">
                  <c:v>1058.0732844912407</c:v>
                </c:pt>
                <c:pt idx="63">
                  <c:v>1031.7694142523269</c:v>
                </c:pt>
                <c:pt idx="64">
                  <c:v>1006.1194624136668</c:v>
                </c:pt>
                <c:pt idx="65">
                  <c:v>1031.7694142523269</c:v>
                </c:pt>
                <c:pt idx="66">
                  <c:v>1058.0732844912407</c:v>
                </c:pt>
                <c:pt idx="67">
                  <c:v>1031.7694142523269</c:v>
                </c:pt>
                <c:pt idx="68">
                  <c:v>1058.0732844912407</c:v>
                </c:pt>
                <c:pt idx="69">
                  <c:v>1085.0477440885791</c:v>
                </c:pt>
                <c:pt idx="70">
                  <c:v>1058.0732844912407</c:v>
                </c:pt>
                <c:pt idx="71">
                  <c:v>1085.0477440885791</c:v>
                </c:pt>
                <c:pt idx="72">
                  <c:v>1058.0732844912407</c:v>
                </c:pt>
                <c:pt idx="73">
                  <c:v>1031.7694142523269</c:v>
                </c:pt>
                <c:pt idx="74">
                  <c:v>1058.0732844912407</c:v>
                </c:pt>
                <c:pt idx="75">
                  <c:v>1031.7694142523269</c:v>
                </c:pt>
                <c:pt idx="76">
                  <c:v>1058.0732844912407</c:v>
                </c:pt>
                <c:pt idx="77">
                  <c:v>1085.0477440885791</c:v>
                </c:pt>
                <c:pt idx="78">
                  <c:v>1058.0732844912407</c:v>
                </c:pt>
                <c:pt idx="79">
                  <c:v>1085.0477440885791</c:v>
                </c:pt>
                <c:pt idx="80">
                  <c:v>1112.7098890109639</c:v>
                </c:pt>
                <c:pt idx="81">
                  <c:v>1141.0772510686093</c:v>
                </c:pt>
                <c:pt idx="82">
                  <c:v>1112.7098890109639</c:v>
                </c:pt>
                <c:pt idx="83">
                  <c:v>1141.0772510686093</c:v>
                </c:pt>
                <c:pt idx="84">
                  <c:v>1170.1678090266926</c:v>
                </c:pt>
                <c:pt idx="85">
                  <c:v>1199.9999999999991</c:v>
                </c:pt>
                <c:pt idx="86">
                  <c:v>1170.1678090266926</c:v>
                </c:pt>
                <c:pt idx="87">
                  <c:v>1199.9999999999991</c:v>
                </c:pt>
                <c:pt idx="88">
                  <c:v>1230.5927311380603</c:v>
                </c:pt>
                <c:pt idx="89">
                  <c:v>1199.9999999999991</c:v>
                </c:pt>
                <c:pt idx="90">
                  <c:v>1230.5927311380603</c:v>
                </c:pt>
                <c:pt idx="91">
                  <c:v>1199.9999999999991</c:v>
                </c:pt>
                <c:pt idx="92">
                  <c:v>1170.1678090266926</c:v>
                </c:pt>
                <c:pt idx="93">
                  <c:v>1199.9999999999991</c:v>
                </c:pt>
                <c:pt idx="94">
                  <c:v>1170.1678090266926</c:v>
                </c:pt>
                <c:pt idx="95">
                  <c:v>1199.9999999999991</c:v>
                </c:pt>
                <c:pt idx="96">
                  <c:v>1170.1678090266926</c:v>
                </c:pt>
                <c:pt idx="97">
                  <c:v>1199.9999999999991</c:v>
                </c:pt>
                <c:pt idx="98">
                  <c:v>1170.1678090266926</c:v>
                </c:pt>
                <c:pt idx="99">
                  <c:v>1199.9999999999991</c:v>
                </c:pt>
                <c:pt idx="100">
                  <c:v>1230.5927311380603</c:v>
                </c:pt>
                <c:pt idx="101">
                  <c:v>1199.9999999999991</c:v>
                </c:pt>
              </c:numCache>
            </c:numRef>
          </c:yVal>
          <c:smooth val="1"/>
        </c:ser>
        <c:ser>
          <c:idx val="18"/>
          <c:order val="17"/>
          <c:yVal>
            <c:numRef>
              <c:f>MCarlo_ar!$U$15:$U$116</c:f>
              <c:numCache>
                <c:formatCode>General</c:formatCode>
                <c:ptCount val="102"/>
                <c:pt idx="0">
                  <c:v>18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1294.1378648840339</c:v>
                </c:pt>
                <c:pt idx="29">
                  <c:v>1327.1305413473522</c:v>
                </c:pt>
                <c:pt idx="30">
                  <c:v>1294.1378648840339</c:v>
                </c:pt>
                <c:pt idx="31">
                  <c:v>1261.9653916081941</c:v>
                </c:pt>
                <c:pt idx="32">
                  <c:v>1294.1378648840339</c:v>
                </c:pt>
                <c:pt idx="33">
                  <c:v>1261.9653916081941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1230.5927311380613</c:v>
                </c:pt>
                <c:pt idx="37">
                  <c:v>1261.9653916081941</c:v>
                </c:pt>
                <c:pt idx="38">
                  <c:v>1294.1378648840339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1294.1378648840339</c:v>
                </c:pt>
                <c:pt idx="43">
                  <c:v>1261.9653916081941</c:v>
                </c:pt>
                <c:pt idx="44">
                  <c:v>1294.1378648840339</c:v>
                </c:pt>
                <c:pt idx="45">
                  <c:v>1261.9653916081941</c:v>
                </c:pt>
                <c:pt idx="46">
                  <c:v>1294.1378648840339</c:v>
                </c:pt>
                <c:pt idx="47">
                  <c:v>1327.1305413473522</c:v>
                </c:pt>
                <c:pt idx="48">
                  <c:v>1294.1378648840339</c:v>
                </c:pt>
                <c:pt idx="49">
                  <c:v>1327.1305413473522</c:v>
                </c:pt>
                <c:pt idx="50">
                  <c:v>1294.1378648840339</c:v>
                </c:pt>
                <c:pt idx="51">
                  <c:v>1327.1305413473522</c:v>
                </c:pt>
                <c:pt idx="52">
                  <c:v>1294.1378648840339</c:v>
                </c:pt>
                <c:pt idx="53">
                  <c:v>1327.1305413473522</c:v>
                </c:pt>
                <c:pt idx="54">
                  <c:v>1294.1378648840339</c:v>
                </c:pt>
                <c:pt idx="55">
                  <c:v>1327.1305413473522</c:v>
                </c:pt>
                <c:pt idx="56">
                  <c:v>1360.9643312111432</c:v>
                </c:pt>
                <c:pt idx="57">
                  <c:v>1327.1305413473522</c:v>
                </c:pt>
                <c:pt idx="58">
                  <c:v>1360.9643312111432</c:v>
                </c:pt>
                <c:pt idx="59">
                  <c:v>1395.6606777721715</c:v>
                </c:pt>
                <c:pt idx="60">
                  <c:v>1431.2415710013786</c:v>
                </c:pt>
                <c:pt idx="61">
                  <c:v>1467.7295614807633</c:v>
                </c:pt>
                <c:pt idx="62">
                  <c:v>1431.2415710013786</c:v>
                </c:pt>
                <c:pt idx="63">
                  <c:v>1395.6606777721715</c:v>
                </c:pt>
                <c:pt idx="64">
                  <c:v>1431.2415710013786</c:v>
                </c:pt>
                <c:pt idx="65">
                  <c:v>1467.7295614807633</c:v>
                </c:pt>
                <c:pt idx="66">
                  <c:v>1431.2415710013786</c:v>
                </c:pt>
                <c:pt idx="67">
                  <c:v>1467.7295614807633</c:v>
                </c:pt>
                <c:pt idx="68">
                  <c:v>1431.2415710013786</c:v>
                </c:pt>
                <c:pt idx="69">
                  <c:v>1395.6606777721715</c:v>
                </c:pt>
                <c:pt idx="70">
                  <c:v>1431.2415710013786</c:v>
                </c:pt>
                <c:pt idx="71">
                  <c:v>1395.6606777721715</c:v>
                </c:pt>
                <c:pt idx="72">
                  <c:v>1431.2415710013786</c:v>
                </c:pt>
                <c:pt idx="73">
                  <c:v>1395.6606777721715</c:v>
                </c:pt>
                <c:pt idx="74">
                  <c:v>1431.2415710013786</c:v>
                </c:pt>
                <c:pt idx="75">
                  <c:v>1395.6606777721715</c:v>
                </c:pt>
                <c:pt idx="76">
                  <c:v>1360.9643312111432</c:v>
                </c:pt>
                <c:pt idx="77">
                  <c:v>1395.6606777721715</c:v>
                </c:pt>
                <c:pt idx="78">
                  <c:v>1431.2415710013786</c:v>
                </c:pt>
                <c:pt idx="79">
                  <c:v>1467.7295614807633</c:v>
                </c:pt>
                <c:pt idx="80">
                  <c:v>1505.1477746955679</c:v>
                </c:pt>
                <c:pt idx="81">
                  <c:v>1543.5199256908286</c:v>
                </c:pt>
                <c:pt idx="82">
                  <c:v>1582.8703341015785</c:v>
                </c:pt>
                <c:pt idx="83">
                  <c:v>1543.5199256908286</c:v>
                </c:pt>
                <c:pt idx="84">
                  <c:v>1505.1477746955679</c:v>
                </c:pt>
                <c:pt idx="85">
                  <c:v>1467.7295614807631</c:v>
                </c:pt>
                <c:pt idx="86">
                  <c:v>1431.2415710013784</c:v>
                </c:pt>
                <c:pt idx="87">
                  <c:v>1395.6606777721713</c:v>
                </c:pt>
                <c:pt idx="88">
                  <c:v>1431.2415710013784</c:v>
                </c:pt>
                <c:pt idx="89">
                  <c:v>1395.6606777721713</c:v>
                </c:pt>
                <c:pt idx="90">
                  <c:v>1360.964331211143</c:v>
                </c:pt>
                <c:pt idx="91">
                  <c:v>1395.6606777721713</c:v>
                </c:pt>
                <c:pt idx="92">
                  <c:v>1431.2415710013784</c:v>
                </c:pt>
                <c:pt idx="93">
                  <c:v>1395.6606777721713</c:v>
                </c:pt>
                <c:pt idx="94">
                  <c:v>1360.964331211143</c:v>
                </c:pt>
                <c:pt idx="95">
                  <c:v>1327.1305413473519</c:v>
                </c:pt>
                <c:pt idx="96">
                  <c:v>1360.964331211143</c:v>
                </c:pt>
                <c:pt idx="97">
                  <c:v>1327.1305413473519</c:v>
                </c:pt>
                <c:pt idx="98">
                  <c:v>1294.1378648840337</c:v>
                </c:pt>
                <c:pt idx="99">
                  <c:v>1327.1305413473519</c:v>
                </c:pt>
                <c:pt idx="100">
                  <c:v>1294.1378648840337</c:v>
                </c:pt>
                <c:pt idx="101">
                  <c:v>1327.1305413473519</c:v>
                </c:pt>
              </c:numCache>
            </c:numRef>
          </c:yVal>
          <c:smooth val="1"/>
        </c:ser>
        <c:ser>
          <c:idx val="19"/>
          <c:order val="18"/>
          <c:yVal>
            <c:numRef>
              <c:f>MCarlo_ar!$V$15:$V$116</c:f>
              <c:numCache>
                <c:formatCode>General</c:formatCode>
                <c:ptCount val="102"/>
                <c:pt idx="0">
                  <c:v>19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1170.167809026693</c:v>
                </c:pt>
                <c:pt idx="7">
                  <c:v>1199.9999999999995</c:v>
                </c:pt>
                <c:pt idx="8">
                  <c:v>1230.5927311380608</c:v>
                </c:pt>
                <c:pt idx="9">
                  <c:v>1199.9999999999995</c:v>
                </c:pt>
                <c:pt idx="10">
                  <c:v>1170.167809026693</c:v>
                </c:pt>
                <c:pt idx="11">
                  <c:v>1199.9999999999995</c:v>
                </c:pt>
                <c:pt idx="12">
                  <c:v>1230.5927311380608</c:v>
                </c:pt>
                <c:pt idx="13">
                  <c:v>1261.9653916081936</c:v>
                </c:pt>
                <c:pt idx="14">
                  <c:v>1294.1378648840334</c:v>
                </c:pt>
                <c:pt idx="15">
                  <c:v>1261.9653916081936</c:v>
                </c:pt>
                <c:pt idx="16">
                  <c:v>1230.5927311380608</c:v>
                </c:pt>
                <c:pt idx="17">
                  <c:v>1261.9653916081936</c:v>
                </c:pt>
                <c:pt idx="18">
                  <c:v>1294.1378648840334</c:v>
                </c:pt>
                <c:pt idx="19">
                  <c:v>1261.9653916081936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1294.1378648840334</c:v>
                </c:pt>
                <c:pt idx="25">
                  <c:v>1261.9653916081936</c:v>
                </c:pt>
                <c:pt idx="26">
                  <c:v>1294.1378648840334</c:v>
                </c:pt>
                <c:pt idx="27">
                  <c:v>1261.9653916081936</c:v>
                </c:pt>
                <c:pt idx="28">
                  <c:v>1230.5927311380608</c:v>
                </c:pt>
                <c:pt idx="29">
                  <c:v>1261.9653916081936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1294.1378648840334</c:v>
                </c:pt>
                <c:pt idx="33">
                  <c:v>1327.1305413473517</c:v>
                </c:pt>
                <c:pt idx="34">
                  <c:v>1294.1378648840334</c:v>
                </c:pt>
                <c:pt idx="35">
                  <c:v>1327.1305413473517</c:v>
                </c:pt>
                <c:pt idx="36">
                  <c:v>1294.1378648840334</c:v>
                </c:pt>
                <c:pt idx="37">
                  <c:v>1327.1305413473517</c:v>
                </c:pt>
                <c:pt idx="38">
                  <c:v>1294.1378648840334</c:v>
                </c:pt>
                <c:pt idx="39">
                  <c:v>1327.1305413473517</c:v>
                </c:pt>
                <c:pt idx="40">
                  <c:v>1294.1378648840334</c:v>
                </c:pt>
                <c:pt idx="41">
                  <c:v>1327.1305413473517</c:v>
                </c:pt>
                <c:pt idx="42">
                  <c:v>1360.9643312111427</c:v>
                </c:pt>
                <c:pt idx="43">
                  <c:v>1327.1305413473517</c:v>
                </c:pt>
                <c:pt idx="44">
                  <c:v>1294.1378648840334</c:v>
                </c:pt>
                <c:pt idx="45">
                  <c:v>1327.1305413473517</c:v>
                </c:pt>
                <c:pt idx="46">
                  <c:v>1360.9643312111427</c:v>
                </c:pt>
                <c:pt idx="47">
                  <c:v>1395.6606777721711</c:v>
                </c:pt>
                <c:pt idx="48">
                  <c:v>1431.2415710013781</c:v>
                </c:pt>
                <c:pt idx="49">
                  <c:v>1395.6606777721711</c:v>
                </c:pt>
                <c:pt idx="50">
                  <c:v>1431.2415710013781</c:v>
                </c:pt>
                <c:pt idx="51">
                  <c:v>1395.6606777721711</c:v>
                </c:pt>
                <c:pt idx="52">
                  <c:v>1431.2415710013781</c:v>
                </c:pt>
                <c:pt idx="53">
                  <c:v>1395.6606777721711</c:v>
                </c:pt>
                <c:pt idx="54">
                  <c:v>1431.2415710013781</c:v>
                </c:pt>
                <c:pt idx="55">
                  <c:v>1395.6606777721711</c:v>
                </c:pt>
                <c:pt idx="56">
                  <c:v>1431.2415710013781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1543.5199256908281</c:v>
                </c:pt>
                <c:pt idx="60">
                  <c:v>1582.870334101578</c:v>
                </c:pt>
                <c:pt idx="61">
                  <c:v>1623.2239395662305</c:v>
                </c:pt>
                <c:pt idx="62">
                  <c:v>1664.6063175329091</c:v>
                </c:pt>
                <c:pt idx="63">
                  <c:v>1623.2239395662305</c:v>
                </c:pt>
                <c:pt idx="64">
                  <c:v>1582.870334101578</c:v>
                </c:pt>
                <c:pt idx="65">
                  <c:v>1543.5199256908281</c:v>
                </c:pt>
                <c:pt idx="66">
                  <c:v>1505.1477746955675</c:v>
                </c:pt>
                <c:pt idx="67">
                  <c:v>1543.5199256908281</c:v>
                </c:pt>
                <c:pt idx="68">
                  <c:v>1582.870334101578</c:v>
                </c:pt>
                <c:pt idx="69">
                  <c:v>1543.5199256908281</c:v>
                </c:pt>
                <c:pt idx="70">
                  <c:v>1505.1477746955675</c:v>
                </c:pt>
                <c:pt idx="71">
                  <c:v>1467.7295614807629</c:v>
                </c:pt>
                <c:pt idx="72">
                  <c:v>1505.1477746955675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1543.5199256908281</c:v>
                </c:pt>
                <c:pt idx="78">
                  <c:v>1582.870334101578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1623.2239395662305</c:v>
                </c:pt>
                <c:pt idx="82">
                  <c:v>1582.870334101578</c:v>
                </c:pt>
                <c:pt idx="83">
                  <c:v>1623.2239395662305</c:v>
                </c:pt>
                <c:pt idx="84">
                  <c:v>1664.6063175329091</c:v>
                </c:pt>
                <c:pt idx="85">
                  <c:v>1623.2239395662305</c:v>
                </c:pt>
                <c:pt idx="86">
                  <c:v>1664.6063175329091</c:v>
                </c:pt>
                <c:pt idx="87">
                  <c:v>1707.0436954687445</c:v>
                </c:pt>
                <c:pt idx="88">
                  <c:v>1750.5629694824095</c:v>
                </c:pt>
                <c:pt idx="89">
                  <c:v>1795.1917213704276</c:v>
                </c:pt>
                <c:pt idx="90">
                  <c:v>1840.9582360980601</c:v>
                </c:pt>
                <c:pt idx="91">
                  <c:v>1795.1917213704276</c:v>
                </c:pt>
                <c:pt idx="92">
                  <c:v>1750.5629694824095</c:v>
                </c:pt>
                <c:pt idx="93">
                  <c:v>1707.0436954687445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1750.5629694824095</c:v>
                </c:pt>
                <c:pt idx="97">
                  <c:v>1707.0436954687445</c:v>
                </c:pt>
                <c:pt idx="98">
                  <c:v>1750.5629694824095</c:v>
                </c:pt>
                <c:pt idx="99">
                  <c:v>1707.0436954687445</c:v>
                </c:pt>
                <c:pt idx="100">
                  <c:v>1750.5629694824095</c:v>
                </c:pt>
                <c:pt idx="101">
                  <c:v>1795.1917213704276</c:v>
                </c:pt>
              </c:numCache>
            </c:numRef>
          </c:yVal>
          <c:smooth val="1"/>
        </c:ser>
        <c:ser>
          <c:idx val="20"/>
          <c:order val="19"/>
          <c:yVal>
            <c:numRef>
              <c:f>MCarlo_ar!$W$15:$W$116</c:f>
              <c:numCache>
                <c:formatCode>General</c:formatCode>
                <c:ptCount val="102"/>
                <c:pt idx="0">
                  <c:v>20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1360.9643312111432</c:v>
                </c:pt>
                <c:pt idx="7">
                  <c:v>1327.1305413473522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1360.9643312111432</c:v>
                </c:pt>
                <c:pt idx="13">
                  <c:v>1327.1305413473522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1431.2415710013786</c:v>
                </c:pt>
                <c:pt idx="23">
                  <c:v>1467.7295614807633</c:v>
                </c:pt>
                <c:pt idx="24">
                  <c:v>1431.2415710013786</c:v>
                </c:pt>
                <c:pt idx="25">
                  <c:v>1395.6606777721715</c:v>
                </c:pt>
                <c:pt idx="26">
                  <c:v>1360.9643312111432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1294.1378648840339</c:v>
                </c:pt>
                <c:pt idx="31">
                  <c:v>1261.9653916081941</c:v>
                </c:pt>
                <c:pt idx="32">
                  <c:v>1294.1378648840339</c:v>
                </c:pt>
                <c:pt idx="33">
                  <c:v>1261.9653916081941</c:v>
                </c:pt>
                <c:pt idx="34">
                  <c:v>1294.1378648840339</c:v>
                </c:pt>
                <c:pt idx="35">
                  <c:v>1327.1305413473522</c:v>
                </c:pt>
                <c:pt idx="36">
                  <c:v>1294.1378648840339</c:v>
                </c:pt>
                <c:pt idx="37">
                  <c:v>1261.9653916081941</c:v>
                </c:pt>
                <c:pt idx="38">
                  <c:v>1230.5927311380613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1395.6606777721715</c:v>
                </c:pt>
                <c:pt idx="44">
                  <c:v>1431.2415710013786</c:v>
                </c:pt>
                <c:pt idx="45">
                  <c:v>1395.6606777721715</c:v>
                </c:pt>
                <c:pt idx="46">
                  <c:v>1431.2415710013786</c:v>
                </c:pt>
                <c:pt idx="47">
                  <c:v>1467.7295614807633</c:v>
                </c:pt>
                <c:pt idx="48">
                  <c:v>1505.1477746955679</c:v>
                </c:pt>
                <c:pt idx="49">
                  <c:v>1543.5199256908286</c:v>
                </c:pt>
                <c:pt idx="50">
                  <c:v>1582.8703341015785</c:v>
                </c:pt>
                <c:pt idx="51">
                  <c:v>1543.5199256908286</c:v>
                </c:pt>
                <c:pt idx="52">
                  <c:v>1505.1477746955679</c:v>
                </c:pt>
                <c:pt idx="53">
                  <c:v>1467.7295614807631</c:v>
                </c:pt>
                <c:pt idx="54">
                  <c:v>1505.1477746955677</c:v>
                </c:pt>
                <c:pt idx="55">
                  <c:v>1467.7295614807629</c:v>
                </c:pt>
                <c:pt idx="56">
                  <c:v>1431.2415710013781</c:v>
                </c:pt>
                <c:pt idx="57">
                  <c:v>1395.6606777721711</c:v>
                </c:pt>
                <c:pt idx="58">
                  <c:v>1431.2415710013781</c:v>
                </c:pt>
                <c:pt idx="59">
                  <c:v>1395.6606777721711</c:v>
                </c:pt>
                <c:pt idx="60">
                  <c:v>1431.2415710013781</c:v>
                </c:pt>
                <c:pt idx="61">
                  <c:v>1395.6606777721711</c:v>
                </c:pt>
                <c:pt idx="62">
                  <c:v>1431.2415710013781</c:v>
                </c:pt>
                <c:pt idx="63">
                  <c:v>1467.7295614807629</c:v>
                </c:pt>
                <c:pt idx="64">
                  <c:v>1431.2415710013781</c:v>
                </c:pt>
                <c:pt idx="65">
                  <c:v>1467.7295614807629</c:v>
                </c:pt>
                <c:pt idx="66">
                  <c:v>1505.1477746955675</c:v>
                </c:pt>
                <c:pt idx="67">
                  <c:v>1543.5199256908281</c:v>
                </c:pt>
                <c:pt idx="68">
                  <c:v>1582.870334101578</c:v>
                </c:pt>
                <c:pt idx="69">
                  <c:v>1543.5199256908281</c:v>
                </c:pt>
                <c:pt idx="70">
                  <c:v>1505.1477746955675</c:v>
                </c:pt>
                <c:pt idx="71">
                  <c:v>1467.7295614807629</c:v>
                </c:pt>
                <c:pt idx="72">
                  <c:v>1505.1477746955675</c:v>
                </c:pt>
                <c:pt idx="73">
                  <c:v>1543.5199256908281</c:v>
                </c:pt>
                <c:pt idx="74">
                  <c:v>1505.1477746955675</c:v>
                </c:pt>
                <c:pt idx="75">
                  <c:v>1543.5199256908281</c:v>
                </c:pt>
                <c:pt idx="76">
                  <c:v>1505.1477746955675</c:v>
                </c:pt>
                <c:pt idx="77">
                  <c:v>1543.5199256908281</c:v>
                </c:pt>
                <c:pt idx="78">
                  <c:v>1582.870334101578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1623.2239395662305</c:v>
                </c:pt>
                <c:pt idx="82">
                  <c:v>1582.870334101578</c:v>
                </c:pt>
                <c:pt idx="83">
                  <c:v>1623.2239395662305</c:v>
                </c:pt>
                <c:pt idx="84">
                  <c:v>1664.6063175329091</c:v>
                </c:pt>
                <c:pt idx="85">
                  <c:v>1707.0436954687445</c:v>
                </c:pt>
                <c:pt idx="86">
                  <c:v>1664.6063175329091</c:v>
                </c:pt>
                <c:pt idx="87">
                  <c:v>1707.0436954687445</c:v>
                </c:pt>
                <c:pt idx="88">
                  <c:v>1664.6063175329091</c:v>
                </c:pt>
                <c:pt idx="89">
                  <c:v>1707.0436954687445</c:v>
                </c:pt>
                <c:pt idx="90">
                  <c:v>1664.6063175329091</c:v>
                </c:pt>
                <c:pt idx="91">
                  <c:v>1623.2239395662305</c:v>
                </c:pt>
                <c:pt idx="92">
                  <c:v>1582.870334101578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1750.5629694824095</c:v>
                </c:pt>
                <c:pt idx="97">
                  <c:v>1707.0436954687445</c:v>
                </c:pt>
                <c:pt idx="98">
                  <c:v>1750.5629694824095</c:v>
                </c:pt>
                <c:pt idx="99">
                  <c:v>1707.0436954687445</c:v>
                </c:pt>
                <c:pt idx="100">
                  <c:v>1664.6063175329091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21"/>
          <c:order val="20"/>
          <c:yVal>
            <c:numRef>
              <c:f>MCarlo_ar!$X$15:$X$116</c:f>
              <c:numCache>
                <c:formatCode>General</c:formatCode>
                <c:ptCount val="102"/>
                <c:pt idx="0">
                  <c:v>21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1112.7098890109644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1085.0477440885795</c:v>
                </c:pt>
                <c:pt idx="8">
                  <c:v>1058.0732844912411</c:v>
                </c:pt>
                <c:pt idx="9">
                  <c:v>1085.0477440885795</c:v>
                </c:pt>
                <c:pt idx="10">
                  <c:v>1058.0732844912411</c:v>
                </c:pt>
                <c:pt idx="11">
                  <c:v>1031.7694142523274</c:v>
                </c:pt>
                <c:pt idx="12">
                  <c:v>1006.1194624136672</c:v>
                </c:pt>
                <c:pt idx="13">
                  <c:v>1031.7694142523274</c:v>
                </c:pt>
                <c:pt idx="14">
                  <c:v>1006.1194624136672</c:v>
                </c:pt>
                <c:pt idx="15">
                  <c:v>981.10717245976286</c:v>
                </c:pt>
                <c:pt idx="16">
                  <c:v>956.7166920146791</c:v>
                </c:pt>
                <c:pt idx="17">
                  <c:v>932.93256279506897</c:v>
                </c:pt>
                <c:pt idx="18">
                  <c:v>909.73971081296986</c:v>
                </c:pt>
                <c:pt idx="19">
                  <c:v>887.12343682215885</c:v>
                </c:pt>
                <c:pt idx="20">
                  <c:v>909.73971081296986</c:v>
                </c:pt>
                <c:pt idx="21">
                  <c:v>932.93256279506886</c:v>
                </c:pt>
                <c:pt idx="22">
                  <c:v>956.71669201467887</c:v>
                </c:pt>
                <c:pt idx="23">
                  <c:v>981.10717245976264</c:v>
                </c:pt>
                <c:pt idx="24">
                  <c:v>956.71669201467887</c:v>
                </c:pt>
                <c:pt idx="25">
                  <c:v>981.10717245976264</c:v>
                </c:pt>
                <c:pt idx="26">
                  <c:v>956.71669201467887</c:v>
                </c:pt>
                <c:pt idx="27">
                  <c:v>981.10717245976264</c:v>
                </c:pt>
                <c:pt idx="28">
                  <c:v>1006.1194624136668</c:v>
                </c:pt>
                <c:pt idx="29">
                  <c:v>981.10717245976264</c:v>
                </c:pt>
                <c:pt idx="30">
                  <c:v>956.71669201467887</c:v>
                </c:pt>
                <c:pt idx="31">
                  <c:v>981.10717245976264</c:v>
                </c:pt>
                <c:pt idx="32">
                  <c:v>1006.1194624136668</c:v>
                </c:pt>
                <c:pt idx="33">
                  <c:v>981.10717245976264</c:v>
                </c:pt>
                <c:pt idx="34">
                  <c:v>1006.1194624136668</c:v>
                </c:pt>
                <c:pt idx="35">
                  <c:v>981.10717245976264</c:v>
                </c:pt>
                <c:pt idx="36">
                  <c:v>956.71669201467887</c:v>
                </c:pt>
                <c:pt idx="37">
                  <c:v>981.10717245976264</c:v>
                </c:pt>
                <c:pt idx="38">
                  <c:v>956.71669201467887</c:v>
                </c:pt>
                <c:pt idx="39">
                  <c:v>932.93256279506875</c:v>
                </c:pt>
                <c:pt idx="40">
                  <c:v>909.73971081296975</c:v>
                </c:pt>
                <c:pt idx="41">
                  <c:v>887.12343682215874</c:v>
                </c:pt>
                <c:pt idx="42">
                  <c:v>909.73971081296975</c:v>
                </c:pt>
                <c:pt idx="43">
                  <c:v>887.12343682215874</c:v>
                </c:pt>
                <c:pt idx="44">
                  <c:v>909.73971081296975</c:v>
                </c:pt>
                <c:pt idx="45">
                  <c:v>932.93256279506875</c:v>
                </c:pt>
                <c:pt idx="46">
                  <c:v>909.73971081296975</c:v>
                </c:pt>
                <c:pt idx="47">
                  <c:v>932.93256279506875</c:v>
                </c:pt>
                <c:pt idx="48">
                  <c:v>956.71669201467876</c:v>
                </c:pt>
                <c:pt idx="49">
                  <c:v>932.93256279506875</c:v>
                </c:pt>
                <c:pt idx="50">
                  <c:v>909.73971081296975</c:v>
                </c:pt>
                <c:pt idx="51">
                  <c:v>887.12343682215874</c:v>
                </c:pt>
                <c:pt idx="52">
                  <c:v>909.73971081296975</c:v>
                </c:pt>
                <c:pt idx="53">
                  <c:v>932.93256279506875</c:v>
                </c:pt>
                <c:pt idx="54">
                  <c:v>909.73971081296975</c:v>
                </c:pt>
                <c:pt idx="55">
                  <c:v>887.12343682215874</c:v>
                </c:pt>
                <c:pt idx="56">
                  <c:v>909.73971081296975</c:v>
                </c:pt>
                <c:pt idx="57">
                  <c:v>932.93256279506875</c:v>
                </c:pt>
                <c:pt idx="58">
                  <c:v>909.73971081296975</c:v>
                </c:pt>
                <c:pt idx="59">
                  <c:v>932.93256279506875</c:v>
                </c:pt>
                <c:pt idx="60">
                  <c:v>956.71669201467876</c:v>
                </c:pt>
                <c:pt idx="61">
                  <c:v>981.10717245976252</c:v>
                </c:pt>
                <c:pt idx="62">
                  <c:v>956.71669201467876</c:v>
                </c:pt>
                <c:pt idx="63">
                  <c:v>981.10717245976252</c:v>
                </c:pt>
                <c:pt idx="64">
                  <c:v>1006.1194624136667</c:v>
                </c:pt>
                <c:pt idx="65">
                  <c:v>981.10717245976252</c:v>
                </c:pt>
                <c:pt idx="66">
                  <c:v>1006.1194624136667</c:v>
                </c:pt>
                <c:pt idx="67">
                  <c:v>981.10717245976252</c:v>
                </c:pt>
                <c:pt idx="68">
                  <c:v>956.71669201467876</c:v>
                </c:pt>
                <c:pt idx="69">
                  <c:v>981.10717245976252</c:v>
                </c:pt>
                <c:pt idx="70">
                  <c:v>956.71669201467876</c:v>
                </c:pt>
                <c:pt idx="71">
                  <c:v>932.93256279506875</c:v>
                </c:pt>
                <c:pt idx="72">
                  <c:v>909.73971081296975</c:v>
                </c:pt>
                <c:pt idx="73">
                  <c:v>932.93256279506875</c:v>
                </c:pt>
                <c:pt idx="74">
                  <c:v>956.71669201467876</c:v>
                </c:pt>
                <c:pt idx="75">
                  <c:v>932.93256279506875</c:v>
                </c:pt>
                <c:pt idx="76">
                  <c:v>956.71669201467876</c:v>
                </c:pt>
                <c:pt idx="77">
                  <c:v>932.93256279506875</c:v>
                </c:pt>
                <c:pt idx="78">
                  <c:v>956.71669201467876</c:v>
                </c:pt>
                <c:pt idx="79">
                  <c:v>932.93256279506875</c:v>
                </c:pt>
                <c:pt idx="80">
                  <c:v>909.73971081296975</c:v>
                </c:pt>
                <c:pt idx="81">
                  <c:v>887.12343682215874</c:v>
                </c:pt>
                <c:pt idx="82">
                  <c:v>909.73971081296975</c:v>
                </c:pt>
                <c:pt idx="83">
                  <c:v>887.12343682215874</c:v>
                </c:pt>
                <c:pt idx="84">
                  <c:v>909.73971081296975</c:v>
                </c:pt>
                <c:pt idx="85">
                  <c:v>887.12343682215874</c:v>
                </c:pt>
                <c:pt idx="86">
                  <c:v>865.06940700201312</c:v>
                </c:pt>
                <c:pt idx="87">
                  <c:v>887.12343682215874</c:v>
                </c:pt>
                <c:pt idx="88">
                  <c:v>909.73971081296975</c:v>
                </c:pt>
                <c:pt idx="89">
                  <c:v>887.12343682215874</c:v>
                </c:pt>
                <c:pt idx="90">
                  <c:v>909.73971081296975</c:v>
                </c:pt>
                <c:pt idx="91">
                  <c:v>932.93256279506875</c:v>
                </c:pt>
                <c:pt idx="92">
                  <c:v>909.73971081296975</c:v>
                </c:pt>
                <c:pt idx="93">
                  <c:v>887.12343682215874</c:v>
                </c:pt>
                <c:pt idx="94">
                  <c:v>909.73971081296975</c:v>
                </c:pt>
                <c:pt idx="95">
                  <c:v>887.12343682215874</c:v>
                </c:pt>
                <c:pt idx="96">
                  <c:v>909.73971081296975</c:v>
                </c:pt>
                <c:pt idx="97">
                  <c:v>932.93256279506875</c:v>
                </c:pt>
                <c:pt idx="98">
                  <c:v>956.71669201467876</c:v>
                </c:pt>
                <c:pt idx="99">
                  <c:v>932.93256279506875</c:v>
                </c:pt>
                <c:pt idx="100">
                  <c:v>909.73971081296975</c:v>
                </c:pt>
                <c:pt idx="101">
                  <c:v>932.93256279506875</c:v>
                </c:pt>
              </c:numCache>
            </c:numRef>
          </c:yVal>
          <c:smooth val="1"/>
        </c:ser>
        <c:ser>
          <c:idx val="22"/>
          <c:order val="21"/>
          <c:yVal>
            <c:numRef>
              <c:f>MCarlo_ar!$Y$15:$Y$116</c:f>
              <c:numCache>
                <c:formatCode>General</c:formatCode>
                <c:ptCount val="102"/>
                <c:pt idx="0">
                  <c:v>22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1261.9653916081941</c:v>
                </c:pt>
                <c:pt idx="24">
                  <c:v>1230.5927311380613</c:v>
                </c:pt>
                <c:pt idx="25">
                  <c:v>1261.9653916081941</c:v>
                </c:pt>
                <c:pt idx="26">
                  <c:v>1230.5927311380613</c:v>
                </c:pt>
                <c:pt idx="27">
                  <c:v>1261.9653916081941</c:v>
                </c:pt>
                <c:pt idx="28">
                  <c:v>1230.5927311380613</c:v>
                </c:pt>
                <c:pt idx="29">
                  <c:v>1261.9653916081941</c:v>
                </c:pt>
                <c:pt idx="30">
                  <c:v>1230.5927311380613</c:v>
                </c:pt>
                <c:pt idx="31">
                  <c:v>1200</c:v>
                </c:pt>
                <c:pt idx="32">
                  <c:v>1170.1678090266935</c:v>
                </c:pt>
                <c:pt idx="33">
                  <c:v>1200</c:v>
                </c:pt>
                <c:pt idx="34">
                  <c:v>1230.5927311380613</c:v>
                </c:pt>
                <c:pt idx="35">
                  <c:v>1200</c:v>
                </c:pt>
                <c:pt idx="36">
                  <c:v>1170.1678090266935</c:v>
                </c:pt>
                <c:pt idx="37">
                  <c:v>1141.0772510686099</c:v>
                </c:pt>
                <c:pt idx="38">
                  <c:v>1170.1678090266932</c:v>
                </c:pt>
                <c:pt idx="39">
                  <c:v>1199.9999999999998</c:v>
                </c:pt>
                <c:pt idx="40">
                  <c:v>1230.592731138061</c:v>
                </c:pt>
                <c:pt idx="41">
                  <c:v>1261.9653916081938</c:v>
                </c:pt>
                <c:pt idx="42">
                  <c:v>1294.1378648840337</c:v>
                </c:pt>
                <c:pt idx="43">
                  <c:v>1261.9653916081938</c:v>
                </c:pt>
                <c:pt idx="44">
                  <c:v>1230.592731138061</c:v>
                </c:pt>
                <c:pt idx="45">
                  <c:v>1261.9653916081938</c:v>
                </c:pt>
                <c:pt idx="46">
                  <c:v>1230.592731138061</c:v>
                </c:pt>
                <c:pt idx="47">
                  <c:v>1199.9999999999998</c:v>
                </c:pt>
                <c:pt idx="48">
                  <c:v>1170.1678090266932</c:v>
                </c:pt>
                <c:pt idx="49">
                  <c:v>1199.9999999999998</c:v>
                </c:pt>
                <c:pt idx="50">
                  <c:v>1230.592731138061</c:v>
                </c:pt>
                <c:pt idx="51">
                  <c:v>1261.9653916081938</c:v>
                </c:pt>
                <c:pt idx="52">
                  <c:v>1230.592731138061</c:v>
                </c:pt>
                <c:pt idx="53">
                  <c:v>1261.9653916081938</c:v>
                </c:pt>
                <c:pt idx="54">
                  <c:v>1294.1378648840337</c:v>
                </c:pt>
                <c:pt idx="55">
                  <c:v>1327.1305413473519</c:v>
                </c:pt>
                <c:pt idx="56">
                  <c:v>1360.964331211143</c:v>
                </c:pt>
                <c:pt idx="57">
                  <c:v>1395.6606777721713</c:v>
                </c:pt>
                <c:pt idx="58">
                  <c:v>1431.2415710013784</c:v>
                </c:pt>
                <c:pt idx="59">
                  <c:v>1467.7295614807631</c:v>
                </c:pt>
                <c:pt idx="60">
                  <c:v>1431.2415710013784</c:v>
                </c:pt>
                <c:pt idx="61">
                  <c:v>1467.7295614807631</c:v>
                </c:pt>
                <c:pt idx="62">
                  <c:v>1431.2415710013784</c:v>
                </c:pt>
                <c:pt idx="63">
                  <c:v>1467.7295614807631</c:v>
                </c:pt>
                <c:pt idx="64">
                  <c:v>1431.2415710013784</c:v>
                </c:pt>
                <c:pt idx="65">
                  <c:v>1395.6606777721713</c:v>
                </c:pt>
                <c:pt idx="66">
                  <c:v>1431.2415710013784</c:v>
                </c:pt>
                <c:pt idx="67">
                  <c:v>1395.6606777721713</c:v>
                </c:pt>
                <c:pt idx="68">
                  <c:v>1431.2415710013784</c:v>
                </c:pt>
                <c:pt idx="69">
                  <c:v>1467.7295614807631</c:v>
                </c:pt>
                <c:pt idx="70">
                  <c:v>1505.1477746955677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1431.2415710013781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1467.7295614807629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1327.1305413473517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1431.2415710013781</c:v>
                </c:pt>
                <c:pt idx="85">
                  <c:v>1467.7295614807629</c:v>
                </c:pt>
                <c:pt idx="86">
                  <c:v>1431.2415710013781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1505.1477746955675</c:v>
                </c:pt>
                <c:pt idx="91">
                  <c:v>1543.5199256908281</c:v>
                </c:pt>
                <c:pt idx="92">
                  <c:v>1582.870334101578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1750.5629694824095</c:v>
                </c:pt>
                <c:pt idx="97">
                  <c:v>1795.1917213704276</c:v>
                </c:pt>
                <c:pt idx="98">
                  <c:v>1750.5629694824095</c:v>
                </c:pt>
                <c:pt idx="99">
                  <c:v>1795.1917213704276</c:v>
                </c:pt>
                <c:pt idx="100">
                  <c:v>1750.5629694824095</c:v>
                </c:pt>
                <c:pt idx="101">
                  <c:v>1795.1917213704276</c:v>
                </c:pt>
              </c:numCache>
            </c:numRef>
          </c:yVal>
          <c:smooth val="1"/>
        </c:ser>
        <c:ser>
          <c:idx val="23"/>
          <c:order val="22"/>
          <c:yVal>
            <c:numRef>
              <c:f>MCarlo_ar!$Z$15:$Z$116</c:f>
              <c:numCache>
                <c:formatCode>General</c:formatCode>
                <c:ptCount val="102"/>
                <c:pt idx="0">
                  <c:v>23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1431.2415710013786</c:v>
                </c:pt>
                <c:pt idx="15">
                  <c:v>1395.6606777721715</c:v>
                </c:pt>
                <c:pt idx="16">
                  <c:v>1431.2415710013786</c:v>
                </c:pt>
                <c:pt idx="17">
                  <c:v>1395.6606777721715</c:v>
                </c:pt>
                <c:pt idx="18">
                  <c:v>1360.9643312111432</c:v>
                </c:pt>
                <c:pt idx="19">
                  <c:v>1395.6606777721715</c:v>
                </c:pt>
                <c:pt idx="20">
                  <c:v>1431.2415710013786</c:v>
                </c:pt>
                <c:pt idx="21">
                  <c:v>1467.7295614807633</c:v>
                </c:pt>
                <c:pt idx="22">
                  <c:v>1431.2415710013786</c:v>
                </c:pt>
                <c:pt idx="23">
                  <c:v>1395.6606777721715</c:v>
                </c:pt>
                <c:pt idx="24">
                  <c:v>1360.9643312111432</c:v>
                </c:pt>
                <c:pt idx="25">
                  <c:v>1395.6606777721715</c:v>
                </c:pt>
                <c:pt idx="26">
                  <c:v>1431.2415710013786</c:v>
                </c:pt>
                <c:pt idx="27">
                  <c:v>1467.7295614807633</c:v>
                </c:pt>
                <c:pt idx="28">
                  <c:v>1505.1477746955679</c:v>
                </c:pt>
                <c:pt idx="29">
                  <c:v>1543.5199256908286</c:v>
                </c:pt>
                <c:pt idx="30">
                  <c:v>1582.8703341015785</c:v>
                </c:pt>
                <c:pt idx="31">
                  <c:v>1543.5199256908286</c:v>
                </c:pt>
                <c:pt idx="32">
                  <c:v>1582.8703341015785</c:v>
                </c:pt>
                <c:pt idx="33">
                  <c:v>1623.2239395662309</c:v>
                </c:pt>
                <c:pt idx="34">
                  <c:v>1582.8703341015785</c:v>
                </c:pt>
                <c:pt idx="35">
                  <c:v>1543.5199256908286</c:v>
                </c:pt>
                <c:pt idx="36">
                  <c:v>1582.8703341015785</c:v>
                </c:pt>
                <c:pt idx="37">
                  <c:v>1543.5199256908286</c:v>
                </c:pt>
                <c:pt idx="38">
                  <c:v>1582.8703341015785</c:v>
                </c:pt>
                <c:pt idx="39">
                  <c:v>1543.5199256908286</c:v>
                </c:pt>
                <c:pt idx="40">
                  <c:v>1582.8703341015785</c:v>
                </c:pt>
                <c:pt idx="41">
                  <c:v>1543.5199256908286</c:v>
                </c:pt>
                <c:pt idx="42">
                  <c:v>1582.8703341015785</c:v>
                </c:pt>
                <c:pt idx="43">
                  <c:v>1543.5199256908286</c:v>
                </c:pt>
                <c:pt idx="44">
                  <c:v>1582.8703341015785</c:v>
                </c:pt>
                <c:pt idx="45">
                  <c:v>1543.5199256908286</c:v>
                </c:pt>
                <c:pt idx="46">
                  <c:v>1582.8703341015785</c:v>
                </c:pt>
                <c:pt idx="47">
                  <c:v>1623.2239395662309</c:v>
                </c:pt>
                <c:pt idx="48">
                  <c:v>1582.8703341015785</c:v>
                </c:pt>
                <c:pt idx="49">
                  <c:v>1623.2239395662309</c:v>
                </c:pt>
                <c:pt idx="50">
                  <c:v>1582.8703341015785</c:v>
                </c:pt>
                <c:pt idx="51">
                  <c:v>1543.5199256908286</c:v>
                </c:pt>
                <c:pt idx="52">
                  <c:v>1505.1477746955679</c:v>
                </c:pt>
                <c:pt idx="53">
                  <c:v>1543.5199256908286</c:v>
                </c:pt>
                <c:pt idx="54">
                  <c:v>1582.8703341015785</c:v>
                </c:pt>
                <c:pt idx="55">
                  <c:v>1623.2239395662309</c:v>
                </c:pt>
                <c:pt idx="56">
                  <c:v>1582.8703341015785</c:v>
                </c:pt>
                <c:pt idx="57">
                  <c:v>1543.5199256908286</c:v>
                </c:pt>
                <c:pt idx="58">
                  <c:v>1582.8703341015785</c:v>
                </c:pt>
                <c:pt idx="59">
                  <c:v>1623.2239395662309</c:v>
                </c:pt>
                <c:pt idx="60">
                  <c:v>1582.8703341015785</c:v>
                </c:pt>
                <c:pt idx="61">
                  <c:v>1623.2239395662309</c:v>
                </c:pt>
                <c:pt idx="62">
                  <c:v>1664.6063175329095</c:v>
                </c:pt>
                <c:pt idx="63">
                  <c:v>1623.2239395662309</c:v>
                </c:pt>
                <c:pt idx="64">
                  <c:v>1582.8703341015785</c:v>
                </c:pt>
                <c:pt idx="65">
                  <c:v>1543.5199256908286</c:v>
                </c:pt>
                <c:pt idx="66">
                  <c:v>1582.8703341015785</c:v>
                </c:pt>
                <c:pt idx="67">
                  <c:v>1623.2239395662309</c:v>
                </c:pt>
                <c:pt idx="68">
                  <c:v>1664.6063175329095</c:v>
                </c:pt>
                <c:pt idx="69">
                  <c:v>1623.2239395662309</c:v>
                </c:pt>
                <c:pt idx="70">
                  <c:v>1582.8703341015785</c:v>
                </c:pt>
                <c:pt idx="71">
                  <c:v>1543.5199256908286</c:v>
                </c:pt>
                <c:pt idx="72">
                  <c:v>1505.1477746955679</c:v>
                </c:pt>
                <c:pt idx="73">
                  <c:v>1467.7295614807631</c:v>
                </c:pt>
                <c:pt idx="74">
                  <c:v>1505.1477746955677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1543.5199256908281</c:v>
                </c:pt>
                <c:pt idx="78">
                  <c:v>1505.1477746955675</c:v>
                </c:pt>
                <c:pt idx="79">
                  <c:v>1543.5199256908281</c:v>
                </c:pt>
                <c:pt idx="80">
                  <c:v>1505.1477746955675</c:v>
                </c:pt>
                <c:pt idx="81">
                  <c:v>1467.7295614807629</c:v>
                </c:pt>
                <c:pt idx="82">
                  <c:v>1431.2415710013781</c:v>
                </c:pt>
                <c:pt idx="83">
                  <c:v>1467.7295614807629</c:v>
                </c:pt>
                <c:pt idx="84">
                  <c:v>1431.2415710013781</c:v>
                </c:pt>
                <c:pt idx="85">
                  <c:v>1395.6606777721711</c:v>
                </c:pt>
                <c:pt idx="86">
                  <c:v>1360.9643312111427</c:v>
                </c:pt>
                <c:pt idx="87">
                  <c:v>1395.6606777721711</c:v>
                </c:pt>
                <c:pt idx="88">
                  <c:v>1360.9643312111427</c:v>
                </c:pt>
                <c:pt idx="89">
                  <c:v>1395.6606777721711</c:v>
                </c:pt>
                <c:pt idx="90">
                  <c:v>1431.2415710013781</c:v>
                </c:pt>
                <c:pt idx="91">
                  <c:v>1395.6606777721711</c:v>
                </c:pt>
                <c:pt idx="92">
                  <c:v>1360.9643312111427</c:v>
                </c:pt>
                <c:pt idx="93">
                  <c:v>1395.6606777721711</c:v>
                </c:pt>
                <c:pt idx="94">
                  <c:v>1360.9643312111427</c:v>
                </c:pt>
                <c:pt idx="95">
                  <c:v>1395.6606777721711</c:v>
                </c:pt>
                <c:pt idx="96">
                  <c:v>1360.9643312111427</c:v>
                </c:pt>
                <c:pt idx="97">
                  <c:v>1395.6606777721711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1294.1378648840334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24"/>
          <c:order val="23"/>
          <c:yVal>
            <c:numRef>
              <c:f>MCarlo_ar!$AA$15:$AA$116</c:f>
              <c:numCache>
                <c:formatCode>General</c:formatCode>
                <c:ptCount val="102"/>
                <c:pt idx="0">
                  <c:v>24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1199.9999999999998</c:v>
                </c:pt>
                <c:pt idx="6">
                  <c:v>1230.592731138061</c:v>
                </c:pt>
                <c:pt idx="7">
                  <c:v>1261.9653916081938</c:v>
                </c:pt>
                <c:pt idx="8">
                  <c:v>1230.592731138061</c:v>
                </c:pt>
                <c:pt idx="9">
                  <c:v>1199.9999999999998</c:v>
                </c:pt>
                <c:pt idx="10">
                  <c:v>1170.1678090266932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1199.9999999999995</c:v>
                </c:pt>
                <c:pt idx="16">
                  <c:v>1230.5927311380608</c:v>
                </c:pt>
                <c:pt idx="17">
                  <c:v>1261.9653916081936</c:v>
                </c:pt>
                <c:pt idx="18">
                  <c:v>1294.1378648840334</c:v>
                </c:pt>
                <c:pt idx="19">
                  <c:v>1261.9653916081936</c:v>
                </c:pt>
                <c:pt idx="20">
                  <c:v>1230.5927311380608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1294.1378648840334</c:v>
                </c:pt>
                <c:pt idx="25">
                  <c:v>1327.1305413473517</c:v>
                </c:pt>
                <c:pt idx="26">
                  <c:v>1294.1378648840334</c:v>
                </c:pt>
                <c:pt idx="27">
                  <c:v>1327.1305413473517</c:v>
                </c:pt>
                <c:pt idx="28">
                  <c:v>1294.1378648840334</c:v>
                </c:pt>
                <c:pt idx="29">
                  <c:v>1261.9653916081936</c:v>
                </c:pt>
                <c:pt idx="30">
                  <c:v>1294.1378648840334</c:v>
                </c:pt>
                <c:pt idx="31">
                  <c:v>1261.9653916081936</c:v>
                </c:pt>
                <c:pt idx="32">
                  <c:v>1294.1378648840334</c:v>
                </c:pt>
                <c:pt idx="33">
                  <c:v>1261.9653916081936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1261.9653916081936</c:v>
                </c:pt>
                <c:pt idx="38">
                  <c:v>1294.1378648840334</c:v>
                </c:pt>
                <c:pt idx="39">
                  <c:v>1261.9653916081936</c:v>
                </c:pt>
                <c:pt idx="40">
                  <c:v>1294.1378648840334</c:v>
                </c:pt>
                <c:pt idx="41">
                  <c:v>1261.9653916081936</c:v>
                </c:pt>
                <c:pt idx="42">
                  <c:v>1294.1378648840334</c:v>
                </c:pt>
                <c:pt idx="43">
                  <c:v>1327.1305413473517</c:v>
                </c:pt>
                <c:pt idx="44">
                  <c:v>1360.9643312111427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1395.6606777721711</c:v>
                </c:pt>
                <c:pt idx="50">
                  <c:v>1360.9643312111427</c:v>
                </c:pt>
                <c:pt idx="51">
                  <c:v>1395.6606777721711</c:v>
                </c:pt>
                <c:pt idx="52">
                  <c:v>1360.9643312111427</c:v>
                </c:pt>
                <c:pt idx="53">
                  <c:v>1395.6606777721711</c:v>
                </c:pt>
                <c:pt idx="54">
                  <c:v>1360.9643312111427</c:v>
                </c:pt>
                <c:pt idx="55">
                  <c:v>1395.6606777721711</c:v>
                </c:pt>
                <c:pt idx="56">
                  <c:v>1360.9643312111427</c:v>
                </c:pt>
                <c:pt idx="57">
                  <c:v>1327.1305413473517</c:v>
                </c:pt>
                <c:pt idx="58">
                  <c:v>1360.9643312111427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1360.9643312111427</c:v>
                </c:pt>
                <c:pt idx="63">
                  <c:v>1395.6606777721711</c:v>
                </c:pt>
                <c:pt idx="64">
                  <c:v>1360.9643312111427</c:v>
                </c:pt>
                <c:pt idx="65">
                  <c:v>1395.6606777721711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1360.9643312111427</c:v>
                </c:pt>
                <c:pt idx="69">
                  <c:v>1395.6606777721711</c:v>
                </c:pt>
                <c:pt idx="70">
                  <c:v>1431.2415710013781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1395.6606777721711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1395.6606777721711</c:v>
                </c:pt>
                <c:pt idx="78">
                  <c:v>1431.2415710013781</c:v>
                </c:pt>
                <c:pt idx="79">
                  <c:v>1467.7295614807629</c:v>
                </c:pt>
                <c:pt idx="80">
                  <c:v>1431.2415710013781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1360.9643312111427</c:v>
                </c:pt>
                <c:pt idx="85">
                  <c:v>1327.1305413473517</c:v>
                </c:pt>
                <c:pt idx="86">
                  <c:v>1360.9643312111427</c:v>
                </c:pt>
                <c:pt idx="87">
                  <c:v>1327.1305413473517</c:v>
                </c:pt>
                <c:pt idx="88">
                  <c:v>1360.9643312111427</c:v>
                </c:pt>
                <c:pt idx="89">
                  <c:v>1395.6606777721711</c:v>
                </c:pt>
                <c:pt idx="90">
                  <c:v>1431.2415710013781</c:v>
                </c:pt>
                <c:pt idx="91">
                  <c:v>1467.7295614807629</c:v>
                </c:pt>
                <c:pt idx="92">
                  <c:v>1505.1477746955675</c:v>
                </c:pt>
                <c:pt idx="93">
                  <c:v>1543.5199256908281</c:v>
                </c:pt>
                <c:pt idx="94">
                  <c:v>1582.870334101578</c:v>
                </c:pt>
                <c:pt idx="95">
                  <c:v>1623.2239395662305</c:v>
                </c:pt>
                <c:pt idx="96">
                  <c:v>1664.6063175329091</c:v>
                </c:pt>
                <c:pt idx="97">
                  <c:v>1707.0436954687445</c:v>
                </c:pt>
                <c:pt idx="98">
                  <c:v>1750.5629694824095</c:v>
                </c:pt>
                <c:pt idx="99">
                  <c:v>1795.1917213704276</c:v>
                </c:pt>
                <c:pt idx="100">
                  <c:v>1750.5629694824095</c:v>
                </c:pt>
                <c:pt idx="101">
                  <c:v>1707.0436954687445</c:v>
                </c:pt>
              </c:numCache>
            </c:numRef>
          </c:yVal>
          <c:smooth val="1"/>
        </c:ser>
        <c:ser>
          <c:idx val="25"/>
          <c:order val="24"/>
          <c:yVal>
            <c:numRef>
              <c:f>MCarlo_ar!$AB$15:$AB$116</c:f>
              <c:numCache>
                <c:formatCode>General</c:formatCode>
                <c:ptCount val="102"/>
                <c:pt idx="0">
                  <c:v>25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1141.0772510686099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1230.5927311380608</c:v>
                </c:pt>
                <c:pt idx="21">
                  <c:v>1261.9653916081936</c:v>
                </c:pt>
                <c:pt idx="22">
                  <c:v>1230.5927311380608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1294.1378648840334</c:v>
                </c:pt>
                <c:pt idx="35">
                  <c:v>1327.1305413473517</c:v>
                </c:pt>
                <c:pt idx="36">
                  <c:v>1294.1378648840334</c:v>
                </c:pt>
                <c:pt idx="37">
                  <c:v>1261.9653916081936</c:v>
                </c:pt>
                <c:pt idx="38">
                  <c:v>1230.5927311380608</c:v>
                </c:pt>
                <c:pt idx="39">
                  <c:v>1261.9653916081936</c:v>
                </c:pt>
                <c:pt idx="40">
                  <c:v>1294.1378648840334</c:v>
                </c:pt>
                <c:pt idx="41">
                  <c:v>1261.9653916081936</c:v>
                </c:pt>
                <c:pt idx="42">
                  <c:v>1294.1378648840334</c:v>
                </c:pt>
                <c:pt idx="43">
                  <c:v>1327.1305413473517</c:v>
                </c:pt>
                <c:pt idx="44">
                  <c:v>1360.9643312111427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1395.6606777721711</c:v>
                </c:pt>
                <c:pt idx="48">
                  <c:v>1431.2415710013781</c:v>
                </c:pt>
                <c:pt idx="49">
                  <c:v>1395.6606777721711</c:v>
                </c:pt>
                <c:pt idx="50">
                  <c:v>1431.2415710013781</c:v>
                </c:pt>
                <c:pt idx="51">
                  <c:v>1467.7295614807629</c:v>
                </c:pt>
                <c:pt idx="52">
                  <c:v>1505.1477746955675</c:v>
                </c:pt>
                <c:pt idx="53">
                  <c:v>1467.7295614807629</c:v>
                </c:pt>
                <c:pt idx="54">
                  <c:v>1431.2415710013781</c:v>
                </c:pt>
                <c:pt idx="55">
                  <c:v>1467.7295614807629</c:v>
                </c:pt>
                <c:pt idx="56">
                  <c:v>1505.1477746955675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1467.7295614807629</c:v>
                </c:pt>
                <c:pt idx="60">
                  <c:v>1431.2415710013781</c:v>
                </c:pt>
                <c:pt idx="61">
                  <c:v>1467.7295614807629</c:v>
                </c:pt>
                <c:pt idx="62">
                  <c:v>1431.2415710013781</c:v>
                </c:pt>
                <c:pt idx="63">
                  <c:v>1467.7295614807629</c:v>
                </c:pt>
                <c:pt idx="64">
                  <c:v>1431.2415710013781</c:v>
                </c:pt>
                <c:pt idx="65">
                  <c:v>1395.6606777721711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1360.9643312111427</c:v>
                </c:pt>
                <c:pt idx="69">
                  <c:v>1395.6606777721711</c:v>
                </c:pt>
                <c:pt idx="70">
                  <c:v>1431.2415710013781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1395.6606777721711</c:v>
                </c:pt>
                <c:pt idx="74">
                  <c:v>1431.2415710013781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1467.7295614807629</c:v>
                </c:pt>
                <c:pt idx="78">
                  <c:v>1505.1477746955675</c:v>
                </c:pt>
                <c:pt idx="79">
                  <c:v>1467.7295614807629</c:v>
                </c:pt>
                <c:pt idx="80">
                  <c:v>1431.2415710013781</c:v>
                </c:pt>
                <c:pt idx="81">
                  <c:v>1467.7295614807629</c:v>
                </c:pt>
                <c:pt idx="82">
                  <c:v>1505.1477746955675</c:v>
                </c:pt>
                <c:pt idx="83">
                  <c:v>1467.7295614807629</c:v>
                </c:pt>
                <c:pt idx="84">
                  <c:v>1431.2415710013781</c:v>
                </c:pt>
                <c:pt idx="85">
                  <c:v>1395.6606777721711</c:v>
                </c:pt>
                <c:pt idx="86">
                  <c:v>1431.2415710013781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1505.1477746955675</c:v>
                </c:pt>
                <c:pt idx="91">
                  <c:v>1543.5199256908281</c:v>
                </c:pt>
                <c:pt idx="92">
                  <c:v>1505.1477746955675</c:v>
                </c:pt>
                <c:pt idx="93">
                  <c:v>1543.5199256908281</c:v>
                </c:pt>
                <c:pt idx="94">
                  <c:v>1505.1477746955675</c:v>
                </c:pt>
                <c:pt idx="95">
                  <c:v>1467.7295614807629</c:v>
                </c:pt>
                <c:pt idx="96">
                  <c:v>1431.2415710013781</c:v>
                </c:pt>
                <c:pt idx="97">
                  <c:v>1395.6606777721711</c:v>
                </c:pt>
                <c:pt idx="98">
                  <c:v>1431.2415710013781</c:v>
                </c:pt>
                <c:pt idx="99">
                  <c:v>1395.6606777721711</c:v>
                </c:pt>
                <c:pt idx="100">
                  <c:v>1431.2415710013781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26"/>
          <c:order val="25"/>
          <c:yVal>
            <c:numRef>
              <c:f>MCarlo_ar!$AC$15:$AC$116</c:f>
              <c:numCache>
                <c:formatCode>General</c:formatCode>
                <c:ptCount val="102"/>
                <c:pt idx="0">
                  <c:v>26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1170.1678090266932</c:v>
                </c:pt>
                <c:pt idx="11">
                  <c:v>1199.9999999999998</c:v>
                </c:pt>
                <c:pt idx="12">
                  <c:v>1230.592731138061</c:v>
                </c:pt>
                <c:pt idx="13">
                  <c:v>1261.9653916081938</c:v>
                </c:pt>
                <c:pt idx="14">
                  <c:v>1230.592731138061</c:v>
                </c:pt>
                <c:pt idx="15">
                  <c:v>1199.9999999999998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1170.167809026693</c:v>
                </c:pt>
                <c:pt idx="21">
                  <c:v>1141.0772510686097</c:v>
                </c:pt>
                <c:pt idx="22">
                  <c:v>1170.167809026693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1170.167809026693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1294.1378648840334</c:v>
                </c:pt>
                <c:pt idx="37">
                  <c:v>1261.9653916081936</c:v>
                </c:pt>
                <c:pt idx="38">
                  <c:v>1294.1378648840334</c:v>
                </c:pt>
                <c:pt idx="39">
                  <c:v>1327.1305413473517</c:v>
                </c:pt>
                <c:pt idx="40">
                  <c:v>1294.1378648840334</c:v>
                </c:pt>
                <c:pt idx="41">
                  <c:v>1261.9653916081936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1230.5927311380608</c:v>
                </c:pt>
                <c:pt idx="45">
                  <c:v>1199.9999999999995</c:v>
                </c:pt>
                <c:pt idx="46">
                  <c:v>1230.5927311380608</c:v>
                </c:pt>
                <c:pt idx="47">
                  <c:v>1261.9653916081936</c:v>
                </c:pt>
                <c:pt idx="48">
                  <c:v>1230.5927311380608</c:v>
                </c:pt>
                <c:pt idx="49">
                  <c:v>1261.9653916081936</c:v>
                </c:pt>
                <c:pt idx="50">
                  <c:v>1230.5927311380608</c:v>
                </c:pt>
                <c:pt idx="51">
                  <c:v>1199.9999999999995</c:v>
                </c:pt>
                <c:pt idx="52">
                  <c:v>1170.167809026693</c:v>
                </c:pt>
                <c:pt idx="53">
                  <c:v>1141.0772510686097</c:v>
                </c:pt>
                <c:pt idx="54">
                  <c:v>1170.167809026693</c:v>
                </c:pt>
                <c:pt idx="55">
                  <c:v>1199.9999999999995</c:v>
                </c:pt>
                <c:pt idx="56">
                  <c:v>1230.5927311380608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1360.9643312111427</c:v>
                </c:pt>
                <c:pt idx="63">
                  <c:v>1395.6606777721711</c:v>
                </c:pt>
                <c:pt idx="64">
                  <c:v>1431.2415710013781</c:v>
                </c:pt>
                <c:pt idx="65">
                  <c:v>1395.6606777721711</c:v>
                </c:pt>
                <c:pt idx="66">
                  <c:v>1360.9643312111427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1431.2415710013781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1467.7295614807629</c:v>
                </c:pt>
                <c:pt idx="76">
                  <c:v>1431.2415710013781</c:v>
                </c:pt>
                <c:pt idx="77">
                  <c:v>1467.7295614807629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1431.2415710013781</c:v>
                </c:pt>
                <c:pt idx="81">
                  <c:v>1467.7295614807629</c:v>
                </c:pt>
                <c:pt idx="82">
                  <c:v>1431.2415710013781</c:v>
                </c:pt>
                <c:pt idx="83">
                  <c:v>1467.7295614807629</c:v>
                </c:pt>
                <c:pt idx="84">
                  <c:v>1505.1477746955675</c:v>
                </c:pt>
                <c:pt idx="85">
                  <c:v>1543.5199256908281</c:v>
                </c:pt>
                <c:pt idx="86">
                  <c:v>1505.1477746955675</c:v>
                </c:pt>
                <c:pt idx="87">
                  <c:v>1543.5199256908281</c:v>
                </c:pt>
                <c:pt idx="88">
                  <c:v>1505.1477746955675</c:v>
                </c:pt>
                <c:pt idx="89">
                  <c:v>1543.5199256908281</c:v>
                </c:pt>
                <c:pt idx="90">
                  <c:v>1505.1477746955675</c:v>
                </c:pt>
                <c:pt idx="91">
                  <c:v>1543.5199256908281</c:v>
                </c:pt>
                <c:pt idx="92">
                  <c:v>1505.1477746955675</c:v>
                </c:pt>
                <c:pt idx="93">
                  <c:v>1467.7295614807629</c:v>
                </c:pt>
                <c:pt idx="94">
                  <c:v>1431.2415710013781</c:v>
                </c:pt>
                <c:pt idx="95">
                  <c:v>1467.7295614807629</c:v>
                </c:pt>
                <c:pt idx="96">
                  <c:v>1431.2415710013781</c:v>
                </c:pt>
                <c:pt idx="97">
                  <c:v>1467.7295614807629</c:v>
                </c:pt>
                <c:pt idx="98">
                  <c:v>1505.1477746955675</c:v>
                </c:pt>
                <c:pt idx="99">
                  <c:v>1467.7295614807629</c:v>
                </c:pt>
                <c:pt idx="100">
                  <c:v>1505.1477746955675</c:v>
                </c:pt>
                <c:pt idx="101">
                  <c:v>1467.7295614807629</c:v>
                </c:pt>
              </c:numCache>
            </c:numRef>
          </c:yVal>
          <c:smooth val="1"/>
        </c:ser>
        <c:ser>
          <c:idx val="27"/>
          <c:order val="26"/>
          <c:yVal>
            <c:numRef>
              <c:f>MCarlo_ar!$AD$15:$AD$116</c:f>
              <c:numCache>
                <c:formatCode>General</c:formatCode>
                <c:ptCount val="102"/>
                <c:pt idx="0">
                  <c:v>27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1261.9653916081941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1200</c:v>
                </c:pt>
                <c:pt idx="22">
                  <c:v>1230.5927311380613</c:v>
                </c:pt>
                <c:pt idx="23">
                  <c:v>1261.9653916081941</c:v>
                </c:pt>
                <c:pt idx="24">
                  <c:v>1294.1378648840339</c:v>
                </c:pt>
                <c:pt idx="25">
                  <c:v>1327.1305413473522</c:v>
                </c:pt>
                <c:pt idx="26">
                  <c:v>1360.9643312111432</c:v>
                </c:pt>
                <c:pt idx="27">
                  <c:v>1395.6606777721715</c:v>
                </c:pt>
                <c:pt idx="28">
                  <c:v>1431.2415710013786</c:v>
                </c:pt>
                <c:pt idx="29">
                  <c:v>1395.6606777721715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1360.9643312111432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1294.1378648840339</c:v>
                </c:pt>
                <c:pt idx="37">
                  <c:v>1327.1305413473522</c:v>
                </c:pt>
                <c:pt idx="38">
                  <c:v>1294.1378648840339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1294.1378648840339</c:v>
                </c:pt>
                <c:pt idx="43">
                  <c:v>1261.9653916081941</c:v>
                </c:pt>
                <c:pt idx="44">
                  <c:v>1230.5927311380613</c:v>
                </c:pt>
                <c:pt idx="45">
                  <c:v>1200</c:v>
                </c:pt>
                <c:pt idx="46">
                  <c:v>1230.5927311380613</c:v>
                </c:pt>
                <c:pt idx="47">
                  <c:v>1261.9653916081941</c:v>
                </c:pt>
                <c:pt idx="48">
                  <c:v>1294.1378648840339</c:v>
                </c:pt>
                <c:pt idx="49">
                  <c:v>1327.1305413473522</c:v>
                </c:pt>
                <c:pt idx="50">
                  <c:v>1360.9643312111432</c:v>
                </c:pt>
                <c:pt idx="51">
                  <c:v>1327.1305413473522</c:v>
                </c:pt>
                <c:pt idx="52">
                  <c:v>1360.9643312111432</c:v>
                </c:pt>
                <c:pt idx="53">
                  <c:v>1327.1305413473522</c:v>
                </c:pt>
                <c:pt idx="54">
                  <c:v>1360.9643312111432</c:v>
                </c:pt>
                <c:pt idx="55">
                  <c:v>1327.1305413473522</c:v>
                </c:pt>
                <c:pt idx="56">
                  <c:v>1360.9643312111432</c:v>
                </c:pt>
                <c:pt idx="57">
                  <c:v>1395.6606777721715</c:v>
                </c:pt>
                <c:pt idx="58">
                  <c:v>1431.2415710013786</c:v>
                </c:pt>
                <c:pt idx="59">
                  <c:v>1395.6606777721715</c:v>
                </c:pt>
                <c:pt idx="60">
                  <c:v>1360.9643312111432</c:v>
                </c:pt>
                <c:pt idx="61">
                  <c:v>1327.1305413473522</c:v>
                </c:pt>
                <c:pt idx="62">
                  <c:v>1360.9643312111432</c:v>
                </c:pt>
                <c:pt idx="63">
                  <c:v>1395.6606777721715</c:v>
                </c:pt>
                <c:pt idx="64">
                  <c:v>1360.9643312111432</c:v>
                </c:pt>
                <c:pt idx="65">
                  <c:v>1395.6606777721715</c:v>
                </c:pt>
                <c:pt idx="66">
                  <c:v>1360.9643312111432</c:v>
                </c:pt>
                <c:pt idx="67">
                  <c:v>1395.6606777721715</c:v>
                </c:pt>
                <c:pt idx="68">
                  <c:v>1360.9643312111432</c:v>
                </c:pt>
                <c:pt idx="69">
                  <c:v>1395.6606777721715</c:v>
                </c:pt>
                <c:pt idx="70">
                  <c:v>1431.2415710013786</c:v>
                </c:pt>
                <c:pt idx="71">
                  <c:v>1467.7295614807633</c:v>
                </c:pt>
                <c:pt idx="72">
                  <c:v>1431.2415710013786</c:v>
                </c:pt>
                <c:pt idx="73">
                  <c:v>1467.7295614807633</c:v>
                </c:pt>
                <c:pt idx="74">
                  <c:v>1505.1477746955679</c:v>
                </c:pt>
                <c:pt idx="75">
                  <c:v>1467.7295614807631</c:v>
                </c:pt>
                <c:pt idx="76">
                  <c:v>1505.1477746955677</c:v>
                </c:pt>
                <c:pt idx="77">
                  <c:v>1467.7295614807629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1327.1305413473517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1360.9643312111427</c:v>
                </c:pt>
                <c:pt idx="87">
                  <c:v>1395.6606777721711</c:v>
                </c:pt>
                <c:pt idx="88">
                  <c:v>1360.9643312111427</c:v>
                </c:pt>
                <c:pt idx="89">
                  <c:v>1395.6606777721711</c:v>
                </c:pt>
                <c:pt idx="90">
                  <c:v>1431.2415710013781</c:v>
                </c:pt>
                <c:pt idx="91">
                  <c:v>1395.6606777721711</c:v>
                </c:pt>
                <c:pt idx="92">
                  <c:v>1431.2415710013781</c:v>
                </c:pt>
                <c:pt idx="93">
                  <c:v>1467.7295614807629</c:v>
                </c:pt>
                <c:pt idx="94">
                  <c:v>1505.1477746955675</c:v>
                </c:pt>
                <c:pt idx="95">
                  <c:v>1543.5199256908281</c:v>
                </c:pt>
                <c:pt idx="96">
                  <c:v>1582.870334101578</c:v>
                </c:pt>
                <c:pt idx="97">
                  <c:v>1543.5199256908281</c:v>
                </c:pt>
                <c:pt idx="98">
                  <c:v>1582.870334101578</c:v>
                </c:pt>
                <c:pt idx="99">
                  <c:v>1623.2239395662305</c:v>
                </c:pt>
                <c:pt idx="100">
                  <c:v>1664.6063175329091</c:v>
                </c:pt>
                <c:pt idx="101">
                  <c:v>1707.0436954687445</c:v>
                </c:pt>
              </c:numCache>
            </c:numRef>
          </c:yVal>
          <c:smooth val="1"/>
        </c:ser>
        <c:ser>
          <c:idx val="28"/>
          <c:order val="27"/>
          <c:yVal>
            <c:numRef>
              <c:f>MCarlo_ar!$AE$15:$AE$116</c:f>
              <c:numCache>
                <c:formatCode>General</c:formatCode>
                <c:ptCount val="102"/>
                <c:pt idx="0">
                  <c:v>28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1085.0477440885795</c:v>
                </c:pt>
                <c:pt idx="8">
                  <c:v>1058.0732844912411</c:v>
                </c:pt>
                <c:pt idx="9">
                  <c:v>1085.0477440885795</c:v>
                </c:pt>
                <c:pt idx="10">
                  <c:v>1058.0732844912411</c:v>
                </c:pt>
                <c:pt idx="11">
                  <c:v>1031.7694142523274</c:v>
                </c:pt>
                <c:pt idx="12">
                  <c:v>1006.1194624136672</c:v>
                </c:pt>
                <c:pt idx="13">
                  <c:v>1031.7694142523274</c:v>
                </c:pt>
                <c:pt idx="14">
                  <c:v>1058.0732844912411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1006.1194624136672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981.10717245976286</c:v>
                </c:pt>
                <c:pt idx="38">
                  <c:v>956.7166920146791</c:v>
                </c:pt>
                <c:pt idx="39">
                  <c:v>932.93256279506897</c:v>
                </c:pt>
                <c:pt idx="40">
                  <c:v>956.71669201467898</c:v>
                </c:pt>
                <c:pt idx="41">
                  <c:v>932.93256279506886</c:v>
                </c:pt>
                <c:pt idx="42">
                  <c:v>956.71669201467887</c:v>
                </c:pt>
                <c:pt idx="43">
                  <c:v>932.93256279506875</c:v>
                </c:pt>
                <c:pt idx="44">
                  <c:v>956.71669201467876</c:v>
                </c:pt>
                <c:pt idx="45">
                  <c:v>981.10717245976252</c:v>
                </c:pt>
                <c:pt idx="46">
                  <c:v>956.71669201467876</c:v>
                </c:pt>
                <c:pt idx="47">
                  <c:v>981.10717245976252</c:v>
                </c:pt>
                <c:pt idx="48">
                  <c:v>1006.1194624136667</c:v>
                </c:pt>
                <c:pt idx="49">
                  <c:v>981.10717245976252</c:v>
                </c:pt>
                <c:pt idx="50">
                  <c:v>1006.1194624136667</c:v>
                </c:pt>
                <c:pt idx="51">
                  <c:v>1031.7694142523269</c:v>
                </c:pt>
                <c:pt idx="52">
                  <c:v>1006.1194624136668</c:v>
                </c:pt>
                <c:pt idx="53">
                  <c:v>1031.7694142523269</c:v>
                </c:pt>
                <c:pt idx="54">
                  <c:v>1006.1194624136668</c:v>
                </c:pt>
                <c:pt idx="55">
                  <c:v>1031.7694142523269</c:v>
                </c:pt>
                <c:pt idx="56">
                  <c:v>1058.0732844912407</c:v>
                </c:pt>
                <c:pt idx="57">
                  <c:v>1085.0477440885791</c:v>
                </c:pt>
                <c:pt idx="58">
                  <c:v>1058.0732844912407</c:v>
                </c:pt>
                <c:pt idx="59">
                  <c:v>1085.0477440885791</c:v>
                </c:pt>
                <c:pt idx="60">
                  <c:v>1112.7098890109639</c:v>
                </c:pt>
                <c:pt idx="61">
                  <c:v>1141.0772510686093</c:v>
                </c:pt>
                <c:pt idx="62">
                  <c:v>1170.1678090266926</c:v>
                </c:pt>
                <c:pt idx="63">
                  <c:v>1141.0772510686093</c:v>
                </c:pt>
                <c:pt idx="64">
                  <c:v>1112.7098890109639</c:v>
                </c:pt>
                <c:pt idx="65">
                  <c:v>1085.0477440885791</c:v>
                </c:pt>
                <c:pt idx="66">
                  <c:v>1058.0732844912407</c:v>
                </c:pt>
                <c:pt idx="67">
                  <c:v>1031.7694142523269</c:v>
                </c:pt>
                <c:pt idx="68">
                  <c:v>1058.0732844912407</c:v>
                </c:pt>
                <c:pt idx="69">
                  <c:v>1085.0477440885791</c:v>
                </c:pt>
                <c:pt idx="70">
                  <c:v>1058.0732844912407</c:v>
                </c:pt>
                <c:pt idx="71">
                  <c:v>1085.0477440885791</c:v>
                </c:pt>
                <c:pt idx="72">
                  <c:v>1112.7098890109639</c:v>
                </c:pt>
                <c:pt idx="73">
                  <c:v>1085.0477440885791</c:v>
                </c:pt>
                <c:pt idx="74">
                  <c:v>1112.7098890109639</c:v>
                </c:pt>
                <c:pt idx="75">
                  <c:v>1141.0772510686093</c:v>
                </c:pt>
                <c:pt idx="76">
                  <c:v>1112.7098890109639</c:v>
                </c:pt>
                <c:pt idx="77">
                  <c:v>1141.0772510686093</c:v>
                </c:pt>
                <c:pt idx="78">
                  <c:v>1112.7098890109639</c:v>
                </c:pt>
                <c:pt idx="79">
                  <c:v>1085.0477440885791</c:v>
                </c:pt>
                <c:pt idx="80">
                  <c:v>1112.7098890109639</c:v>
                </c:pt>
                <c:pt idx="81">
                  <c:v>1085.0477440885791</c:v>
                </c:pt>
                <c:pt idx="82">
                  <c:v>1112.7098890109639</c:v>
                </c:pt>
                <c:pt idx="83">
                  <c:v>1141.0772510686093</c:v>
                </c:pt>
                <c:pt idx="84">
                  <c:v>1170.1678090266926</c:v>
                </c:pt>
                <c:pt idx="85">
                  <c:v>1199.9999999999991</c:v>
                </c:pt>
                <c:pt idx="86">
                  <c:v>1170.1678090266926</c:v>
                </c:pt>
                <c:pt idx="87">
                  <c:v>1141.0772510686093</c:v>
                </c:pt>
                <c:pt idx="88">
                  <c:v>1170.1678090266926</c:v>
                </c:pt>
                <c:pt idx="89">
                  <c:v>1199.9999999999991</c:v>
                </c:pt>
                <c:pt idx="90">
                  <c:v>1230.5927311380603</c:v>
                </c:pt>
                <c:pt idx="91">
                  <c:v>1261.9653916081932</c:v>
                </c:pt>
                <c:pt idx="92">
                  <c:v>1230.5927311380603</c:v>
                </c:pt>
                <c:pt idx="93">
                  <c:v>1199.9999999999991</c:v>
                </c:pt>
                <c:pt idx="94">
                  <c:v>1170.1678090266926</c:v>
                </c:pt>
                <c:pt idx="95">
                  <c:v>1199.9999999999991</c:v>
                </c:pt>
                <c:pt idx="96">
                  <c:v>1170.1678090266926</c:v>
                </c:pt>
                <c:pt idx="97">
                  <c:v>1199.9999999999991</c:v>
                </c:pt>
                <c:pt idx="98">
                  <c:v>1170.1678090266926</c:v>
                </c:pt>
                <c:pt idx="99">
                  <c:v>1199.9999999999991</c:v>
                </c:pt>
                <c:pt idx="100">
                  <c:v>1230.5927311380603</c:v>
                </c:pt>
                <c:pt idx="101">
                  <c:v>1261.9653916081932</c:v>
                </c:pt>
              </c:numCache>
            </c:numRef>
          </c:yVal>
          <c:smooth val="1"/>
        </c:ser>
        <c:ser>
          <c:idx val="29"/>
          <c:order val="28"/>
          <c:yVal>
            <c:numRef>
              <c:f>MCarlo_ar!$AF$15:$AF$116</c:f>
              <c:numCache>
                <c:formatCode>General</c:formatCode>
                <c:ptCount val="102"/>
                <c:pt idx="0">
                  <c:v>29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1360.9643312111432</c:v>
                </c:pt>
                <c:pt idx="15">
                  <c:v>1395.6606777721715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1294.1378648840339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1294.1378648840339</c:v>
                </c:pt>
                <c:pt idx="37">
                  <c:v>1261.9653916081941</c:v>
                </c:pt>
                <c:pt idx="38">
                  <c:v>1230.5927311380613</c:v>
                </c:pt>
                <c:pt idx="39">
                  <c:v>1261.9653916081941</c:v>
                </c:pt>
                <c:pt idx="40">
                  <c:v>1230.5927311380613</c:v>
                </c:pt>
                <c:pt idx="41">
                  <c:v>1261.9653916081941</c:v>
                </c:pt>
                <c:pt idx="42">
                  <c:v>1294.1378648840339</c:v>
                </c:pt>
                <c:pt idx="43">
                  <c:v>1261.9653916081941</c:v>
                </c:pt>
                <c:pt idx="44">
                  <c:v>1294.1378648840339</c:v>
                </c:pt>
                <c:pt idx="45">
                  <c:v>1261.9653916081941</c:v>
                </c:pt>
                <c:pt idx="46">
                  <c:v>1230.5927311380613</c:v>
                </c:pt>
                <c:pt idx="47">
                  <c:v>1261.9653916081941</c:v>
                </c:pt>
                <c:pt idx="48">
                  <c:v>1230.5927311380613</c:v>
                </c:pt>
                <c:pt idx="49">
                  <c:v>1261.9653916081941</c:v>
                </c:pt>
                <c:pt idx="50">
                  <c:v>1294.1378648840339</c:v>
                </c:pt>
                <c:pt idx="51">
                  <c:v>1327.1305413473522</c:v>
                </c:pt>
                <c:pt idx="52">
                  <c:v>1360.9643312111432</c:v>
                </c:pt>
                <c:pt idx="53">
                  <c:v>1395.6606777721715</c:v>
                </c:pt>
                <c:pt idx="54">
                  <c:v>1360.9643312111432</c:v>
                </c:pt>
                <c:pt idx="55">
                  <c:v>1395.6606777721715</c:v>
                </c:pt>
                <c:pt idx="56">
                  <c:v>1360.9643312111432</c:v>
                </c:pt>
                <c:pt idx="57">
                  <c:v>1395.6606777721715</c:v>
                </c:pt>
                <c:pt idx="58">
                  <c:v>1360.9643312111432</c:v>
                </c:pt>
                <c:pt idx="59">
                  <c:v>1327.1305413473522</c:v>
                </c:pt>
                <c:pt idx="60">
                  <c:v>1360.9643312111432</c:v>
                </c:pt>
                <c:pt idx="61">
                  <c:v>1395.6606777721715</c:v>
                </c:pt>
                <c:pt idx="62">
                  <c:v>1360.9643312111432</c:v>
                </c:pt>
                <c:pt idx="63">
                  <c:v>1327.1305413473522</c:v>
                </c:pt>
                <c:pt idx="64">
                  <c:v>1360.9643312111432</c:v>
                </c:pt>
                <c:pt idx="65">
                  <c:v>1395.6606777721715</c:v>
                </c:pt>
                <c:pt idx="66">
                  <c:v>1431.2415710013786</c:v>
                </c:pt>
                <c:pt idx="67">
                  <c:v>1395.6606777721715</c:v>
                </c:pt>
                <c:pt idx="68">
                  <c:v>1431.2415710013786</c:v>
                </c:pt>
                <c:pt idx="69">
                  <c:v>1467.7295614807633</c:v>
                </c:pt>
                <c:pt idx="70">
                  <c:v>1431.2415710013786</c:v>
                </c:pt>
                <c:pt idx="71">
                  <c:v>1467.7295614807633</c:v>
                </c:pt>
                <c:pt idx="72">
                  <c:v>1431.2415710013786</c:v>
                </c:pt>
                <c:pt idx="73">
                  <c:v>1395.6606777721715</c:v>
                </c:pt>
                <c:pt idx="74">
                  <c:v>1431.2415710013786</c:v>
                </c:pt>
                <c:pt idx="75">
                  <c:v>1395.6606777721715</c:v>
                </c:pt>
                <c:pt idx="76">
                  <c:v>1431.2415710013786</c:v>
                </c:pt>
                <c:pt idx="77">
                  <c:v>1395.6606777721715</c:v>
                </c:pt>
                <c:pt idx="78">
                  <c:v>1431.2415710013786</c:v>
                </c:pt>
                <c:pt idx="79">
                  <c:v>1467.7295614807633</c:v>
                </c:pt>
                <c:pt idx="80">
                  <c:v>1431.2415710013786</c:v>
                </c:pt>
                <c:pt idx="81">
                  <c:v>1395.6606777721715</c:v>
                </c:pt>
                <c:pt idx="82">
                  <c:v>1431.2415710013786</c:v>
                </c:pt>
                <c:pt idx="83">
                  <c:v>1467.7295614807633</c:v>
                </c:pt>
                <c:pt idx="84">
                  <c:v>1431.2415710013786</c:v>
                </c:pt>
                <c:pt idx="85">
                  <c:v>1467.7295614807633</c:v>
                </c:pt>
                <c:pt idx="86">
                  <c:v>1431.2415710013786</c:v>
                </c:pt>
                <c:pt idx="87">
                  <c:v>1395.6606777721715</c:v>
                </c:pt>
                <c:pt idx="88">
                  <c:v>1431.2415710013786</c:v>
                </c:pt>
                <c:pt idx="89">
                  <c:v>1395.6606777721715</c:v>
                </c:pt>
                <c:pt idx="90">
                  <c:v>1360.9643312111432</c:v>
                </c:pt>
                <c:pt idx="91">
                  <c:v>1395.6606777721715</c:v>
                </c:pt>
                <c:pt idx="92">
                  <c:v>1360.9643312111432</c:v>
                </c:pt>
                <c:pt idx="93">
                  <c:v>1327.1305413473522</c:v>
                </c:pt>
                <c:pt idx="94">
                  <c:v>1294.1378648840339</c:v>
                </c:pt>
                <c:pt idx="95">
                  <c:v>1261.9653916081941</c:v>
                </c:pt>
                <c:pt idx="96">
                  <c:v>1294.1378648840339</c:v>
                </c:pt>
                <c:pt idx="97">
                  <c:v>1261.9653916081941</c:v>
                </c:pt>
                <c:pt idx="98">
                  <c:v>1294.1378648840339</c:v>
                </c:pt>
                <c:pt idx="99">
                  <c:v>1261.9653916081941</c:v>
                </c:pt>
                <c:pt idx="100">
                  <c:v>1230.5927311380613</c:v>
                </c:pt>
                <c:pt idx="101">
                  <c:v>1261.9653916081941</c:v>
                </c:pt>
              </c:numCache>
            </c:numRef>
          </c:yVal>
          <c:smooth val="1"/>
        </c:ser>
        <c:ser>
          <c:idx val="30"/>
          <c:order val="29"/>
          <c:yVal>
            <c:numRef>
              <c:f>MCarlo_ar!$AG$15:$AG$116</c:f>
              <c:numCache>
                <c:formatCode>General</c:formatCode>
                <c:ptCount val="102"/>
                <c:pt idx="0">
                  <c:v>30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1200</c:v>
                </c:pt>
                <c:pt idx="22">
                  <c:v>1230.5927311380613</c:v>
                </c:pt>
                <c:pt idx="23">
                  <c:v>1261.9653916081941</c:v>
                </c:pt>
                <c:pt idx="24">
                  <c:v>1230.5927311380613</c:v>
                </c:pt>
                <c:pt idx="25">
                  <c:v>1261.9653916081941</c:v>
                </c:pt>
                <c:pt idx="26">
                  <c:v>1230.5927311380613</c:v>
                </c:pt>
                <c:pt idx="27">
                  <c:v>1200</c:v>
                </c:pt>
                <c:pt idx="28">
                  <c:v>1230.5927311380613</c:v>
                </c:pt>
                <c:pt idx="29">
                  <c:v>1200</c:v>
                </c:pt>
                <c:pt idx="30">
                  <c:v>1170.1678090266935</c:v>
                </c:pt>
                <c:pt idx="31">
                  <c:v>1200</c:v>
                </c:pt>
                <c:pt idx="32">
                  <c:v>1230.5927311380613</c:v>
                </c:pt>
                <c:pt idx="33">
                  <c:v>1200</c:v>
                </c:pt>
                <c:pt idx="34">
                  <c:v>1230.5927311380613</c:v>
                </c:pt>
                <c:pt idx="35">
                  <c:v>1261.9653916081941</c:v>
                </c:pt>
                <c:pt idx="36">
                  <c:v>1230.5927311380613</c:v>
                </c:pt>
                <c:pt idx="37">
                  <c:v>1200</c:v>
                </c:pt>
                <c:pt idx="38">
                  <c:v>1230.5927311380613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1395.6606777721715</c:v>
                </c:pt>
                <c:pt idx="44">
                  <c:v>1360.9643312111432</c:v>
                </c:pt>
                <c:pt idx="45">
                  <c:v>1395.6606777721715</c:v>
                </c:pt>
                <c:pt idx="46">
                  <c:v>1360.9643312111432</c:v>
                </c:pt>
                <c:pt idx="47">
                  <c:v>1395.6606777721715</c:v>
                </c:pt>
                <c:pt idx="48">
                  <c:v>1360.9643312111432</c:v>
                </c:pt>
                <c:pt idx="49">
                  <c:v>1395.6606777721715</c:v>
                </c:pt>
                <c:pt idx="50">
                  <c:v>1431.2415710013786</c:v>
                </c:pt>
                <c:pt idx="51">
                  <c:v>1395.6606777721715</c:v>
                </c:pt>
                <c:pt idx="52">
                  <c:v>1360.9643312111432</c:v>
                </c:pt>
                <c:pt idx="53">
                  <c:v>1327.1305413473522</c:v>
                </c:pt>
                <c:pt idx="54">
                  <c:v>1360.9643312111432</c:v>
                </c:pt>
                <c:pt idx="55">
                  <c:v>1395.6606777721715</c:v>
                </c:pt>
                <c:pt idx="56">
                  <c:v>1431.2415710013786</c:v>
                </c:pt>
                <c:pt idx="57">
                  <c:v>1395.6606777721715</c:v>
                </c:pt>
                <c:pt idx="58">
                  <c:v>1360.9643312111432</c:v>
                </c:pt>
                <c:pt idx="59">
                  <c:v>1395.6606777721715</c:v>
                </c:pt>
                <c:pt idx="60">
                  <c:v>1431.2415710013786</c:v>
                </c:pt>
                <c:pt idx="61">
                  <c:v>1467.7295614807633</c:v>
                </c:pt>
                <c:pt idx="62">
                  <c:v>1505.1477746955679</c:v>
                </c:pt>
                <c:pt idx="63">
                  <c:v>1543.5199256908286</c:v>
                </c:pt>
                <c:pt idx="64">
                  <c:v>1582.8703341015785</c:v>
                </c:pt>
                <c:pt idx="65">
                  <c:v>1543.5199256908286</c:v>
                </c:pt>
                <c:pt idx="66">
                  <c:v>1582.8703341015785</c:v>
                </c:pt>
                <c:pt idx="67">
                  <c:v>1623.2239395662309</c:v>
                </c:pt>
                <c:pt idx="68">
                  <c:v>1582.8703341015785</c:v>
                </c:pt>
                <c:pt idx="69">
                  <c:v>1543.5199256908286</c:v>
                </c:pt>
                <c:pt idx="70">
                  <c:v>1582.8703341015785</c:v>
                </c:pt>
                <c:pt idx="71">
                  <c:v>1623.2239395662309</c:v>
                </c:pt>
                <c:pt idx="72">
                  <c:v>1582.8703341015785</c:v>
                </c:pt>
                <c:pt idx="73">
                  <c:v>1543.5199256908286</c:v>
                </c:pt>
                <c:pt idx="74">
                  <c:v>1582.8703341015785</c:v>
                </c:pt>
                <c:pt idx="75">
                  <c:v>1543.5199256908286</c:v>
                </c:pt>
                <c:pt idx="76">
                  <c:v>1505.1477746955679</c:v>
                </c:pt>
                <c:pt idx="77">
                  <c:v>1543.5199256908286</c:v>
                </c:pt>
                <c:pt idx="78">
                  <c:v>1505.1477746955679</c:v>
                </c:pt>
                <c:pt idx="79">
                  <c:v>1543.5199256908286</c:v>
                </c:pt>
                <c:pt idx="80">
                  <c:v>1505.1477746955679</c:v>
                </c:pt>
                <c:pt idx="81">
                  <c:v>1543.5199256908286</c:v>
                </c:pt>
                <c:pt idx="82">
                  <c:v>1505.1477746955679</c:v>
                </c:pt>
                <c:pt idx="83">
                  <c:v>1543.5199256908286</c:v>
                </c:pt>
                <c:pt idx="84">
                  <c:v>1582.8703341015785</c:v>
                </c:pt>
                <c:pt idx="85">
                  <c:v>1623.2239395662309</c:v>
                </c:pt>
                <c:pt idx="86">
                  <c:v>1664.6063175329095</c:v>
                </c:pt>
                <c:pt idx="87">
                  <c:v>1623.2239395662309</c:v>
                </c:pt>
                <c:pt idx="88">
                  <c:v>1664.6063175329095</c:v>
                </c:pt>
                <c:pt idx="89">
                  <c:v>1707.043695468745</c:v>
                </c:pt>
                <c:pt idx="90">
                  <c:v>1750.5629694824099</c:v>
                </c:pt>
                <c:pt idx="91">
                  <c:v>1707.043695468745</c:v>
                </c:pt>
                <c:pt idx="92">
                  <c:v>1664.6063175329095</c:v>
                </c:pt>
                <c:pt idx="93">
                  <c:v>1707.043695468745</c:v>
                </c:pt>
                <c:pt idx="94">
                  <c:v>1750.5629694824099</c:v>
                </c:pt>
                <c:pt idx="95">
                  <c:v>1795.191721370428</c:v>
                </c:pt>
                <c:pt idx="96">
                  <c:v>1750.5629694824099</c:v>
                </c:pt>
                <c:pt idx="97">
                  <c:v>1795.191721370428</c:v>
                </c:pt>
                <c:pt idx="98">
                  <c:v>1840.9582360980605</c:v>
                </c:pt>
                <c:pt idx="99">
                  <c:v>1887.8915197258502</c:v>
                </c:pt>
                <c:pt idx="100">
                  <c:v>1840.9582360980605</c:v>
                </c:pt>
                <c:pt idx="101">
                  <c:v>1795.191721370428</c:v>
                </c:pt>
              </c:numCache>
            </c:numRef>
          </c:yVal>
          <c:smooth val="1"/>
        </c:ser>
        <c:ser>
          <c:idx val="31"/>
          <c:order val="30"/>
          <c:yVal>
            <c:numRef>
              <c:f>MCarlo_ar!$AH$15:$AH$116</c:f>
              <c:numCache>
                <c:formatCode>General</c:formatCode>
                <c:ptCount val="102"/>
                <c:pt idx="0">
                  <c:v>31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1170.1678090266932</c:v>
                </c:pt>
                <c:pt idx="7">
                  <c:v>1141.0772510686097</c:v>
                </c:pt>
                <c:pt idx="8">
                  <c:v>1170.167809026693</c:v>
                </c:pt>
                <c:pt idx="9">
                  <c:v>1199.9999999999995</c:v>
                </c:pt>
                <c:pt idx="10">
                  <c:v>1170.167809026693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1031.7694142523274</c:v>
                </c:pt>
                <c:pt idx="16">
                  <c:v>1006.1194624136672</c:v>
                </c:pt>
                <c:pt idx="17">
                  <c:v>981.10717245976286</c:v>
                </c:pt>
                <c:pt idx="18">
                  <c:v>1006.1194624136671</c:v>
                </c:pt>
                <c:pt idx="19">
                  <c:v>1031.7694142523271</c:v>
                </c:pt>
                <c:pt idx="20">
                  <c:v>1006.119462413667</c:v>
                </c:pt>
                <c:pt idx="21">
                  <c:v>1031.7694142523271</c:v>
                </c:pt>
                <c:pt idx="22">
                  <c:v>1058.0732844912409</c:v>
                </c:pt>
                <c:pt idx="23">
                  <c:v>1031.7694142523271</c:v>
                </c:pt>
                <c:pt idx="24">
                  <c:v>1006.119462413667</c:v>
                </c:pt>
                <c:pt idx="25">
                  <c:v>981.10717245976264</c:v>
                </c:pt>
                <c:pt idx="26">
                  <c:v>1006.1194624136668</c:v>
                </c:pt>
                <c:pt idx="27">
                  <c:v>981.10717245976264</c:v>
                </c:pt>
                <c:pt idx="28">
                  <c:v>956.71669201467887</c:v>
                </c:pt>
                <c:pt idx="29">
                  <c:v>932.93256279506875</c:v>
                </c:pt>
                <c:pt idx="30">
                  <c:v>956.71669201467876</c:v>
                </c:pt>
                <c:pt idx="31">
                  <c:v>932.93256279506875</c:v>
                </c:pt>
                <c:pt idx="32">
                  <c:v>909.73971081296975</c:v>
                </c:pt>
                <c:pt idx="33">
                  <c:v>887.12343682215874</c:v>
                </c:pt>
                <c:pt idx="34">
                  <c:v>909.73971081296975</c:v>
                </c:pt>
                <c:pt idx="35">
                  <c:v>887.12343682215874</c:v>
                </c:pt>
                <c:pt idx="36">
                  <c:v>909.73971081296975</c:v>
                </c:pt>
                <c:pt idx="37">
                  <c:v>932.93256279506875</c:v>
                </c:pt>
                <c:pt idx="38">
                  <c:v>956.71669201467876</c:v>
                </c:pt>
                <c:pt idx="39">
                  <c:v>932.93256279506875</c:v>
                </c:pt>
                <c:pt idx="40">
                  <c:v>956.71669201467876</c:v>
                </c:pt>
                <c:pt idx="41">
                  <c:v>932.93256279506875</c:v>
                </c:pt>
                <c:pt idx="42">
                  <c:v>909.73971081296975</c:v>
                </c:pt>
                <c:pt idx="43">
                  <c:v>932.93256279506875</c:v>
                </c:pt>
                <c:pt idx="44">
                  <c:v>909.73971081296975</c:v>
                </c:pt>
                <c:pt idx="45">
                  <c:v>887.12343682215874</c:v>
                </c:pt>
                <c:pt idx="46">
                  <c:v>909.73971081296975</c:v>
                </c:pt>
                <c:pt idx="47">
                  <c:v>887.12343682215874</c:v>
                </c:pt>
                <c:pt idx="48">
                  <c:v>865.06940700201312</c:v>
                </c:pt>
                <c:pt idx="49">
                  <c:v>887.12343682215874</c:v>
                </c:pt>
                <c:pt idx="50">
                  <c:v>865.06940700201312</c:v>
                </c:pt>
                <c:pt idx="51">
                  <c:v>887.12343682215874</c:v>
                </c:pt>
                <c:pt idx="52">
                  <c:v>909.73971081296975</c:v>
                </c:pt>
                <c:pt idx="53">
                  <c:v>932.93256279506875</c:v>
                </c:pt>
                <c:pt idx="54">
                  <c:v>909.73971081296975</c:v>
                </c:pt>
                <c:pt idx="55">
                  <c:v>932.93256279506875</c:v>
                </c:pt>
                <c:pt idx="56">
                  <c:v>909.73971081296975</c:v>
                </c:pt>
                <c:pt idx="57">
                  <c:v>932.93256279506875</c:v>
                </c:pt>
                <c:pt idx="58">
                  <c:v>956.71669201467876</c:v>
                </c:pt>
                <c:pt idx="59">
                  <c:v>932.93256279506875</c:v>
                </c:pt>
                <c:pt idx="60">
                  <c:v>909.73971081296975</c:v>
                </c:pt>
                <c:pt idx="61">
                  <c:v>932.93256279506875</c:v>
                </c:pt>
                <c:pt idx="62">
                  <c:v>956.71669201467876</c:v>
                </c:pt>
                <c:pt idx="63">
                  <c:v>932.93256279506875</c:v>
                </c:pt>
                <c:pt idx="64">
                  <c:v>909.73971081296975</c:v>
                </c:pt>
                <c:pt idx="65">
                  <c:v>932.93256279506875</c:v>
                </c:pt>
                <c:pt idx="66">
                  <c:v>956.71669201467876</c:v>
                </c:pt>
                <c:pt idx="67">
                  <c:v>981.10717245976252</c:v>
                </c:pt>
                <c:pt idx="68">
                  <c:v>956.71669201467876</c:v>
                </c:pt>
                <c:pt idx="69">
                  <c:v>981.10717245976252</c:v>
                </c:pt>
                <c:pt idx="70">
                  <c:v>956.71669201467876</c:v>
                </c:pt>
                <c:pt idx="71">
                  <c:v>932.93256279506875</c:v>
                </c:pt>
                <c:pt idx="72">
                  <c:v>909.73971081296975</c:v>
                </c:pt>
                <c:pt idx="73">
                  <c:v>887.12343682215874</c:v>
                </c:pt>
                <c:pt idx="74">
                  <c:v>909.73971081296975</c:v>
                </c:pt>
                <c:pt idx="75">
                  <c:v>887.12343682215874</c:v>
                </c:pt>
                <c:pt idx="76">
                  <c:v>909.73971081296975</c:v>
                </c:pt>
                <c:pt idx="77">
                  <c:v>932.93256279506875</c:v>
                </c:pt>
                <c:pt idx="78">
                  <c:v>956.71669201467876</c:v>
                </c:pt>
                <c:pt idx="79">
                  <c:v>981.10717245976252</c:v>
                </c:pt>
                <c:pt idx="80">
                  <c:v>956.71669201467876</c:v>
                </c:pt>
                <c:pt idx="81">
                  <c:v>932.93256279506875</c:v>
                </c:pt>
                <c:pt idx="82">
                  <c:v>956.71669201467876</c:v>
                </c:pt>
                <c:pt idx="83">
                  <c:v>981.10717245976252</c:v>
                </c:pt>
                <c:pt idx="84">
                  <c:v>956.71669201467876</c:v>
                </c:pt>
                <c:pt idx="85">
                  <c:v>981.10717245976252</c:v>
                </c:pt>
                <c:pt idx="86">
                  <c:v>956.71669201467876</c:v>
                </c:pt>
                <c:pt idx="87">
                  <c:v>981.10717245976252</c:v>
                </c:pt>
                <c:pt idx="88">
                  <c:v>956.71669201467876</c:v>
                </c:pt>
                <c:pt idx="89">
                  <c:v>932.93256279506875</c:v>
                </c:pt>
                <c:pt idx="90">
                  <c:v>956.71669201467876</c:v>
                </c:pt>
                <c:pt idx="91">
                  <c:v>981.10717245976252</c:v>
                </c:pt>
                <c:pt idx="92">
                  <c:v>956.71669201467876</c:v>
                </c:pt>
                <c:pt idx="93">
                  <c:v>981.10717245976252</c:v>
                </c:pt>
                <c:pt idx="94">
                  <c:v>956.71669201467876</c:v>
                </c:pt>
                <c:pt idx="95">
                  <c:v>932.93256279506875</c:v>
                </c:pt>
                <c:pt idx="96">
                  <c:v>909.73971081296975</c:v>
                </c:pt>
                <c:pt idx="97">
                  <c:v>887.12343682215874</c:v>
                </c:pt>
                <c:pt idx="98">
                  <c:v>909.73971081296975</c:v>
                </c:pt>
                <c:pt idx="99">
                  <c:v>887.12343682215874</c:v>
                </c:pt>
                <c:pt idx="100">
                  <c:v>865.06940700201312</c:v>
                </c:pt>
                <c:pt idx="101">
                  <c:v>843.56364387297219</c:v>
                </c:pt>
              </c:numCache>
            </c:numRef>
          </c:yVal>
          <c:smooth val="1"/>
        </c:ser>
        <c:ser>
          <c:idx val="32"/>
          <c:order val="31"/>
          <c:yVal>
            <c:numRef>
              <c:f>MCarlo_ar!$AI$15:$AI$116</c:f>
              <c:numCache>
                <c:formatCode>General</c:formatCode>
                <c:ptCount val="102"/>
                <c:pt idx="0">
                  <c:v>32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1141.0772510686099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1031.7694142523274</c:v>
                </c:pt>
                <c:pt idx="18">
                  <c:v>1006.1194624136672</c:v>
                </c:pt>
                <c:pt idx="19">
                  <c:v>1031.7694142523274</c:v>
                </c:pt>
                <c:pt idx="20">
                  <c:v>1006.1194624136672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1031.7694142523274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1058.0732844912411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1006.1194624136672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1031.7694142523274</c:v>
                </c:pt>
                <c:pt idx="38">
                  <c:v>1006.1194624136672</c:v>
                </c:pt>
                <c:pt idx="39">
                  <c:v>1031.7694142523274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1112.7098890109644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1006.1194624136672</c:v>
                </c:pt>
                <c:pt idx="47">
                  <c:v>981.10717245976286</c:v>
                </c:pt>
                <c:pt idx="48">
                  <c:v>1006.1194624136671</c:v>
                </c:pt>
                <c:pt idx="49">
                  <c:v>981.10717245976275</c:v>
                </c:pt>
                <c:pt idx="50">
                  <c:v>1006.119462413667</c:v>
                </c:pt>
                <c:pt idx="51">
                  <c:v>1031.7694142523271</c:v>
                </c:pt>
                <c:pt idx="52">
                  <c:v>1006.119462413667</c:v>
                </c:pt>
                <c:pt idx="53">
                  <c:v>1031.7694142523271</c:v>
                </c:pt>
                <c:pt idx="54">
                  <c:v>1006.119462413667</c:v>
                </c:pt>
                <c:pt idx="55">
                  <c:v>1031.7694142523271</c:v>
                </c:pt>
                <c:pt idx="56">
                  <c:v>1058.0732844912409</c:v>
                </c:pt>
                <c:pt idx="57">
                  <c:v>1085.0477440885793</c:v>
                </c:pt>
                <c:pt idx="58">
                  <c:v>1058.0732844912409</c:v>
                </c:pt>
                <c:pt idx="59">
                  <c:v>1085.0477440885793</c:v>
                </c:pt>
                <c:pt idx="60">
                  <c:v>1058.0732844912409</c:v>
                </c:pt>
                <c:pt idx="61">
                  <c:v>1085.0477440885793</c:v>
                </c:pt>
                <c:pt idx="62">
                  <c:v>1112.7098890109642</c:v>
                </c:pt>
                <c:pt idx="63">
                  <c:v>1085.0477440885793</c:v>
                </c:pt>
                <c:pt idx="64">
                  <c:v>1058.0732844912409</c:v>
                </c:pt>
                <c:pt idx="65">
                  <c:v>1085.0477440885793</c:v>
                </c:pt>
                <c:pt idx="66">
                  <c:v>1058.0732844912409</c:v>
                </c:pt>
                <c:pt idx="67">
                  <c:v>1031.7694142523271</c:v>
                </c:pt>
                <c:pt idx="68">
                  <c:v>1006.119462413667</c:v>
                </c:pt>
                <c:pt idx="69">
                  <c:v>981.10717245976264</c:v>
                </c:pt>
                <c:pt idx="70">
                  <c:v>956.71669201467887</c:v>
                </c:pt>
                <c:pt idx="71">
                  <c:v>981.10717245976264</c:v>
                </c:pt>
                <c:pt idx="72">
                  <c:v>956.71669201467887</c:v>
                </c:pt>
                <c:pt idx="73">
                  <c:v>932.93256279506875</c:v>
                </c:pt>
                <c:pt idx="74">
                  <c:v>909.73971081296975</c:v>
                </c:pt>
                <c:pt idx="75">
                  <c:v>887.12343682215874</c:v>
                </c:pt>
                <c:pt idx="76">
                  <c:v>909.73971081296975</c:v>
                </c:pt>
                <c:pt idx="77">
                  <c:v>932.93256279506875</c:v>
                </c:pt>
                <c:pt idx="78">
                  <c:v>909.73971081296975</c:v>
                </c:pt>
                <c:pt idx="79">
                  <c:v>932.93256279506875</c:v>
                </c:pt>
                <c:pt idx="80">
                  <c:v>909.73971081296975</c:v>
                </c:pt>
                <c:pt idx="81">
                  <c:v>887.12343682215874</c:v>
                </c:pt>
                <c:pt idx="82">
                  <c:v>909.73971081296975</c:v>
                </c:pt>
                <c:pt idx="83">
                  <c:v>932.93256279506875</c:v>
                </c:pt>
                <c:pt idx="84">
                  <c:v>956.71669201467876</c:v>
                </c:pt>
                <c:pt idx="85">
                  <c:v>932.93256279506875</c:v>
                </c:pt>
                <c:pt idx="86">
                  <c:v>909.73971081296975</c:v>
                </c:pt>
                <c:pt idx="87">
                  <c:v>887.12343682215874</c:v>
                </c:pt>
                <c:pt idx="88">
                  <c:v>865.06940700201312</c:v>
                </c:pt>
                <c:pt idx="89">
                  <c:v>843.56364387297219</c:v>
                </c:pt>
                <c:pt idx="90">
                  <c:v>865.06940700201312</c:v>
                </c:pt>
                <c:pt idx="91">
                  <c:v>887.12343682215874</c:v>
                </c:pt>
                <c:pt idx="92">
                  <c:v>909.73971081296975</c:v>
                </c:pt>
                <c:pt idx="93">
                  <c:v>932.93256279506875</c:v>
                </c:pt>
                <c:pt idx="94">
                  <c:v>956.71669201467876</c:v>
                </c:pt>
                <c:pt idx="95">
                  <c:v>981.10717245976252</c:v>
                </c:pt>
                <c:pt idx="96">
                  <c:v>956.71669201467876</c:v>
                </c:pt>
                <c:pt idx="97">
                  <c:v>981.10717245976252</c:v>
                </c:pt>
                <c:pt idx="98">
                  <c:v>1006.1194624136667</c:v>
                </c:pt>
                <c:pt idx="99">
                  <c:v>981.10717245976252</c:v>
                </c:pt>
                <c:pt idx="100">
                  <c:v>956.71669201467876</c:v>
                </c:pt>
                <c:pt idx="101">
                  <c:v>981.10717245976252</c:v>
                </c:pt>
              </c:numCache>
            </c:numRef>
          </c:yVal>
          <c:smooth val="1"/>
        </c:ser>
        <c:ser>
          <c:idx val="33"/>
          <c:order val="32"/>
          <c:yVal>
            <c:numRef>
              <c:f>MCarlo_ar!$AJ$15:$AJ$116</c:f>
              <c:numCache>
                <c:formatCode>General</c:formatCode>
                <c:ptCount val="102"/>
                <c:pt idx="0">
                  <c:v>33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1170.1678090266932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1031.7694142523274</c:v>
                </c:pt>
                <c:pt idx="16">
                  <c:v>1058.0732844912411</c:v>
                </c:pt>
                <c:pt idx="17">
                  <c:v>1031.7694142523274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1031.7694142523274</c:v>
                </c:pt>
                <c:pt idx="26">
                  <c:v>1006.1194624136672</c:v>
                </c:pt>
                <c:pt idx="27">
                  <c:v>981.10717245976286</c:v>
                </c:pt>
                <c:pt idx="28">
                  <c:v>956.7166920146791</c:v>
                </c:pt>
                <c:pt idx="29">
                  <c:v>981.10717245976286</c:v>
                </c:pt>
                <c:pt idx="30">
                  <c:v>1006.1194624136671</c:v>
                </c:pt>
                <c:pt idx="31">
                  <c:v>981.10717245976275</c:v>
                </c:pt>
                <c:pt idx="32">
                  <c:v>956.71669201467898</c:v>
                </c:pt>
                <c:pt idx="33">
                  <c:v>981.10717245976275</c:v>
                </c:pt>
                <c:pt idx="34">
                  <c:v>1006.119462413667</c:v>
                </c:pt>
                <c:pt idx="35">
                  <c:v>1031.7694142523271</c:v>
                </c:pt>
                <c:pt idx="36">
                  <c:v>1058.0732844912409</c:v>
                </c:pt>
                <c:pt idx="37">
                  <c:v>1085.0477440885793</c:v>
                </c:pt>
                <c:pt idx="38">
                  <c:v>1058.0732844912409</c:v>
                </c:pt>
                <c:pt idx="39">
                  <c:v>1085.0477440885793</c:v>
                </c:pt>
                <c:pt idx="40">
                  <c:v>1058.0732844912409</c:v>
                </c:pt>
                <c:pt idx="41">
                  <c:v>1085.0477440885793</c:v>
                </c:pt>
                <c:pt idx="42">
                  <c:v>1058.0732844912409</c:v>
                </c:pt>
                <c:pt idx="43">
                  <c:v>1031.7694142523271</c:v>
                </c:pt>
                <c:pt idx="44">
                  <c:v>1058.0732844912409</c:v>
                </c:pt>
                <c:pt idx="45">
                  <c:v>1031.7694142523271</c:v>
                </c:pt>
                <c:pt idx="46">
                  <c:v>1058.0732844912409</c:v>
                </c:pt>
                <c:pt idx="47">
                  <c:v>1031.7694142523271</c:v>
                </c:pt>
                <c:pt idx="48">
                  <c:v>1058.0732844912409</c:v>
                </c:pt>
                <c:pt idx="49">
                  <c:v>1031.7694142523271</c:v>
                </c:pt>
                <c:pt idx="50">
                  <c:v>1058.0732844912409</c:v>
                </c:pt>
                <c:pt idx="51">
                  <c:v>1031.7694142523271</c:v>
                </c:pt>
                <c:pt idx="52">
                  <c:v>1058.0732844912409</c:v>
                </c:pt>
                <c:pt idx="53">
                  <c:v>1031.7694142523271</c:v>
                </c:pt>
                <c:pt idx="54">
                  <c:v>1006.119462413667</c:v>
                </c:pt>
                <c:pt idx="55">
                  <c:v>981.10717245976264</c:v>
                </c:pt>
                <c:pt idx="56">
                  <c:v>1006.1194624136668</c:v>
                </c:pt>
                <c:pt idx="57">
                  <c:v>981.10717245976264</c:v>
                </c:pt>
                <c:pt idx="58">
                  <c:v>1006.1194624136668</c:v>
                </c:pt>
                <c:pt idx="59">
                  <c:v>981.10717245976264</c:v>
                </c:pt>
                <c:pt idx="60">
                  <c:v>956.71669201467887</c:v>
                </c:pt>
                <c:pt idx="61">
                  <c:v>981.10717245976264</c:v>
                </c:pt>
                <c:pt idx="62">
                  <c:v>956.71669201467887</c:v>
                </c:pt>
                <c:pt idx="63">
                  <c:v>932.93256279506875</c:v>
                </c:pt>
                <c:pt idx="64">
                  <c:v>956.71669201467876</c:v>
                </c:pt>
                <c:pt idx="65">
                  <c:v>981.10717245976252</c:v>
                </c:pt>
                <c:pt idx="66">
                  <c:v>956.71669201467876</c:v>
                </c:pt>
                <c:pt idx="67">
                  <c:v>932.93256279506875</c:v>
                </c:pt>
                <c:pt idx="68">
                  <c:v>909.73971081296975</c:v>
                </c:pt>
                <c:pt idx="69">
                  <c:v>887.12343682215874</c:v>
                </c:pt>
                <c:pt idx="70">
                  <c:v>865.06940700201312</c:v>
                </c:pt>
                <c:pt idx="71">
                  <c:v>887.12343682215874</c:v>
                </c:pt>
                <c:pt idx="72">
                  <c:v>865.06940700201312</c:v>
                </c:pt>
                <c:pt idx="73">
                  <c:v>887.12343682215874</c:v>
                </c:pt>
                <c:pt idx="74">
                  <c:v>865.06940700201312</c:v>
                </c:pt>
                <c:pt idx="75">
                  <c:v>887.12343682215874</c:v>
                </c:pt>
                <c:pt idx="76">
                  <c:v>909.73971081296975</c:v>
                </c:pt>
                <c:pt idx="77">
                  <c:v>932.93256279506875</c:v>
                </c:pt>
                <c:pt idx="78">
                  <c:v>909.73971081296975</c:v>
                </c:pt>
                <c:pt idx="79">
                  <c:v>932.93256279506875</c:v>
                </c:pt>
                <c:pt idx="80">
                  <c:v>909.73971081296975</c:v>
                </c:pt>
                <c:pt idx="81">
                  <c:v>932.93256279506875</c:v>
                </c:pt>
                <c:pt idx="82">
                  <c:v>909.73971081296975</c:v>
                </c:pt>
                <c:pt idx="83">
                  <c:v>932.93256279506875</c:v>
                </c:pt>
                <c:pt idx="84">
                  <c:v>909.73971081296975</c:v>
                </c:pt>
                <c:pt idx="85">
                  <c:v>932.93256279506875</c:v>
                </c:pt>
                <c:pt idx="86">
                  <c:v>956.71669201467876</c:v>
                </c:pt>
                <c:pt idx="87">
                  <c:v>932.93256279506875</c:v>
                </c:pt>
                <c:pt idx="88">
                  <c:v>909.73971081296975</c:v>
                </c:pt>
                <c:pt idx="89">
                  <c:v>887.12343682215874</c:v>
                </c:pt>
                <c:pt idx="90">
                  <c:v>865.06940700201312</c:v>
                </c:pt>
                <c:pt idx="91">
                  <c:v>887.12343682215874</c:v>
                </c:pt>
                <c:pt idx="92">
                  <c:v>865.06940700201312</c:v>
                </c:pt>
                <c:pt idx="93">
                  <c:v>843.56364387297219</c:v>
                </c:pt>
                <c:pt idx="94">
                  <c:v>865.06940700201312</c:v>
                </c:pt>
                <c:pt idx="95">
                  <c:v>887.12343682215874</c:v>
                </c:pt>
                <c:pt idx="96">
                  <c:v>865.06940700201312</c:v>
                </c:pt>
                <c:pt idx="97">
                  <c:v>887.12343682215874</c:v>
                </c:pt>
                <c:pt idx="98">
                  <c:v>909.73971081296975</c:v>
                </c:pt>
                <c:pt idx="99">
                  <c:v>932.93256279506875</c:v>
                </c:pt>
                <c:pt idx="100">
                  <c:v>956.71669201467876</c:v>
                </c:pt>
                <c:pt idx="101">
                  <c:v>981.10717245976252</c:v>
                </c:pt>
              </c:numCache>
            </c:numRef>
          </c:yVal>
          <c:smooth val="1"/>
        </c:ser>
        <c:ser>
          <c:idx val="34"/>
          <c:order val="33"/>
          <c:yVal>
            <c:numRef>
              <c:f>MCarlo_ar!$AK$15:$AK$116</c:f>
              <c:numCache>
                <c:formatCode>General</c:formatCode>
                <c:ptCount val="102"/>
                <c:pt idx="0">
                  <c:v>34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1085.0477440885795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1170.167809026693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1031.7694142523274</c:v>
                </c:pt>
                <c:pt idx="16">
                  <c:v>1006.1194624136672</c:v>
                </c:pt>
                <c:pt idx="17">
                  <c:v>1031.7694142523274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1085.0477440885795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1230.5927311380608</c:v>
                </c:pt>
                <c:pt idx="39">
                  <c:v>1199.9999999999995</c:v>
                </c:pt>
                <c:pt idx="40">
                  <c:v>1230.5927311380608</c:v>
                </c:pt>
                <c:pt idx="41">
                  <c:v>1199.9999999999995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1294.1378648840334</c:v>
                </c:pt>
                <c:pt idx="45">
                  <c:v>1327.1305413473517</c:v>
                </c:pt>
                <c:pt idx="46">
                  <c:v>1294.1378648840334</c:v>
                </c:pt>
                <c:pt idx="47">
                  <c:v>1327.1305413473517</c:v>
                </c:pt>
                <c:pt idx="48">
                  <c:v>1294.1378648840334</c:v>
                </c:pt>
                <c:pt idx="49">
                  <c:v>1327.1305413473517</c:v>
                </c:pt>
                <c:pt idx="50">
                  <c:v>1294.1378648840334</c:v>
                </c:pt>
                <c:pt idx="51">
                  <c:v>1327.1305413473517</c:v>
                </c:pt>
                <c:pt idx="52">
                  <c:v>1294.1378648840334</c:v>
                </c:pt>
                <c:pt idx="53">
                  <c:v>1261.9653916081936</c:v>
                </c:pt>
                <c:pt idx="54">
                  <c:v>1294.1378648840334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1360.9643312111427</c:v>
                </c:pt>
                <c:pt idx="59">
                  <c:v>1395.6606777721711</c:v>
                </c:pt>
                <c:pt idx="60">
                  <c:v>1431.2415710013781</c:v>
                </c:pt>
                <c:pt idx="61">
                  <c:v>1467.7295614807629</c:v>
                </c:pt>
                <c:pt idx="62">
                  <c:v>1505.1477746955675</c:v>
                </c:pt>
                <c:pt idx="63">
                  <c:v>1543.5199256908281</c:v>
                </c:pt>
                <c:pt idx="64">
                  <c:v>1582.870334101578</c:v>
                </c:pt>
                <c:pt idx="65">
                  <c:v>1543.5199256908281</c:v>
                </c:pt>
                <c:pt idx="66">
                  <c:v>1505.1477746955675</c:v>
                </c:pt>
                <c:pt idx="67">
                  <c:v>1467.7295614807629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1431.2415710013781</c:v>
                </c:pt>
                <c:pt idx="71">
                  <c:v>1395.6606777721711</c:v>
                </c:pt>
                <c:pt idx="72">
                  <c:v>1360.9643312111427</c:v>
                </c:pt>
                <c:pt idx="73">
                  <c:v>1327.1305413473517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1327.1305413473517</c:v>
                </c:pt>
                <c:pt idx="78">
                  <c:v>1294.1378648840334</c:v>
                </c:pt>
                <c:pt idx="79">
                  <c:v>1327.1305413473517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1327.1305413473517</c:v>
                </c:pt>
                <c:pt idx="84">
                  <c:v>1294.1378648840334</c:v>
                </c:pt>
                <c:pt idx="85">
                  <c:v>1261.9653916081936</c:v>
                </c:pt>
                <c:pt idx="86">
                  <c:v>1230.5927311380608</c:v>
                </c:pt>
                <c:pt idx="87">
                  <c:v>1199.9999999999995</c:v>
                </c:pt>
                <c:pt idx="88">
                  <c:v>1230.5927311380608</c:v>
                </c:pt>
                <c:pt idx="89">
                  <c:v>1261.9653916081936</c:v>
                </c:pt>
                <c:pt idx="90">
                  <c:v>1294.1378648840334</c:v>
                </c:pt>
                <c:pt idx="91">
                  <c:v>1261.9653916081936</c:v>
                </c:pt>
                <c:pt idx="92">
                  <c:v>1230.5927311380608</c:v>
                </c:pt>
                <c:pt idx="93">
                  <c:v>1199.9999999999995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1170.167809026693</c:v>
                </c:pt>
                <c:pt idx="97">
                  <c:v>1141.0772510686097</c:v>
                </c:pt>
                <c:pt idx="98">
                  <c:v>1112.7098890109644</c:v>
                </c:pt>
                <c:pt idx="99">
                  <c:v>1085.0477440885795</c:v>
                </c:pt>
                <c:pt idx="100">
                  <c:v>1112.7098890109644</c:v>
                </c:pt>
                <c:pt idx="101">
                  <c:v>1085.0477440885795</c:v>
                </c:pt>
              </c:numCache>
            </c:numRef>
          </c:yVal>
          <c:smooth val="1"/>
        </c:ser>
        <c:ser>
          <c:idx val="35"/>
          <c:order val="34"/>
          <c:yVal>
            <c:numRef>
              <c:f>MCarlo_ar!$AL$15:$AL$116</c:f>
              <c:numCache>
                <c:formatCode>General</c:formatCode>
                <c:ptCount val="102"/>
                <c:pt idx="0">
                  <c:v>35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1141.0772510686099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1170.167809026693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1112.7098890109644</c:v>
                </c:pt>
                <c:pt idx="21">
                  <c:v>1085.0477440885795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1170.167809026693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1261.9653916081936</c:v>
                </c:pt>
                <c:pt idx="38">
                  <c:v>1294.1378648840334</c:v>
                </c:pt>
                <c:pt idx="39">
                  <c:v>1327.1305413473517</c:v>
                </c:pt>
                <c:pt idx="40">
                  <c:v>1360.9643312111427</c:v>
                </c:pt>
                <c:pt idx="41">
                  <c:v>1395.6606777721711</c:v>
                </c:pt>
                <c:pt idx="42">
                  <c:v>1431.2415710013781</c:v>
                </c:pt>
                <c:pt idx="43">
                  <c:v>1395.6606777721711</c:v>
                </c:pt>
                <c:pt idx="44">
                  <c:v>1431.2415710013781</c:v>
                </c:pt>
                <c:pt idx="45">
                  <c:v>1395.6606777721711</c:v>
                </c:pt>
                <c:pt idx="46">
                  <c:v>1431.2415710013781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1395.6606777721711</c:v>
                </c:pt>
                <c:pt idx="50">
                  <c:v>1431.2415710013781</c:v>
                </c:pt>
                <c:pt idx="51">
                  <c:v>1395.6606777721711</c:v>
                </c:pt>
                <c:pt idx="52">
                  <c:v>1360.9643312111427</c:v>
                </c:pt>
                <c:pt idx="53">
                  <c:v>1395.6606777721711</c:v>
                </c:pt>
                <c:pt idx="54">
                  <c:v>1431.2415710013781</c:v>
                </c:pt>
                <c:pt idx="55">
                  <c:v>1467.7295614807629</c:v>
                </c:pt>
                <c:pt idx="56">
                  <c:v>1431.2415710013781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1543.5199256908281</c:v>
                </c:pt>
                <c:pt idx="60">
                  <c:v>1505.1477746955675</c:v>
                </c:pt>
                <c:pt idx="61">
                  <c:v>1543.5199256908281</c:v>
                </c:pt>
                <c:pt idx="62">
                  <c:v>1582.870334101578</c:v>
                </c:pt>
                <c:pt idx="63">
                  <c:v>1543.5199256908281</c:v>
                </c:pt>
                <c:pt idx="64">
                  <c:v>1505.1477746955675</c:v>
                </c:pt>
                <c:pt idx="65">
                  <c:v>1467.7295614807629</c:v>
                </c:pt>
                <c:pt idx="66">
                  <c:v>1505.1477746955675</c:v>
                </c:pt>
                <c:pt idx="67">
                  <c:v>1543.5199256908281</c:v>
                </c:pt>
                <c:pt idx="68">
                  <c:v>1505.1477746955675</c:v>
                </c:pt>
                <c:pt idx="69">
                  <c:v>1467.7295614807629</c:v>
                </c:pt>
                <c:pt idx="70">
                  <c:v>1431.2415710013781</c:v>
                </c:pt>
                <c:pt idx="71">
                  <c:v>1395.6606777721711</c:v>
                </c:pt>
                <c:pt idx="72">
                  <c:v>1360.9643312111427</c:v>
                </c:pt>
                <c:pt idx="73">
                  <c:v>1327.1305413473517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1261.9653916081936</c:v>
                </c:pt>
                <c:pt idx="78">
                  <c:v>1294.1378648840334</c:v>
                </c:pt>
                <c:pt idx="79">
                  <c:v>1327.1305413473517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1327.1305413473517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1360.9643312111427</c:v>
                </c:pt>
                <c:pt idx="87">
                  <c:v>1327.1305413473517</c:v>
                </c:pt>
                <c:pt idx="88">
                  <c:v>1294.1378648840334</c:v>
                </c:pt>
                <c:pt idx="89">
                  <c:v>1327.1305413473517</c:v>
                </c:pt>
                <c:pt idx="90">
                  <c:v>1294.1378648840334</c:v>
                </c:pt>
                <c:pt idx="91">
                  <c:v>1327.1305413473517</c:v>
                </c:pt>
                <c:pt idx="92">
                  <c:v>1360.9643312111427</c:v>
                </c:pt>
                <c:pt idx="93">
                  <c:v>1395.6606777721711</c:v>
                </c:pt>
                <c:pt idx="94">
                  <c:v>1360.9643312111427</c:v>
                </c:pt>
                <c:pt idx="95">
                  <c:v>1327.1305413473517</c:v>
                </c:pt>
                <c:pt idx="96">
                  <c:v>1360.9643312111427</c:v>
                </c:pt>
                <c:pt idx="97">
                  <c:v>1395.6606777721711</c:v>
                </c:pt>
                <c:pt idx="98">
                  <c:v>1360.9643312111427</c:v>
                </c:pt>
                <c:pt idx="99">
                  <c:v>1395.6606777721711</c:v>
                </c:pt>
                <c:pt idx="100">
                  <c:v>1360.9643312111427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36"/>
          <c:order val="35"/>
          <c:yVal>
            <c:numRef>
              <c:f>MCarlo_ar!$AM$15:$AM$116</c:f>
              <c:numCache>
                <c:formatCode>General</c:formatCode>
                <c:ptCount val="102"/>
                <c:pt idx="0">
                  <c:v>36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1170.167809026693</c:v>
                </c:pt>
                <c:pt idx="7">
                  <c:v>1199.9999999999995</c:v>
                </c:pt>
                <c:pt idx="8">
                  <c:v>1230.5927311380608</c:v>
                </c:pt>
                <c:pt idx="9">
                  <c:v>1261.9653916081936</c:v>
                </c:pt>
                <c:pt idx="10">
                  <c:v>1294.1378648840334</c:v>
                </c:pt>
                <c:pt idx="11">
                  <c:v>1261.9653916081936</c:v>
                </c:pt>
                <c:pt idx="12">
                  <c:v>1230.5927311380608</c:v>
                </c:pt>
                <c:pt idx="13">
                  <c:v>1199.9999999999995</c:v>
                </c:pt>
                <c:pt idx="14">
                  <c:v>1170.167809026693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1230.5927311380608</c:v>
                </c:pt>
                <c:pt idx="21">
                  <c:v>1261.9653916081936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1230.5927311380608</c:v>
                </c:pt>
                <c:pt idx="25">
                  <c:v>1261.9653916081936</c:v>
                </c:pt>
                <c:pt idx="26">
                  <c:v>1230.5927311380608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1199.9999999999995</c:v>
                </c:pt>
                <c:pt idx="36">
                  <c:v>1170.167809026693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1199.9999999999995</c:v>
                </c:pt>
                <c:pt idx="40">
                  <c:v>1230.5927311380608</c:v>
                </c:pt>
                <c:pt idx="41">
                  <c:v>1261.9653916081936</c:v>
                </c:pt>
                <c:pt idx="42">
                  <c:v>1294.1378648840334</c:v>
                </c:pt>
                <c:pt idx="43">
                  <c:v>1327.1305413473517</c:v>
                </c:pt>
                <c:pt idx="44">
                  <c:v>1360.9643312111427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1360.9643312111427</c:v>
                </c:pt>
                <c:pt idx="51">
                  <c:v>1395.6606777721711</c:v>
                </c:pt>
                <c:pt idx="52">
                  <c:v>1360.9643312111427</c:v>
                </c:pt>
                <c:pt idx="53">
                  <c:v>1327.1305413473517</c:v>
                </c:pt>
                <c:pt idx="54">
                  <c:v>1294.1378648840334</c:v>
                </c:pt>
                <c:pt idx="55">
                  <c:v>1327.1305413473517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1360.9643312111427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1294.1378648840334</c:v>
                </c:pt>
                <c:pt idx="63">
                  <c:v>1261.9653916081936</c:v>
                </c:pt>
                <c:pt idx="64">
                  <c:v>1230.5927311380608</c:v>
                </c:pt>
                <c:pt idx="65">
                  <c:v>1261.9653916081936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1327.1305413473517</c:v>
                </c:pt>
                <c:pt idx="70">
                  <c:v>1360.9643312111427</c:v>
                </c:pt>
                <c:pt idx="71">
                  <c:v>1395.6606777721711</c:v>
                </c:pt>
                <c:pt idx="72">
                  <c:v>1360.9643312111427</c:v>
                </c:pt>
                <c:pt idx="73">
                  <c:v>1327.1305413473517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1327.1305413473517</c:v>
                </c:pt>
                <c:pt idx="80">
                  <c:v>1294.1378648840334</c:v>
                </c:pt>
                <c:pt idx="81">
                  <c:v>1261.9653916081936</c:v>
                </c:pt>
                <c:pt idx="82">
                  <c:v>1230.5927311380608</c:v>
                </c:pt>
                <c:pt idx="83">
                  <c:v>1261.9653916081936</c:v>
                </c:pt>
                <c:pt idx="84">
                  <c:v>1230.5927311380608</c:v>
                </c:pt>
                <c:pt idx="85">
                  <c:v>1261.9653916081936</c:v>
                </c:pt>
                <c:pt idx="86">
                  <c:v>1230.5927311380608</c:v>
                </c:pt>
                <c:pt idx="87">
                  <c:v>1261.9653916081936</c:v>
                </c:pt>
                <c:pt idx="88">
                  <c:v>1230.5927311380608</c:v>
                </c:pt>
                <c:pt idx="89">
                  <c:v>1199.9999999999995</c:v>
                </c:pt>
                <c:pt idx="90">
                  <c:v>1230.5927311380608</c:v>
                </c:pt>
                <c:pt idx="91">
                  <c:v>1199.9999999999995</c:v>
                </c:pt>
                <c:pt idx="92">
                  <c:v>1170.167809026693</c:v>
                </c:pt>
                <c:pt idx="93">
                  <c:v>1199.9999999999995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1230.5927311380608</c:v>
                </c:pt>
                <c:pt idx="97">
                  <c:v>1261.9653916081936</c:v>
                </c:pt>
                <c:pt idx="98">
                  <c:v>1230.5927311380608</c:v>
                </c:pt>
                <c:pt idx="99">
                  <c:v>1199.9999999999995</c:v>
                </c:pt>
                <c:pt idx="100">
                  <c:v>1170.167809026693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37"/>
          <c:order val="36"/>
          <c:yVal>
            <c:numRef>
              <c:f>MCarlo_ar!$AN$15:$AN$116</c:f>
              <c:numCache>
                <c:formatCode>General</c:formatCode>
                <c:ptCount val="102"/>
                <c:pt idx="0">
                  <c:v>37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1395.6606777721715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1395.6606777721715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1230.5927311380613</c:v>
                </c:pt>
                <c:pt idx="29">
                  <c:v>1261.9653916081941</c:v>
                </c:pt>
                <c:pt idx="30">
                  <c:v>1230.5927311380613</c:v>
                </c:pt>
                <c:pt idx="31">
                  <c:v>1200</c:v>
                </c:pt>
                <c:pt idx="32">
                  <c:v>1170.1678090266935</c:v>
                </c:pt>
                <c:pt idx="33">
                  <c:v>1200</c:v>
                </c:pt>
                <c:pt idx="34">
                  <c:v>1170.1678090266935</c:v>
                </c:pt>
                <c:pt idx="35">
                  <c:v>1141.0772510686099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1085.0477440885795</c:v>
                </c:pt>
                <c:pt idx="40">
                  <c:v>1112.7098890109644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1170.167809026693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1112.7098890109644</c:v>
                </c:pt>
                <c:pt idx="49">
                  <c:v>1085.0477440885795</c:v>
                </c:pt>
                <c:pt idx="50">
                  <c:v>1058.0732844912411</c:v>
                </c:pt>
                <c:pt idx="51">
                  <c:v>1085.0477440885795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1058.0732844912411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1141.0772510686097</c:v>
                </c:pt>
                <c:pt idx="58">
                  <c:v>1170.167809026693</c:v>
                </c:pt>
                <c:pt idx="59">
                  <c:v>1141.0772510686097</c:v>
                </c:pt>
                <c:pt idx="60">
                  <c:v>1112.7098890109644</c:v>
                </c:pt>
                <c:pt idx="61">
                  <c:v>1141.0772510686097</c:v>
                </c:pt>
                <c:pt idx="62">
                  <c:v>1112.7098890109644</c:v>
                </c:pt>
                <c:pt idx="63">
                  <c:v>1085.0477440885795</c:v>
                </c:pt>
                <c:pt idx="64">
                  <c:v>1112.7098890109644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1141.0772510686097</c:v>
                </c:pt>
                <c:pt idx="68">
                  <c:v>1112.7098890109644</c:v>
                </c:pt>
                <c:pt idx="69">
                  <c:v>1085.0477440885795</c:v>
                </c:pt>
                <c:pt idx="70">
                  <c:v>1112.7098890109644</c:v>
                </c:pt>
                <c:pt idx="71">
                  <c:v>1085.0477440885795</c:v>
                </c:pt>
                <c:pt idx="72">
                  <c:v>1112.7098890109644</c:v>
                </c:pt>
                <c:pt idx="73">
                  <c:v>1085.0477440885795</c:v>
                </c:pt>
                <c:pt idx="74">
                  <c:v>1112.7098890109644</c:v>
                </c:pt>
                <c:pt idx="75">
                  <c:v>1085.0477440885795</c:v>
                </c:pt>
                <c:pt idx="76">
                  <c:v>1058.0732844912411</c:v>
                </c:pt>
                <c:pt idx="77">
                  <c:v>1085.0477440885795</c:v>
                </c:pt>
                <c:pt idx="78">
                  <c:v>1058.0732844912411</c:v>
                </c:pt>
                <c:pt idx="79">
                  <c:v>1085.0477440885795</c:v>
                </c:pt>
                <c:pt idx="80">
                  <c:v>1058.0732844912411</c:v>
                </c:pt>
                <c:pt idx="81">
                  <c:v>1085.0477440885795</c:v>
                </c:pt>
                <c:pt idx="82">
                  <c:v>1058.0732844912411</c:v>
                </c:pt>
                <c:pt idx="83">
                  <c:v>1031.7694142523274</c:v>
                </c:pt>
                <c:pt idx="84">
                  <c:v>1006.1194624136672</c:v>
                </c:pt>
                <c:pt idx="85">
                  <c:v>981.10717245976286</c:v>
                </c:pt>
                <c:pt idx="86">
                  <c:v>1006.1194624136671</c:v>
                </c:pt>
                <c:pt idx="87">
                  <c:v>1031.7694142523271</c:v>
                </c:pt>
                <c:pt idx="88">
                  <c:v>1058.0732844912409</c:v>
                </c:pt>
                <c:pt idx="89">
                  <c:v>1031.7694142523271</c:v>
                </c:pt>
                <c:pt idx="90">
                  <c:v>1006.119462413667</c:v>
                </c:pt>
                <c:pt idx="91">
                  <c:v>981.10717245976264</c:v>
                </c:pt>
                <c:pt idx="92">
                  <c:v>1006.1194624136668</c:v>
                </c:pt>
                <c:pt idx="93">
                  <c:v>981.10717245976264</c:v>
                </c:pt>
                <c:pt idx="94">
                  <c:v>956.71669201467887</c:v>
                </c:pt>
                <c:pt idx="95">
                  <c:v>981.10717245976264</c:v>
                </c:pt>
                <c:pt idx="96">
                  <c:v>956.71669201467887</c:v>
                </c:pt>
                <c:pt idx="97">
                  <c:v>932.93256279506875</c:v>
                </c:pt>
                <c:pt idx="98">
                  <c:v>956.71669201467876</c:v>
                </c:pt>
                <c:pt idx="99">
                  <c:v>932.93256279506875</c:v>
                </c:pt>
                <c:pt idx="100">
                  <c:v>909.73971081296975</c:v>
                </c:pt>
                <c:pt idx="101">
                  <c:v>887.12343682215874</c:v>
                </c:pt>
              </c:numCache>
            </c:numRef>
          </c:yVal>
          <c:smooth val="1"/>
        </c:ser>
        <c:ser>
          <c:idx val="38"/>
          <c:order val="37"/>
          <c:yVal>
            <c:numRef>
              <c:f>MCarlo_ar!$AO$15:$AO$116</c:f>
              <c:numCache>
                <c:formatCode>General</c:formatCode>
                <c:ptCount val="102"/>
                <c:pt idx="0">
                  <c:v>38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1058.0732844912411</c:v>
                </c:pt>
                <c:pt idx="11">
                  <c:v>1031.7694142523274</c:v>
                </c:pt>
                <c:pt idx="12">
                  <c:v>1058.0732844912411</c:v>
                </c:pt>
                <c:pt idx="13">
                  <c:v>1031.7694142523274</c:v>
                </c:pt>
                <c:pt idx="14">
                  <c:v>1006.1194624136672</c:v>
                </c:pt>
                <c:pt idx="15">
                  <c:v>1031.7694142523274</c:v>
                </c:pt>
                <c:pt idx="16">
                  <c:v>1006.1194624136672</c:v>
                </c:pt>
                <c:pt idx="17">
                  <c:v>981.10717245976286</c:v>
                </c:pt>
                <c:pt idx="18">
                  <c:v>956.7166920146791</c:v>
                </c:pt>
                <c:pt idx="19">
                  <c:v>981.10717245976286</c:v>
                </c:pt>
                <c:pt idx="20">
                  <c:v>956.7166920146791</c:v>
                </c:pt>
                <c:pt idx="21">
                  <c:v>981.10717245976286</c:v>
                </c:pt>
                <c:pt idx="22">
                  <c:v>1006.1194624136671</c:v>
                </c:pt>
                <c:pt idx="23">
                  <c:v>981.10717245976275</c:v>
                </c:pt>
                <c:pt idx="24">
                  <c:v>956.71669201467898</c:v>
                </c:pt>
                <c:pt idx="25">
                  <c:v>981.10717245976275</c:v>
                </c:pt>
                <c:pt idx="26">
                  <c:v>1006.119462413667</c:v>
                </c:pt>
                <c:pt idx="27">
                  <c:v>981.10717245976264</c:v>
                </c:pt>
                <c:pt idx="28">
                  <c:v>1006.1194624136668</c:v>
                </c:pt>
                <c:pt idx="29">
                  <c:v>1031.7694142523269</c:v>
                </c:pt>
                <c:pt idx="30">
                  <c:v>1058.0732844912407</c:v>
                </c:pt>
                <c:pt idx="31">
                  <c:v>1031.7694142523269</c:v>
                </c:pt>
                <c:pt idx="32">
                  <c:v>1006.1194624136668</c:v>
                </c:pt>
                <c:pt idx="33">
                  <c:v>1031.7694142523269</c:v>
                </c:pt>
                <c:pt idx="34">
                  <c:v>1058.0732844912407</c:v>
                </c:pt>
                <c:pt idx="35">
                  <c:v>1085.0477440885791</c:v>
                </c:pt>
                <c:pt idx="36">
                  <c:v>1112.7098890109639</c:v>
                </c:pt>
                <c:pt idx="37">
                  <c:v>1085.0477440885791</c:v>
                </c:pt>
                <c:pt idx="38">
                  <c:v>1112.7098890109639</c:v>
                </c:pt>
                <c:pt idx="39">
                  <c:v>1085.0477440885791</c:v>
                </c:pt>
                <c:pt idx="40">
                  <c:v>1112.7098890109639</c:v>
                </c:pt>
                <c:pt idx="41">
                  <c:v>1141.0772510686093</c:v>
                </c:pt>
                <c:pt idx="42">
                  <c:v>1112.7098890109639</c:v>
                </c:pt>
                <c:pt idx="43">
                  <c:v>1141.0772510686093</c:v>
                </c:pt>
                <c:pt idx="44">
                  <c:v>1112.7098890109639</c:v>
                </c:pt>
                <c:pt idx="45">
                  <c:v>1085.0477440885791</c:v>
                </c:pt>
                <c:pt idx="46">
                  <c:v>1058.0732844912407</c:v>
                </c:pt>
                <c:pt idx="47">
                  <c:v>1085.0477440885791</c:v>
                </c:pt>
                <c:pt idx="48">
                  <c:v>1058.0732844912407</c:v>
                </c:pt>
                <c:pt idx="49">
                  <c:v>1031.7694142523269</c:v>
                </c:pt>
                <c:pt idx="50">
                  <c:v>1006.1194624136668</c:v>
                </c:pt>
                <c:pt idx="51">
                  <c:v>1031.7694142523269</c:v>
                </c:pt>
                <c:pt idx="52">
                  <c:v>1006.1194624136668</c:v>
                </c:pt>
                <c:pt idx="53">
                  <c:v>981.10717245976264</c:v>
                </c:pt>
                <c:pt idx="54">
                  <c:v>956.71669201467887</c:v>
                </c:pt>
                <c:pt idx="55">
                  <c:v>981.10717245976264</c:v>
                </c:pt>
                <c:pt idx="56">
                  <c:v>956.71669201467887</c:v>
                </c:pt>
                <c:pt idx="57">
                  <c:v>932.93256279506875</c:v>
                </c:pt>
                <c:pt idx="58">
                  <c:v>909.73971081296975</c:v>
                </c:pt>
                <c:pt idx="59">
                  <c:v>932.93256279506875</c:v>
                </c:pt>
                <c:pt idx="60">
                  <c:v>956.71669201467876</c:v>
                </c:pt>
                <c:pt idx="61">
                  <c:v>932.93256279506875</c:v>
                </c:pt>
                <c:pt idx="62">
                  <c:v>956.71669201467876</c:v>
                </c:pt>
                <c:pt idx="63">
                  <c:v>981.10717245976252</c:v>
                </c:pt>
                <c:pt idx="64">
                  <c:v>1006.1194624136667</c:v>
                </c:pt>
                <c:pt idx="65">
                  <c:v>1031.7694142523269</c:v>
                </c:pt>
                <c:pt idx="66">
                  <c:v>1006.1194624136668</c:v>
                </c:pt>
                <c:pt idx="67">
                  <c:v>1031.7694142523269</c:v>
                </c:pt>
                <c:pt idx="68">
                  <c:v>1058.0732844912407</c:v>
                </c:pt>
                <c:pt idx="69">
                  <c:v>1031.7694142523269</c:v>
                </c:pt>
                <c:pt idx="70">
                  <c:v>1058.0732844912407</c:v>
                </c:pt>
                <c:pt idx="71">
                  <c:v>1031.7694142523269</c:v>
                </c:pt>
                <c:pt idx="72">
                  <c:v>1058.0732844912407</c:v>
                </c:pt>
                <c:pt idx="73">
                  <c:v>1085.0477440885791</c:v>
                </c:pt>
                <c:pt idx="74">
                  <c:v>1112.7098890109639</c:v>
                </c:pt>
                <c:pt idx="75">
                  <c:v>1141.0772510686093</c:v>
                </c:pt>
                <c:pt idx="76">
                  <c:v>1170.1678090266926</c:v>
                </c:pt>
                <c:pt idx="77">
                  <c:v>1141.0772510686093</c:v>
                </c:pt>
                <c:pt idx="78">
                  <c:v>1112.7098890109639</c:v>
                </c:pt>
                <c:pt idx="79">
                  <c:v>1141.0772510686093</c:v>
                </c:pt>
                <c:pt idx="80">
                  <c:v>1170.1678090266926</c:v>
                </c:pt>
                <c:pt idx="81">
                  <c:v>1199.9999999999991</c:v>
                </c:pt>
                <c:pt idx="82">
                  <c:v>1230.5927311380603</c:v>
                </c:pt>
                <c:pt idx="83">
                  <c:v>1261.9653916081932</c:v>
                </c:pt>
                <c:pt idx="84">
                  <c:v>1230.5927311380603</c:v>
                </c:pt>
                <c:pt idx="85">
                  <c:v>1261.9653916081932</c:v>
                </c:pt>
                <c:pt idx="86">
                  <c:v>1230.5927311380603</c:v>
                </c:pt>
                <c:pt idx="87">
                  <c:v>1199.9999999999991</c:v>
                </c:pt>
                <c:pt idx="88">
                  <c:v>1170.1678090266926</c:v>
                </c:pt>
                <c:pt idx="89">
                  <c:v>1199.9999999999991</c:v>
                </c:pt>
                <c:pt idx="90">
                  <c:v>1230.5927311380603</c:v>
                </c:pt>
                <c:pt idx="91">
                  <c:v>1261.9653916081932</c:v>
                </c:pt>
                <c:pt idx="92">
                  <c:v>1230.5927311380603</c:v>
                </c:pt>
                <c:pt idx="93">
                  <c:v>1261.9653916081932</c:v>
                </c:pt>
                <c:pt idx="94">
                  <c:v>1230.5927311380603</c:v>
                </c:pt>
                <c:pt idx="95">
                  <c:v>1199.9999999999991</c:v>
                </c:pt>
                <c:pt idx="96">
                  <c:v>1230.5927311380603</c:v>
                </c:pt>
                <c:pt idx="97">
                  <c:v>1199.9999999999991</c:v>
                </c:pt>
                <c:pt idx="98">
                  <c:v>1170.1678090266926</c:v>
                </c:pt>
                <c:pt idx="99">
                  <c:v>1199.9999999999991</c:v>
                </c:pt>
                <c:pt idx="100">
                  <c:v>1230.5927311380603</c:v>
                </c:pt>
                <c:pt idx="101">
                  <c:v>1199.9999999999991</c:v>
                </c:pt>
              </c:numCache>
            </c:numRef>
          </c:yVal>
          <c:smooth val="1"/>
        </c:ser>
        <c:ser>
          <c:idx val="39"/>
          <c:order val="38"/>
          <c:yVal>
            <c:numRef>
              <c:f>MCarlo_ar!$AP$15:$AP$116</c:f>
              <c:numCache>
                <c:formatCode>General</c:formatCode>
                <c:ptCount val="102"/>
                <c:pt idx="0">
                  <c:v>39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1112.7098890109644</c:v>
                </c:pt>
                <c:pt idx="5">
                  <c:v>1085.0477440885795</c:v>
                </c:pt>
                <c:pt idx="6">
                  <c:v>1058.0732844912411</c:v>
                </c:pt>
                <c:pt idx="7">
                  <c:v>1085.0477440885795</c:v>
                </c:pt>
                <c:pt idx="8">
                  <c:v>1058.0732844912411</c:v>
                </c:pt>
                <c:pt idx="9">
                  <c:v>1085.0477440885795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1112.7098890109644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1170.167809026693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1031.7694142523274</c:v>
                </c:pt>
                <c:pt idx="24">
                  <c:v>1006.1194624136672</c:v>
                </c:pt>
                <c:pt idx="25">
                  <c:v>981.10717245976286</c:v>
                </c:pt>
                <c:pt idx="26">
                  <c:v>1006.1194624136671</c:v>
                </c:pt>
                <c:pt idx="27">
                  <c:v>1031.7694142523271</c:v>
                </c:pt>
                <c:pt idx="28">
                  <c:v>1006.119462413667</c:v>
                </c:pt>
                <c:pt idx="29">
                  <c:v>981.10717245976264</c:v>
                </c:pt>
                <c:pt idx="30">
                  <c:v>1006.1194624136668</c:v>
                </c:pt>
                <c:pt idx="31">
                  <c:v>981.10717245976264</c:v>
                </c:pt>
                <c:pt idx="32">
                  <c:v>956.71669201467887</c:v>
                </c:pt>
                <c:pt idx="33">
                  <c:v>981.10717245976264</c:v>
                </c:pt>
                <c:pt idx="34">
                  <c:v>1006.1194624136668</c:v>
                </c:pt>
                <c:pt idx="35">
                  <c:v>1031.7694142523269</c:v>
                </c:pt>
                <c:pt idx="36">
                  <c:v>1006.1194624136668</c:v>
                </c:pt>
                <c:pt idx="37">
                  <c:v>981.10717245976264</c:v>
                </c:pt>
                <c:pt idx="38">
                  <c:v>956.71669201467887</c:v>
                </c:pt>
                <c:pt idx="39">
                  <c:v>981.10717245976264</c:v>
                </c:pt>
                <c:pt idx="40">
                  <c:v>956.71669201467887</c:v>
                </c:pt>
                <c:pt idx="41">
                  <c:v>932.93256279506875</c:v>
                </c:pt>
                <c:pt idx="42">
                  <c:v>956.71669201467876</c:v>
                </c:pt>
                <c:pt idx="43">
                  <c:v>981.10717245976252</c:v>
                </c:pt>
                <c:pt idx="44">
                  <c:v>1006.1194624136667</c:v>
                </c:pt>
                <c:pt idx="45">
                  <c:v>1031.7694142523269</c:v>
                </c:pt>
                <c:pt idx="46">
                  <c:v>1058.0732844912407</c:v>
                </c:pt>
                <c:pt idx="47">
                  <c:v>1031.7694142523269</c:v>
                </c:pt>
                <c:pt idx="48">
                  <c:v>1058.0732844912407</c:v>
                </c:pt>
                <c:pt idx="49">
                  <c:v>1085.0477440885791</c:v>
                </c:pt>
                <c:pt idx="50">
                  <c:v>1058.0732844912407</c:v>
                </c:pt>
                <c:pt idx="51">
                  <c:v>1085.0477440885791</c:v>
                </c:pt>
                <c:pt idx="52">
                  <c:v>1112.7098890109639</c:v>
                </c:pt>
                <c:pt idx="53">
                  <c:v>1141.0772510686093</c:v>
                </c:pt>
                <c:pt idx="54">
                  <c:v>1170.1678090266926</c:v>
                </c:pt>
                <c:pt idx="55">
                  <c:v>1199.9999999999991</c:v>
                </c:pt>
                <c:pt idx="56">
                  <c:v>1170.1678090266926</c:v>
                </c:pt>
                <c:pt idx="57">
                  <c:v>1141.0772510686093</c:v>
                </c:pt>
                <c:pt idx="58">
                  <c:v>1170.1678090266926</c:v>
                </c:pt>
                <c:pt idx="59">
                  <c:v>1199.9999999999991</c:v>
                </c:pt>
                <c:pt idx="60">
                  <c:v>1230.5927311380603</c:v>
                </c:pt>
                <c:pt idx="61">
                  <c:v>1261.9653916081932</c:v>
                </c:pt>
                <c:pt idx="62">
                  <c:v>1294.137864884033</c:v>
                </c:pt>
                <c:pt idx="63">
                  <c:v>1261.9653916081932</c:v>
                </c:pt>
                <c:pt idx="64">
                  <c:v>1294.137864884033</c:v>
                </c:pt>
                <c:pt idx="65">
                  <c:v>1327.1305413473513</c:v>
                </c:pt>
                <c:pt idx="66">
                  <c:v>1294.137864884033</c:v>
                </c:pt>
                <c:pt idx="67">
                  <c:v>1327.1305413473513</c:v>
                </c:pt>
                <c:pt idx="68">
                  <c:v>1294.137864884033</c:v>
                </c:pt>
                <c:pt idx="69">
                  <c:v>1261.9653916081932</c:v>
                </c:pt>
                <c:pt idx="70">
                  <c:v>1294.137864884033</c:v>
                </c:pt>
                <c:pt idx="71">
                  <c:v>1261.9653916081932</c:v>
                </c:pt>
                <c:pt idx="72">
                  <c:v>1230.5927311380603</c:v>
                </c:pt>
                <c:pt idx="73">
                  <c:v>1199.9999999999991</c:v>
                </c:pt>
                <c:pt idx="74">
                  <c:v>1230.5927311380603</c:v>
                </c:pt>
                <c:pt idx="75">
                  <c:v>1199.9999999999991</c:v>
                </c:pt>
                <c:pt idx="76">
                  <c:v>1230.5927311380603</c:v>
                </c:pt>
                <c:pt idx="77">
                  <c:v>1199.9999999999991</c:v>
                </c:pt>
                <c:pt idx="78">
                  <c:v>1170.1678090266926</c:v>
                </c:pt>
                <c:pt idx="79">
                  <c:v>1141.0772510686093</c:v>
                </c:pt>
                <c:pt idx="80">
                  <c:v>1112.7098890109639</c:v>
                </c:pt>
                <c:pt idx="81">
                  <c:v>1141.0772510686093</c:v>
                </c:pt>
                <c:pt idx="82">
                  <c:v>1170.1678090266926</c:v>
                </c:pt>
                <c:pt idx="83">
                  <c:v>1199.9999999999991</c:v>
                </c:pt>
                <c:pt idx="84">
                  <c:v>1170.1678090266926</c:v>
                </c:pt>
                <c:pt idx="85">
                  <c:v>1199.9999999999991</c:v>
                </c:pt>
                <c:pt idx="86">
                  <c:v>1230.5927311380603</c:v>
                </c:pt>
                <c:pt idx="87">
                  <c:v>1261.9653916081932</c:v>
                </c:pt>
                <c:pt idx="88">
                  <c:v>1294.137864884033</c:v>
                </c:pt>
                <c:pt idx="89">
                  <c:v>1261.9653916081932</c:v>
                </c:pt>
                <c:pt idx="90">
                  <c:v>1230.5927311380603</c:v>
                </c:pt>
                <c:pt idx="91">
                  <c:v>1199.9999999999991</c:v>
                </c:pt>
                <c:pt idx="92">
                  <c:v>1230.5927311380603</c:v>
                </c:pt>
                <c:pt idx="93">
                  <c:v>1261.9653916081932</c:v>
                </c:pt>
                <c:pt idx="94">
                  <c:v>1294.137864884033</c:v>
                </c:pt>
                <c:pt idx="95">
                  <c:v>1261.9653916081932</c:v>
                </c:pt>
                <c:pt idx="96">
                  <c:v>1294.137864884033</c:v>
                </c:pt>
                <c:pt idx="97">
                  <c:v>1327.1305413473513</c:v>
                </c:pt>
                <c:pt idx="98">
                  <c:v>1294.137864884033</c:v>
                </c:pt>
                <c:pt idx="99">
                  <c:v>1327.1305413473513</c:v>
                </c:pt>
                <c:pt idx="100">
                  <c:v>1360.9643312111423</c:v>
                </c:pt>
                <c:pt idx="101">
                  <c:v>1395.6606777721706</c:v>
                </c:pt>
              </c:numCache>
            </c:numRef>
          </c:yVal>
          <c:smooth val="1"/>
        </c:ser>
        <c:ser>
          <c:idx val="40"/>
          <c:order val="39"/>
          <c:yVal>
            <c:numRef>
              <c:f>MCarlo_ar!$AQ$15:$AQ$116</c:f>
              <c:numCache>
                <c:formatCode>General</c:formatCode>
                <c:ptCount val="102"/>
                <c:pt idx="0">
                  <c:v>40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1141.0772510686099</c:v>
                </c:pt>
                <c:pt idx="12">
                  <c:v>1170.1678090266932</c:v>
                </c:pt>
                <c:pt idx="13">
                  <c:v>1199.9999999999998</c:v>
                </c:pt>
                <c:pt idx="14">
                  <c:v>1170.1678090266932</c:v>
                </c:pt>
                <c:pt idx="15">
                  <c:v>1199.9999999999998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1141.0772510686097</c:v>
                </c:pt>
                <c:pt idx="22">
                  <c:v>1112.7098890109644</c:v>
                </c:pt>
                <c:pt idx="23">
                  <c:v>1085.0477440885795</c:v>
                </c:pt>
                <c:pt idx="24">
                  <c:v>1058.0732844912411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1230.5927311380608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1199.9999999999995</c:v>
                </c:pt>
                <c:pt idx="36">
                  <c:v>1170.167809026693</c:v>
                </c:pt>
                <c:pt idx="37">
                  <c:v>1199.9999999999995</c:v>
                </c:pt>
                <c:pt idx="38">
                  <c:v>1230.5927311380608</c:v>
                </c:pt>
                <c:pt idx="39">
                  <c:v>1199.9999999999995</c:v>
                </c:pt>
                <c:pt idx="40">
                  <c:v>1170.167809026693</c:v>
                </c:pt>
                <c:pt idx="41">
                  <c:v>1199.9999999999995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1230.5927311380608</c:v>
                </c:pt>
                <c:pt idx="45">
                  <c:v>1199.9999999999995</c:v>
                </c:pt>
                <c:pt idx="46">
                  <c:v>1170.167809026693</c:v>
                </c:pt>
                <c:pt idx="47">
                  <c:v>1199.9999999999995</c:v>
                </c:pt>
                <c:pt idx="48">
                  <c:v>1230.5927311380608</c:v>
                </c:pt>
                <c:pt idx="49">
                  <c:v>1199.9999999999995</c:v>
                </c:pt>
                <c:pt idx="50">
                  <c:v>1230.5927311380608</c:v>
                </c:pt>
                <c:pt idx="51">
                  <c:v>1199.9999999999995</c:v>
                </c:pt>
                <c:pt idx="52">
                  <c:v>1230.5927311380608</c:v>
                </c:pt>
                <c:pt idx="53">
                  <c:v>1199.9999999999995</c:v>
                </c:pt>
                <c:pt idx="54">
                  <c:v>1230.5927311380608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1230.5927311380608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1230.5927311380608</c:v>
                </c:pt>
                <c:pt idx="71">
                  <c:v>1261.9653916081936</c:v>
                </c:pt>
                <c:pt idx="72">
                  <c:v>1230.5927311380608</c:v>
                </c:pt>
                <c:pt idx="73">
                  <c:v>1261.9653916081936</c:v>
                </c:pt>
                <c:pt idx="74">
                  <c:v>1230.5927311380608</c:v>
                </c:pt>
                <c:pt idx="75">
                  <c:v>1261.9653916081936</c:v>
                </c:pt>
                <c:pt idx="76">
                  <c:v>1230.5927311380608</c:v>
                </c:pt>
                <c:pt idx="77">
                  <c:v>1261.9653916081936</c:v>
                </c:pt>
                <c:pt idx="78">
                  <c:v>1294.1378648840334</c:v>
                </c:pt>
                <c:pt idx="79">
                  <c:v>1261.9653916081936</c:v>
                </c:pt>
                <c:pt idx="80">
                  <c:v>1294.1378648840334</c:v>
                </c:pt>
                <c:pt idx="81">
                  <c:v>1327.1305413473517</c:v>
                </c:pt>
                <c:pt idx="82">
                  <c:v>1294.1378648840334</c:v>
                </c:pt>
                <c:pt idx="83">
                  <c:v>1261.9653916081936</c:v>
                </c:pt>
                <c:pt idx="84">
                  <c:v>1294.1378648840334</c:v>
                </c:pt>
                <c:pt idx="85">
                  <c:v>1327.1305413473517</c:v>
                </c:pt>
                <c:pt idx="86">
                  <c:v>1294.1378648840334</c:v>
                </c:pt>
                <c:pt idx="87">
                  <c:v>1261.9653916081936</c:v>
                </c:pt>
                <c:pt idx="88">
                  <c:v>1230.5927311380608</c:v>
                </c:pt>
                <c:pt idx="89">
                  <c:v>1199.9999999999995</c:v>
                </c:pt>
                <c:pt idx="90">
                  <c:v>1170.167809026693</c:v>
                </c:pt>
                <c:pt idx="91">
                  <c:v>1141.0772510686097</c:v>
                </c:pt>
                <c:pt idx="92">
                  <c:v>1170.167809026693</c:v>
                </c:pt>
                <c:pt idx="93">
                  <c:v>1141.0772510686097</c:v>
                </c:pt>
                <c:pt idx="94">
                  <c:v>1170.167809026693</c:v>
                </c:pt>
                <c:pt idx="95">
                  <c:v>1141.0772510686097</c:v>
                </c:pt>
                <c:pt idx="96">
                  <c:v>1112.7098890109644</c:v>
                </c:pt>
                <c:pt idx="97">
                  <c:v>1085.0477440885795</c:v>
                </c:pt>
                <c:pt idx="98">
                  <c:v>1058.0732844912411</c:v>
                </c:pt>
                <c:pt idx="99">
                  <c:v>1085.0477440885795</c:v>
                </c:pt>
                <c:pt idx="100">
                  <c:v>1058.0732844912411</c:v>
                </c:pt>
                <c:pt idx="101">
                  <c:v>1031.7694142523274</c:v>
                </c:pt>
              </c:numCache>
            </c:numRef>
          </c:yVal>
          <c:smooth val="1"/>
        </c:ser>
        <c:ser>
          <c:idx val="41"/>
          <c:order val="40"/>
          <c:yVal>
            <c:numRef>
              <c:f>MCarlo_ar!$AR$15:$AR$116</c:f>
              <c:numCache>
                <c:formatCode>General</c:formatCode>
                <c:ptCount val="102"/>
                <c:pt idx="0">
                  <c:v>41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1170.1678090266932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1085.0477440885795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1085.0477440885795</c:v>
                </c:pt>
                <c:pt idx="22">
                  <c:v>1112.7098890109644</c:v>
                </c:pt>
                <c:pt idx="23">
                  <c:v>1085.0477440885795</c:v>
                </c:pt>
                <c:pt idx="24">
                  <c:v>1058.0732844912411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1141.0772510686097</c:v>
                </c:pt>
                <c:pt idx="32">
                  <c:v>1170.167809026693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1199.9999999999995</c:v>
                </c:pt>
                <c:pt idx="36">
                  <c:v>1170.167809026693</c:v>
                </c:pt>
                <c:pt idx="37">
                  <c:v>1141.0772510686097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1112.7098890109644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1170.167809026693</c:v>
                </c:pt>
                <c:pt idx="49">
                  <c:v>1141.0772510686097</c:v>
                </c:pt>
                <c:pt idx="50">
                  <c:v>1112.7098890109644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1058.0732844912411</c:v>
                </c:pt>
                <c:pt idx="55">
                  <c:v>1031.7694142523274</c:v>
                </c:pt>
                <c:pt idx="56">
                  <c:v>1058.0732844912411</c:v>
                </c:pt>
                <c:pt idx="57">
                  <c:v>1085.0477440885795</c:v>
                </c:pt>
                <c:pt idx="58">
                  <c:v>1058.0732844912411</c:v>
                </c:pt>
                <c:pt idx="59">
                  <c:v>1031.7694142523274</c:v>
                </c:pt>
                <c:pt idx="60">
                  <c:v>1006.1194624136672</c:v>
                </c:pt>
                <c:pt idx="61">
                  <c:v>1031.7694142523274</c:v>
                </c:pt>
                <c:pt idx="62">
                  <c:v>1058.0732844912411</c:v>
                </c:pt>
                <c:pt idx="63">
                  <c:v>1031.7694142523274</c:v>
                </c:pt>
                <c:pt idx="64">
                  <c:v>1058.0732844912411</c:v>
                </c:pt>
                <c:pt idx="65">
                  <c:v>1085.0477440885795</c:v>
                </c:pt>
                <c:pt idx="66">
                  <c:v>1112.7098890109644</c:v>
                </c:pt>
                <c:pt idx="67">
                  <c:v>1141.0772510686097</c:v>
                </c:pt>
                <c:pt idx="68">
                  <c:v>1112.7098890109644</c:v>
                </c:pt>
                <c:pt idx="69">
                  <c:v>1085.0477440885795</c:v>
                </c:pt>
                <c:pt idx="70">
                  <c:v>1058.0732844912411</c:v>
                </c:pt>
                <c:pt idx="71">
                  <c:v>1031.7694142523274</c:v>
                </c:pt>
                <c:pt idx="72">
                  <c:v>1006.1194624136672</c:v>
                </c:pt>
                <c:pt idx="73">
                  <c:v>981.10717245976286</c:v>
                </c:pt>
                <c:pt idx="74">
                  <c:v>956.7166920146791</c:v>
                </c:pt>
                <c:pt idx="75">
                  <c:v>932.93256279506897</c:v>
                </c:pt>
                <c:pt idx="76">
                  <c:v>909.73971081296986</c:v>
                </c:pt>
                <c:pt idx="77">
                  <c:v>887.12343682215885</c:v>
                </c:pt>
                <c:pt idx="78">
                  <c:v>865.06940700201324</c:v>
                </c:pt>
                <c:pt idx="79">
                  <c:v>843.56364387297231</c:v>
                </c:pt>
                <c:pt idx="80">
                  <c:v>865.06940700201324</c:v>
                </c:pt>
                <c:pt idx="81">
                  <c:v>843.56364387297231</c:v>
                </c:pt>
                <c:pt idx="82">
                  <c:v>865.06940700201324</c:v>
                </c:pt>
                <c:pt idx="83">
                  <c:v>843.56364387297231</c:v>
                </c:pt>
                <c:pt idx="84">
                  <c:v>865.06940700201324</c:v>
                </c:pt>
                <c:pt idx="85">
                  <c:v>843.56364387297231</c:v>
                </c:pt>
                <c:pt idx="86">
                  <c:v>865.06940700201324</c:v>
                </c:pt>
                <c:pt idx="87">
                  <c:v>887.12343682215885</c:v>
                </c:pt>
                <c:pt idx="88">
                  <c:v>865.06940700201324</c:v>
                </c:pt>
                <c:pt idx="89">
                  <c:v>887.12343682215885</c:v>
                </c:pt>
                <c:pt idx="90">
                  <c:v>909.73971081296986</c:v>
                </c:pt>
                <c:pt idx="91">
                  <c:v>932.93256279506886</c:v>
                </c:pt>
                <c:pt idx="92">
                  <c:v>909.73971081296975</c:v>
                </c:pt>
                <c:pt idx="93">
                  <c:v>887.12343682215874</c:v>
                </c:pt>
                <c:pt idx="94">
                  <c:v>909.73971081296975</c:v>
                </c:pt>
                <c:pt idx="95">
                  <c:v>887.12343682215874</c:v>
                </c:pt>
                <c:pt idx="96">
                  <c:v>909.73971081296975</c:v>
                </c:pt>
                <c:pt idx="97">
                  <c:v>932.93256279506875</c:v>
                </c:pt>
                <c:pt idx="98">
                  <c:v>909.73971081296975</c:v>
                </c:pt>
                <c:pt idx="99">
                  <c:v>932.93256279506875</c:v>
                </c:pt>
                <c:pt idx="100">
                  <c:v>909.73971081296975</c:v>
                </c:pt>
                <c:pt idx="101">
                  <c:v>932.93256279506875</c:v>
                </c:pt>
              </c:numCache>
            </c:numRef>
          </c:yVal>
          <c:smooth val="1"/>
        </c:ser>
        <c:ser>
          <c:idx val="42"/>
          <c:order val="41"/>
          <c:yVal>
            <c:numRef>
              <c:f>MCarlo_ar!$AS$15:$AS$116</c:f>
              <c:numCache>
                <c:formatCode>General</c:formatCode>
                <c:ptCount val="102"/>
                <c:pt idx="0">
                  <c:v>42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1199.9999999999995</c:v>
                </c:pt>
                <c:pt idx="16">
                  <c:v>1230.5927311380608</c:v>
                </c:pt>
                <c:pt idx="17">
                  <c:v>1199.9999999999995</c:v>
                </c:pt>
                <c:pt idx="18">
                  <c:v>1230.5927311380608</c:v>
                </c:pt>
                <c:pt idx="19">
                  <c:v>1199.9999999999995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1261.9653916081936</c:v>
                </c:pt>
                <c:pt idx="24">
                  <c:v>1294.1378648840334</c:v>
                </c:pt>
                <c:pt idx="25">
                  <c:v>1261.9653916081936</c:v>
                </c:pt>
                <c:pt idx="26">
                  <c:v>1230.5927311380608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1294.1378648840334</c:v>
                </c:pt>
                <c:pt idx="33">
                  <c:v>1327.1305413473517</c:v>
                </c:pt>
                <c:pt idx="34">
                  <c:v>1294.1378648840334</c:v>
                </c:pt>
                <c:pt idx="35">
                  <c:v>1327.1305413473517</c:v>
                </c:pt>
                <c:pt idx="36">
                  <c:v>1360.9643312111427</c:v>
                </c:pt>
                <c:pt idx="37">
                  <c:v>1395.6606777721711</c:v>
                </c:pt>
                <c:pt idx="38">
                  <c:v>1360.9643312111427</c:v>
                </c:pt>
                <c:pt idx="39">
                  <c:v>1395.6606777721711</c:v>
                </c:pt>
                <c:pt idx="40">
                  <c:v>1360.9643312111427</c:v>
                </c:pt>
                <c:pt idx="41">
                  <c:v>1395.6606777721711</c:v>
                </c:pt>
                <c:pt idx="42">
                  <c:v>1360.9643312111427</c:v>
                </c:pt>
                <c:pt idx="43">
                  <c:v>1327.1305413473517</c:v>
                </c:pt>
                <c:pt idx="44">
                  <c:v>1294.1378648840334</c:v>
                </c:pt>
                <c:pt idx="45">
                  <c:v>1327.1305413473517</c:v>
                </c:pt>
                <c:pt idx="46">
                  <c:v>1294.1378648840334</c:v>
                </c:pt>
                <c:pt idx="47">
                  <c:v>1261.9653916081936</c:v>
                </c:pt>
                <c:pt idx="48">
                  <c:v>1230.5927311380608</c:v>
                </c:pt>
                <c:pt idx="49">
                  <c:v>1261.9653916081936</c:v>
                </c:pt>
                <c:pt idx="50">
                  <c:v>1230.5927311380608</c:v>
                </c:pt>
                <c:pt idx="51">
                  <c:v>1261.9653916081936</c:v>
                </c:pt>
                <c:pt idx="52">
                  <c:v>1230.5927311380608</c:v>
                </c:pt>
                <c:pt idx="53">
                  <c:v>1261.9653916081936</c:v>
                </c:pt>
                <c:pt idx="54">
                  <c:v>1230.5927311380608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1294.1378648840334</c:v>
                </c:pt>
                <c:pt idx="65">
                  <c:v>1261.9653916081936</c:v>
                </c:pt>
                <c:pt idx="66">
                  <c:v>1230.5927311380608</c:v>
                </c:pt>
                <c:pt idx="67">
                  <c:v>1199.9999999999995</c:v>
                </c:pt>
                <c:pt idx="68">
                  <c:v>1170.167809026693</c:v>
                </c:pt>
                <c:pt idx="69">
                  <c:v>1199.9999999999995</c:v>
                </c:pt>
                <c:pt idx="70">
                  <c:v>1230.5927311380608</c:v>
                </c:pt>
                <c:pt idx="71">
                  <c:v>1199.9999999999995</c:v>
                </c:pt>
                <c:pt idx="72">
                  <c:v>1170.167809026693</c:v>
                </c:pt>
                <c:pt idx="73">
                  <c:v>1199.9999999999995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1230.5927311380608</c:v>
                </c:pt>
                <c:pt idx="77">
                  <c:v>1199.9999999999995</c:v>
                </c:pt>
                <c:pt idx="78">
                  <c:v>1230.5927311380608</c:v>
                </c:pt>
                <c:pt idx="79">
                  <c:v>1199.9999999999995</c:v>
                </c:pt>
                <c:pt idx="80">
                  <c:v>1170.167809026693</c:v>
                </c:pt>
                <c:pt idx="81">
                  <c:v>1141.0772510686097</c:v>
                </c:pt>
                <c:pt idx="82">
                  <c:v>1170.167809026693</c:v>
                </c:pt>
                <c:pt idx="83">
                  <c:v>1199.9999999999995</c:v>
                </c:pt>
                <c:pt idx="84">
                  <c:v>1230.5927311380608</c:v>
                </c:pt>
                <c:pt idx="85">
                  <c:v>1199.9999999999995</c:v>
                </c:pt>
                <c:pt idx="86">
                  <c:v>1170.167809026693</c:v>
                </c:pt>
                <c:pt idx="87">
                  <c:v>1199.9999999999995</c:v>
                </c:pt>
                <c:pt idx="88">
                  <c:v>1230.5927311380608</c:v>
                </c:pt>
                <c:pt idx="89">
                  <c:v>1261.9653916081936</c:v>
                </c:pt>
                <c:pt idx="90">
                  <c:v>1294.1378648840334</c:v>
                </c:pt>
                <c:pt idx="91">
                  <c:v>1327.1305413473517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1294.1378648840334</c:v>
                </c:pt>
                <c:pt idx="95">
                  <c:v>1327.1305413473517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1294.1378648840334</c:v>
                </c:pt>
                <c:pt idx="99">
                  <c:v>1327.1305413473517</c:v>
                </c:pt>
                <c:pt idx="100">
                  <c:v>1294.1378648840334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43"/>
          <c:order val="42"/>
          <c:yVal>
            <c:numRef>
              <c:f>MCarlo_ar!$AT$15:$AT$116</c:f>
              <c:numCache>
                <c:formatCode>General</c:formatCode>
                <c:ptCount val="102"/>
                <c:pt idx="0">
                  <c:v>43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1170.1678090266932</c:v>
                </c:pt>
                <c:pt idx="9">
                  <c:v>1141.0772510686097</c:v>
                </c:pt>
                <c:pt idx="10">
                  <c:v>1170.167809026693</c:v>
                </c:pt>
                <c:pt idx="11">
                  <c:v>1199.9999999999995</c:v>
                </c:pt>
                <c:pt idx="12">
                  <c:v>1230.5927311380608</c:v>
                </c:pt>
                <c:pt idx="13">
                  <c:v>1261.9653916081936</c:v>
                </c:pt>
                <c:pt idx="14">
                  <c:v>1294.1378648840334</c:v>
                </c:pt>
                <c:pt idx="15">
                  <c:v>1327.1305413473517</c:v>
                </c:pt>
                <c:pt idx="16">
                  <c:v>1294.1378648840334</c:v>
                </c:pt>
                <c:pt idx="17">
                  <c:v>1261.9653916081936</c:v>
                </c:pt>
                <c:pt idx="18">
                  <c:v>1230.5927311380608</c:v>
                </c:pt>
                <c:pt idx="19">
                  <c:v>1261.9653916081936</c:v>
                </c:pt>
                <c:pt idx="20">
                  <c:v>1230.5927311380608</c:v>
                </c:pt>
                <c:pt idx="21">
                  <c:v>1261.9653916081936</c:v>
                </c:pt>
                <c:pt idx="22">
                  <c:v>1294.1378648840334</c:v>
                </c:pt>
                <c:pt idx="23">
                  <c:v>1261.9653916081936</c:v>
                </c:pt>
                <c:pt idx="24">
                  <c:v>1294.1378648840334</c:v>
                </c:pt>
                <c:pt idx="25">
                  <c:v>1261.9653916081936</c:v>
                </c:pt>
                <c:pt idx="26">
                  <c:v>1230.5927311380608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1261.9653916081936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1294.1378648840334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1199.9999999999995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1294.1378648840334</c:v>
                </c:pt>
                <c:pt idx="45">
                  <c:v>1261.9653916081936</c:v>
                </c:pt>
                <c:pt idx="46">
                  <c:v>1230.5927311380608</c:v>
                </c:pt>
                <c:pt idx="47">
                  <c:v>1199.9999999999995</c:v>
                </c:pt>
                <c:pt idx="48">
                  <c:v>1170.167809026693</c:v>
                </c:pt>
                <c:pt idx="49">
                  <c:v>1141.0772510686097</c:v>
                </c:pt>
                <c:pt idx="50">
                  <c:v>1112.7098890109644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1141.0772510686097</c:v>
                </c:pt>
                <c:pt idx="54">
                  <c:v>1170.167809026693</c:v>
                </c:pt>
                <c:pt idx="55">
                  <c:v>1199.9999999999995</c:v>
                </c:pt>
                <c:pt idx="56">
                  <c:v>1230.5927311380608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1230.5927311380608</c:v>
                </c:pt>
                <c:pt idx="61">
                  <c:v>1199.9999999999995</c:v>
                </c:pt>
                <c:pt idx="62">
                  <c:v>1170.167809026693</c:v>
                </c:pt>
                <c:pt idx="63">
                  <c:v>1141.0772510686097</c:v>
                </c:pt>
                <c:pt idx="64">
                  <c:v>1170.167809026693</c:v>
                </c:pt>
                <c:pt idx="65">
                  <c:v>1199.9999999999995</c:v>
                </c:pt>
                <c:pt idx="66">
                  <c:v>1170.167809026693</c:v>
                </c:pt>
                <c:pt idx="67">
                  <c:v>1141.0772510686097</c:v>
                </c:pt>
                <c:pt idx="68">
                  <c:v>1170.167809026693</c:v>
                </c:pt>
                <c:pt idx="69">
                  <c:v>1199.9999999999995</c:v>
                </c:pt>
                <c:pt idx="70">
                  <c:v>1170.167809026693</c:v>
                </c:pt>
                <c:pt idx="71">
                  <c:v>1141.0772510686097</c:v>
                </c:pt>
                <c:pt idx="72">
                  <c:v>1112.7098890109644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1141.0772510686097</c:v>
                </c:pt>
                <c:pt idx="76">
                  <c:v>1112.7098890109644</c:v>
                </c:pt>
                <c:pt idx="77">
                  <c:v>1085.0477440885795</c:v>
                </c:pt>
                <c:pt idx="78">
                  <c:v>1058.0732844912411</c:v>
                </c:pt>
                <c:pt idx="79">
                  <c:v>1031.7694142523274</c:v>
                </c:pt>
                <c:pt idx="80">
                  <c:v>1058.0732844912411</c:v>
                </c:pt>
                <c:pt idx="81">
                  <c:v>1085.0477440885795</c:v>
                </c:pt>
                <c:pt idx="82">
                  <c:v>1058.0732844912411</c:v>
                </c:pt>
                <c:pt idx="83">
                  <c:v>1031.7694142523274</c:v>
                </c:pt>
                <c:pt idx="84">
                  <c:v>1058.0732844912411</c:v>
                </c:pt>
                <c:pt idx="85">
                  <c:v>1031.7694142523274</c:v>
                </c:pt>
                <c:pt idx="86">
                  <c:v>1006.1194624136672</c:v>
                </c:pt>
                <c:pt idx="87">
                  <c:v>1031.7694142523274</c:v>
                </c:pt>
                <c:pt idx="88">
                  <c:v>1006.1194624136672</c:v>
                </c:pt>
                <c:pt idx="89">
                  <c:v>1031.7694142523274</c:v>
                </c:pt>
                <c:pt idx="90">
                  <c:v>1006.1194624136672</c:v>
                </c:pt>
                <c:pt idx="91">
                  <c:v>1031.7694142523274</c:v>
                </c:pt>
                <c:pt idx="92">
                  <c:v>1006.1194624136672</c:v>
                </c:pt>
                <c:pt idx="93">
                  <c:v>981.10717245976286</c:v>
                </c:pt>
                <c:pt idx="94">
                  <c:v>1006.1194624136671</c:v>
                </c:pt>
                <c:pt idx="95">
                  <c:v>1031.7694142523271</c:v>
                </c:pt>
                <c:pt idx="96">
                  <c:v>1006.119462413667</c:v>
                </c:pt>
                <c:pt idx="97">
                  <c:v>1031.7694142523271</c:v>
                </c:pt>
                <c:pt idx="98">
                  <c:v>1058.0732844912409</c:v>
                </c:pt>
                <c:pt idx="99">
                  <c:v>1085.0477440885793</c:v>
                </c:pt>
                <c:pt idx="100">
                  <c:v>1112.7098890109642</c:v>
                </c:pt>
                <c:pt idx="101">
                  <c:v>1085.0477440885793</c:v>
                </c:pt>
              </c:numCache>
            </c:numRef>
          </c:yVal>
          <c:smooth val="1"/>
        </c:ser>
        <c:ser>
          <c:idx val="44"/>
          <c:order val="43"/>
          <c:yVal>
            <c:numRef>
              <c:f>MCarlo_ar!$AU$15:$AU$116</c:f>
              <c:numCache>
                <c:formatCode>General</c:formatCode>
                <c:ptCount val="102"/>
                <c:pt idx="0">
                  <c:v>44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1141.0772510686099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1031.7694142523274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1085.0477440885795</c:v>
                </c:pt>
                <c:pt idx="22">
                  <c:v>1112.7098890109644</c:v>
                </c:pt>
                <c:pt idx="23">
                  <c:v>1085.0477440885795</c:v>
                </c:pt>
                <c:pt idx="24">
                  <c:v>1058.0732844912411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1058.0732844912411</c:v>
                </c:pt>
                <c:pt idx="29">
                  <c:v>1031.7694142523274</c:v>
                </c:pt>
                <c:pt idx="30">
                  <c:v>1006.1194624136672</c:v>
                </c:pt>
                <c:pt idx="31">
                  <c:v>1031.7694142523274</c:v>
                </c:pt>
                <c:pt idx="32">
                  <c:v>1006.1194624136672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1058.0732844912411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1006.1194624136672</c:v>
                </c:pt>
                <c:pt idx="41">
                  <c:v>981.10717245976286</c:v>
                </c:pt>
                <c:pt idx="42">
                  <c:v>956.7166920146791</c:v>
                </c:pt>
                <c:pt idx="43">
                  <c:v>932.93256279506897</c:v>
                </c:pt>
                <c:pt idx="44">
                  <c:v>956.71669201467898</c:v>
                </c:pt>
                <c:pt idx="45">
                  <c:v>932.93256279506886</c:v>
                </c:pt>
                <c:pt idx="46">
                  <c:v>956.71669201467887</c:v>
                </c:pt>
                <c:pt idx="47">
                  <c:v>932.93256279506875</c:v>
                </c:pt>
                <c:pt idx="48">
                  <c:v>909.73971081296975</c:v>
                </c:pt>
                <c:pt idx="49">
                  <c:v>887.12343682215874</c:v>
                </c:pt>
                <c:pt idx="50">
                  <c:v>865.06940700201312</c:v>
                </c:pt>
                <c:pt idx="51">
                  <c:v>843.56364387297219</c:v>
                </c:pt>
                <c:pt idx="52">
                  <c:v>822.59251743784137</c:v>
                </c:pt>
                <c:pt idx="53">
                  <c:v>843.56364387297208</c:v>
                </c:pt>
                <c:pt idx="54">
                  <c:v>822.59251743784137</c:v>
                </c:pt>
                <c:pt idx="55">
                  <c:v>843.56364387297208</c:v>
                </c:pt>
                <c:pt idx="56">
                  <c:v>822.59251743784137</c:v>
                </c:pt>
                <c:pt idx="57">
                  <c:v>802.14273654332578</c:v>
                </c:pt>
                <c:pt idx="58">
                  <c:v>822.59251743784137</c:v>
                </c:pt>
                <c:pt idx="59">
                  <c:v>802.14273654332578</c:v>
                </c:pt>
                <c:pt idx="60">
                  <c:v>822.59251743784137</c:v>
                </c:pt>
                <c:pt idx="61">
                  <c:v>802.14273654332578</c:v>
                </c:pt>
                <c:pt idx="62">
                  <c:v>822.59251743784137</c:v>
                </c:pt>
                <c:pt idx="63">
                  <c:v>843.56364387297208</c:v>
                </c:pt>
                <c:pt idx="64">
                  <c:v>865.06940700201301</c:v>
                </c:pt>
                <c:pt idx="65">
                  <c:v>887.12343682215862</c:v>
                </c:pt>
                <c:pt idx="66">
                  <c:v>865.06940700201301</c:v>
                </c:pt>
                <c:pt idx="67">
                  <c:v>887.12343682215862</c:v>
                </c:pt>
                <c:pt idx="68">
                  <c:v>909.73971081296963</c:v>
                </c:pt>
                <c:pt idx="69">
                  <c:v>887.12343682215862</c:v>
                </c:pt>
                <c:pt idx="70">
                  <c:v>865.06940700201301</c:v>
                </c:pt>
                <c:pt idx="71">
                  <c:v>843.56364387297208</c:v>
                </c:pt>
                <c:pt idx="72">
                  <c:v>822.59251743784137</c:v>
                </c:pt>
                <c:pt idx="73">
                  <c:v>843.56364387297208</c:v>
                </c:pt>
                <c:pt idx="74">
                  <c:v>865.06940700201301</c:v>
                </c:pt>
                <c:pt idx="75">
                  <c:v>843.56364387297208</c:v>
                </c:pt>
                <c:pt idx="76">
                  <c:v>822.59251743784137</c:v>
                </c:pt>
                <c:pt idx="77">
                  <c:v>843.56364387297208</c:v>
                </c:pt>
                <c:pt idx="78">
                  <c:v>865.06940700201301</c:v>
                </c:pt>
                <c:pt idx="79">
                  <c:v>887.12343682215862</c:v>
                </c:pt>
                <c:pt idx="80">
                  <c:v>865.06940700201301</c:v>
                </c:pt>
                <c:pt idx="81">
                  <c:v>843.56364387297208</c:v>
                </c:pt>
                <c:pt idx="82">
                  <c:v>822.59251743784137</c:v>
                </c:pt>
                <c:pt idx="83">
                  <c:v>802.14273654332578</c:v>
                </c:pt>
                <c:pt idx="84">
                  <c:v>782.20134045631642</c:v>
                </c:pt>
                <c:pt idx="85">
                  <c:v>762.755690649592</c:v>
                </c:pt>
                <c:pt idx="86">
                  <c:v>782.20134045631642</c:v>
                </c:pt>
                <c:pt idx="87">
                  <c:v>762.755690649592</c:v>
                </c:pt>
                <c:pt idx="88">
                  <c:v>782.20134045631642</c:v>
                </c:pt>
                <c:pt idx="89">
                  <c:v>802.14273654332578</c:v>
                </c:pt>
                <c:pt idx="90">
                  <c:v>822.59251743784137</c:v>
                </c:pt>
                <c:pt idx="91">
                  <c:v>843.56364387297208</c:v>
                </c:pt>
                <c:pt idx="92">
                  <c:v>865.06940700201301</c:v>
                </c:pt>
                <c:pt idx="93">
                  <c:v>887.12343682215862</c:v>
                </c:pt>
                <c:pt idx="94">
                  <c:v>909.73971081296963</c:v>
                </c:pt>
                <c:pt idx="95">
                  <c:v>887.12343682215862</c:v>
                </c:pt>
                <c:pt idx="96">
                  <c:v>865.06940700201301</c:v>
                </c:pt>
                <c:pt idx="97">
                  <c:v>887.12343682215862</c:v>
                </c:pt>
                <c:pt idx="98">
                  <c:v>909.73971081296963</c:v>
                </c:pt>
                <c:pt idx="99">
                  <c:v>887.12343682215862</c:v>
                </c:pt>
                <c:pt idx="100">
                  <c:v>909.73971081296963</c:v>
                </c:pt>
                <c:pt idx="101">
                  <c:v>887.12343682215862</c:v>
                </c:pt>
              </c:numCache>
            </c:numRef>
          </c:yVal>
          <c:smooth val="1"/>
        </c:ser>
        <c:ser>
          <c:idx val="45"/>
          <c:order val="44"/>
          <c:yVal>
            <c:numRef>
              <c:f>MCarlo_ar!$AV$15:$AV$116</c:f>
              <c:numCache>
                <c:formatCode>General</c:formatCode>
                <c:ptCount val="102"/>
                <c:pt idx="0">
                  <c:v>45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1170.1678090266935</c:v>
                </c:pt>
                <c:pt idx="17">
                  <c:v>1141.0772510686099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1112.7098890109644</c:v>
                </c:pt>
                <c:pt idx="21">
                  <c:v>1141.0772510686097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1141.0772510686097</c:v>
                </c:pt>
                <c:pt idx="42">
                  <c:v>1170.167809026693</c:v>
                </c:pt>
                <c:pt idx="43">
                  <c:v>1141.0772510686097</c:v>
                </c:pt>
                <c:pt idx="44">
                  <c:v>1112.7098890109644</c:v>
                </c:pt>
                <c:pt idx="45">
                  <c:v>1085.0477440885795</c:v>
                </c:pt>
                <c:pt idx="46">
                  <c:v>1058.0732844912411</c:v>
                </c:pt>
                <c:pt idx="47">
                  <c:v>1031.7694142523274</c:v>
                </c:pt>
                <c:pt idx="48">
                  <c:v>1058.0732844912411</c:v>
                </c:pt>
                <c:pt idx="49">
                  <c:v>1085.0477440885795</c:v>
                </c:pt>
                <c:pt idx="50">
                  <c:v>1058.0732844912411</c:v>
                </c:pt>
                <c:pt idx="51">
                  <c:v>1031.7694142523274</c:v>
                </c:pt>
                <c:pt idx="52">
                  <c:v>1006.1194624136672</c:v>
                </c:pt>
                <c:pt idx="53">
                  <c:v>981.10717245976286</c:v>
                </c:pt>
                <c:pt idx="54">
                  <c:v>1006.1194624136671</c:v>
                </c:pt>
                <c:pt idx="55">
                  <c:v>981.10717245976275</c:v>
                </c:pt>
                <c:pt idx="56">
                  <c:v>956.71669201467898</c:v>
                </c:pt>
                <c:pt idx="57">
                  <c:v>981.10717245976275</c:v>
                </c:pt>
                <c:pt idx="58">
                  <c:v>956.71669201467898</c:v>
                </c:pt>
                <c:pt idx="59">
                  <c:v>981.10717245976275</c:v>
                </c:pt>
                <c:pt idx="60">
                  <c:v>1006.119462413667</c:v>
                </c:pt>
                <c:pt idx="61">
                  <c:v>1031.7694142523271</c:v>
                </c:pt>
                <c:pt idx="62">
                  <c:v>1058.0732844912409</c:v>
                </c:pt>
                <c:pt idx="63">
                  <c:v>1085.0477440885793</c:v>
                </c:pt>
                <c:pt idx="64">
                  <c:v>1112.7098890109642</c:v>
                </c:pt>
                <c:pt idx="65">
                  <c:v>1141.0772510686095</c:v>
                </c:pt>
                <c:pt idx="66">
                  <c:v>1112.7098890109642</c:v>
                </c:pt>
                <c:pt idx="67">
                  <c:v>1085.0477440885793</c:v>
                </c:pt>
                <c:pt idx="68">
                  <c:v>1112.7098890109642</c:v>
                </c:pt>
                <c:pt idx="69">
                  <c:v>1141.0772510686095</c:v>
                </c:pt>
                <c:pt idx="70">
                  <c:v>1170.1678090266928</c:v>
                </c:pt>
                <c:pt idx="71">
                  <c:v>1199.9999999999993</c:v>
                </c:pt>
                <c:pt idx="72">
                  <c:v>1170.1678090266928</c:v>
                </c:pt>
                <c:pt idx="73">
                  <c:v>1141.0772510686095</c:v>
                </c:pt>
                <c:pt idx="74">
                  <c:v>1112.7098890109642</c:v>
                </c:pt>
                <c:pt idx="75">
                  <c:v>1085.0477440885793</c:v>
                </c:pt>
                <c:pt idx="76">
                  <c:v>1112.7098890109642</c:v>
                </c:pt>
                <c:pt idx="77">
                  <c:v>1085.0477440885793</c:v>
                </c:pt>
                <c:pt idx="78">
                  <c:v>1112.7098890109642</c:v>
                </c:pt>
                <c:pt idx="79">
                  <c:v>1085.0477440885793</c:v>
                </c:pt>
                <c:pt idx="80">
                  <c:v>1058.0732844912409</c:v>
                </c:pt>
                <c:pt idx="81">
                  <c:v>1085.0477440885793</c:v>
                </c:pt>
                <c:pt idx="82">
                  <c:v>1058.0732844912409</c:v>
                </c:pt>
                <c:pt idx="83">
                  <c:v>1085.0477440885793</c:v>
                </c:pt>
                <c:pt idx="84">
                  <c:v>1112.7098890109642</c:v>
                </c:pt>
                <c:pt idx="85">
                  <c:v>1141.0772510686095</c:v>
                </c:pt>
                <c:pt idx="86">
                  <c:v>1170.1678090266928</c:v>
                </c:pt>
                <c:pt idx="87">
                  <c:v>1141.0772510686095</c:v>
                </c:pt>
                <c:pt idx="88">
                  <c:v>1170.1678090266928</c:v>
                </c:pt>
                <c:pt idx="89">
                  <c:v>1199.9999999999993</c:v>
                </c:pt>
                <c:pt idx="90">
                  <c:v>1170.1678090266928</c:v>
                </c:pt>
                <c:pt idx="91">
                  <c:v>1141.0772510686095</c:v>
                </c:pt>
                <c:pt idx="92">
                  <c:v>1112.7098890109642</c:v>
                </c:pt>
                <c:pt idx="93">
                  <c:v>1141.0772510686095</c:v>
                </c:pt>
                <c:pt idx="94">
                  <c:v>1170.1678090266928</c:v>
                </c:pt>
                <c:pt idx="95">
                  <c:v>1141.0772510686095</c:v>
                </c:pt>
                <c:pt idx="96">
                  <c:v>1170.1678090266928</c:v>
                </c:pt>
                <c:pt idx="97">
                  <c:v>1199.9999999999993</c:v>
                </c:pt>
                <c:pt idx="98">
                  <c:v>1230.5927311380606</c:v>
                </c:pt>
                <c:pt idx="99">
                  <c:v>1199.9999999999993</c:v>
                </c:pt>
                <c:pt idx="100">
                  <c:v>1170.1678090266928</c:v>
                </c:pt>
                <c:pt idx="101">
                  <c:v>1141.0772510686095</c:v>
                </c:pt>
              </c:numCache>
            </c:numRef>
          </c:yVal>
          <c:smooth val="1"/>
        </c:ser>
        <c:ser>
          <c:idx val="46"/>
          <c:order val="45"/>
          <c:yVal>
            <c:numRef>
              <c:f>MCarlo_ar!$AW$15:$AW$116</c:f>
              <c:numCache>
                <c:formatCode>General</c:formatCode>
                <c:ptCount val="102"/>
                <c:pt idx="0">
                  <c:v>46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1170.167809026693</c:v>
                </c:pt>
                <c:pt idx="7">
                  <c:v>1199.9999999999995</c:v>
                </c:pt>
                <c:pt idx="8">
                  <c:v>1170.167809026693</c:v>
                </c:pt>
                <c:pt idx="9">
                  <c:v>1199.9999999999995</c:v>
                </c:pt>
                <c:pt idx="10">
                  <c:v>1230.5927311380608</c:v>
                </c:pt>
                <c:pt idx="11">
                  <c:v>1199.9999999999995</c:v>
                </c:pt>
                <c:pt idx="12">
                  <c:v>1230.5927311380608</c:v>
                </c:pt>
                <c:pt idx="13">
                  <c:v>1199.9999999999995</c:v>
                </c:pt>
                <c:pt idx="14">
                  <c:v>1230.5927311380608</c:v>
                </c:pt>
                <c:pt idx="15">
                  <c:v>1261.9653916081936</c:v>
                </c:pt>
                <c:pt idx="16">
                  <c:v>1294.1378648840334</c:v>
                </c:pt>
                <c:pt idx="17">
                  <c:v>1261.9653916081936</c:v>
                </c:pt>
                <c:pt idx="18">
                  <c:v>1230.5927311380608</c:v>
                </c:pt>
                <c:pt idx="19">
                  <c:v>1261.9653916081936</c:v>
                </c:pt>
                <c:pt idx="20">
                  <c:v>1294.1378648840334</c:v>
                </c:pt>
                <c:pt idx="21">
                  <c:v>1327.1305413473517</c:v>
                </c:pt>
                <c:pt idx="22">
                  <c:v>1360.9643312111427</c:v>
                </c:pt>
                <c:pt idx="23">
                  <c:v>1395.6606777721711</c:v>
                </c:pt>
                <c:pt idx="24">
                  <c:v>1360.9643312111427</c:v>
                </c:pt>
                <c:pt idx="25">
                  <c:v>1395.6606777721711</c:v>
                </c:pt>
                <c:pt idx="26">
                  <c:v>1360.9643312111427</c:v>
                </c:pt>
                <c:pt idx="27">
                  <c:v>1327.1305413473517</c:v>
                </c:pt>
                <c:pt idx="28">
                  <c:v>1294.1378648840334</c:v>
                </c:pt>
                <c:pt idx="29">
                  <c:v>1327.1305413473517</c:v>
                </c:pt>
                <c:pt idx="30">
                  <c:v>1360.9643312111427</c:v>
                </c:pt>
                <c:pt idx="31">
                  <c:v>1395.6606777721711</c:v>
                </c:pt>
                <c:pt idx="32">
                  <c:v>1431.2415710013781</c:v>
                </c:pt>
                <c:pt idx="33">
                  <c:v>1467.7295614807629</c:v>
                </c:pt>
                <c:pt idx="34">
                  <c:v>1431.2415710013781</c:v>
                </c:pt>
                <c:pt idx="35">
                  <c:v>1395.6606777721711</c:v>
                </c:pt>
                <c:pt idx="36">
                  <c:v>1360.9643312111427</c:v>
                </c:pt>
                <c:pt idx="37">
                  <c:v>1395.6606777721711</c:v>
                </c:pt>
                <c:pt idx="38">
                  <c:v>1431.2415710013781</c:v>
                </c:pt>
                <c:pt idx="39">
                  <c:v>1467.7295614807629</c:v>
                </c:pt>
                <c:pt idx="40">
                  <c:v>1431.2415710013781</c:v>
                </c:pt>
                <c:pt idx="41">
                  <c:v>1467.7295614807629</c:v>
                </c:pt>
                <c:pt idx="42">
                  <c:v>1431.2415710013781</c:v>
                </c:pt>
                <c:pt idx="43">
                  <c:v>1467.7295614807629</c:v>
                </c:pt>
                <c:pt idx="44">
                  <c:v>1431.2415710013781</c:v>
                </c:pt>
                <c:pt idx="45">
                  <c:v>1395.6606777721711</c:v>
                </c:pt>
                <c:pt idx="46">
                  <c:v>1431.2415710013781</c:v>
                </c:pt>
                <c:pt idx="47">
                  <c:v>1467.7295614807629</c:v>
                </c:pt>
                <c:pt idx="48">
                  <c:v>1505.1477746955675</c:v>
                </c:pt>
                <c:pt idx="49">
                  <c:v>1467.7295614807629</c:v>
                </c:pt>
                <c:pt idx="50">
                  <c:v>1505.1477746955675</c:v>
                </c:pt>
                <c:pt idx="51">
                  <c:v>1467.7295614807629</c:v>
                </c:pt>
                <c:pt idx="52">
                  <c:v>1431.2415710013781</c:v>
                </c:pt>
                <c:pt idx="53">
                  <c:v>1395.6606777721711</c:v>
                </c:pt>
                <c:pt idx="54">
                  <c:v>1431.2415710013781</c:v>
                </c:pt>
                <c:pt idx="55">
                  <c:v>1467.7295614807629</c:v>
                </c:pt>
                <c:pt idx="56">
                  <c:v>1431.2415710013781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1467.7295614807629</c:v>
                </c:pt>
                <c:pt idx="60">
                  <c:v>1431.2415710013781</c:v>
                </c:pt>
                <c:pt idx="61">
                  <c:v>1467.7295614807629</c:v>
                </c:pt>
                <c:pt idx="62">
                  <c:v>1431.2415710013781</c:v>
                </c:pt>
                <c:pt idx="63">
                  <c:v>1395.6606777721711</c:v>
                </c:pt>
                <c:pt idx="64">
                  <c:v>1360.9643312111427</c:v>
                </c:pt>
                <c:pt idx="65">
                  <c:v>1395.6606777721711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1431.2415710013781</c:v>
                </c:pt>
                <c:pt idx="71">
                  <c:v>1395.6606777721711</c:v>
                </c:pt>
                <c:pt idx="72">
                  <c:v>1360.9643312111427</c:v>
                </c:pt>
                <c:pt idx="73">
                  <c:v>1395.6606777721711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1327.1305413473517</c:v>
                </c:pt>
                <c:pt idx="78">
                  <c:v>1294.1378648840334</c:v>
                </c:pt>
                <c:pt idx="79">
                  <c:v>1261.9653916081936</c:v>
                </c:pt>
                <c:pt idx="80">
                  <c:v>1230.5927311380608</c:v>
                </c:pt>
                <c:pt idx="81">
                  <c:v>1261.9653916081936</c:v>
                </c:pt>
                <c:pt idx="82">
                  <c:v>1294.1378648840334</c:v>
                </c:pt>
                <c:pt idx="83">
                  <c:v>1327.1305413473517</c:v>
                </c:pt>
                <c:pt idx="84">
                  <c:v>1294.1378648840334</c:v>
                </c:pt>
                <c:pt idx="85">
                  <c:v>1327.1305413473517</c:v>
                </c:pt>
                <c:pt idx="86">
                  <c:v>1360.9643312111427</c:v>
                </c:pt>
                <c:pt idx="87">
                  <c:v>1327.1305413473517</c:v>
                </c:pt>
                <c:pt idx="88">
                  <c:v>1360.9643312111427</c:v>
                </c:pt>
                <c:pt idx="89">
                  <c:v>1327.1305413473517</c:v>
                </c:pt>
                <c:pt idx="90">
                  <c:v>1360.9643312111427</c:v>
                </c:pt>
                <c:pt idx="91">
                  <c:v>1395.6606777721711</c:v>
                </c:pt>
                <c:pt idx="92">
                  <c:v>1360.9643312111427</c:v>
                </c:pt>
                <c:pt idx="93">
                  <c:v>1395.6606777721711</c:v>
                </c:pt>
                <c:pt idx="94">
                  <c:v>1431.2415710013781</c:v>
                </c:pt>
                <c:pt idx="95">
                  <c:v>1395.6606777721711</c:v>
                </c:pt>
                <c:pt idx="96">
                  <c:v>1360.9643312111427</c:v>
                </c:pt>
                <c:pt idx="97">
                  <c:v>1395.6606777721711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1360.9643312111427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47"/>
          <c:order val="46"/>
          <c:yVal>
            <c:numRef>
              <c:f>MCarlo_ar!$AX$15:$AX$116</c:f>
              <c:numCache>
                <c:formatCode>General</c:formatCode>
                <c:ptCount val="102"/>
                <c:pt idx="0">
                  <c:v>47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1141.0772510686099</c:v>
                </c:pt>
                <c:pt idx="22">
                  <c:v>1170.1678090266932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1058.0732844912411</c:v>
                </c:pt>
                <c:pt idx="31">
                  <c:v>1031.7694142523274</c:v>
                </c:pt>
                <c:pt idx="32">
                  <c:v>1006.1194624136672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1058.0732844912411</c:v>
                </c:pt>
                <c:pt idx="47">
                  <c:v>1085.0477440885795</c:v>
                </c:pt>
                <c:pt idx="48">
                  <c:v>1058.0732844912411</c:v>
                </c:pt>
                <c:pt idx="49">
                  <c:v>1085.0477440885795</c:v>
                </c:pt>
                <c:pt idx="50">
                  <c:v>1112.7098890109644</c:v>
                </c:pt>
                <c:pt idx="51">
                  <c:v>1141.0772510686097</c:v>
                </c:pt>
                <c:pt idx="52">
                  <c:v>1170.167809026693</c:v>
                </c:pt>
                <c:pt idx="53">
                  <c:v>1199.9999999999995</c:v>
                </c:pt>
                <c:pt idx="54">
                  <c:v>1170.167809026693</c:v>
                </c:pt>
                <c:pt idx="55">
                  <c:v>1199.9999999999995</c:v>
                </c:pt>
                <c:pt idx="56">
                  <c:v>1230.5927311380608</c:v>
                </c:pt>
                <c:pt idx="57">
                  <c:v>1261.9653916081936</c:v>
                </c:pt>
                <c:pt idx="58">
                  <c:v>1230.5927311380608</c:v>
                </c:pt>
                <c:pt idx="59">
                  <c:v>1261.9653916081936</c:v>
                </c:pt>
                <c:pt idx="60">
                  <c:v>1294.1378648840334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1360.9643312111427</c:v>
                </c:pt>
                <c:pt idx="69">
                  <c:v>1327.1305413473517</c:v>
                </c:pt>
                <c:pt idx="70">
                  <c:v>1360.9643312111427</c:v>
                </c:pt>
                <c:pt idx="71">
                  <c:v>1395.6606777721711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1543.5199256908281</c:v>
                </c:pt>
                <c:pt idx="76">
                  <c:v>1505.1477746955675</c:v>
                </c:pt>
                <c:pt idx="77">
                  <c:v>1467.7295614807629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1431.2415710013781</c:v>
                </c:pt>
                <c:pt idx="81">
                  <c:v>1467.7295614807629</c:v>
                </c:pt>
                <c:pt idx="82">
                  <c:v>1431.2415710013781</c:v>
                </c:pt>
                <c:pt idx="83">
                  <c:v>1467.7295614807629</c:v>
                </c:pt>
                <c:pt idx="84">
                  <c:v>1505.1477746955675</c:v>
                </c:pt>
                <c:pt idx="85">
                  <c:v>1467.7295614807629</c:v>
                </c:pt>
                <c:pt idx="86">
                  <c:v>1431.2415710013781</c:v>
                </c:pt>
                <c:pt idx="87">
                  <c:v>1395.6606777721711</c:v>
                </c:pt>
                <c:pt idx="88">
                  <c:v>1431.2415710013781</c:v>
                </c:pt>
                <c:pt idx="89">
                  <c:v>1395.6606777721711</c:v>
                </c:pt>
                <c:pt idx="90">
                  <c:v>1360.9643312111427</c:v>
                </c:pt>
                <c:pt idx="91">
                  <c:v>1327.1305413473517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1294.1378648840334</c:v>
                </c:pt>
                <c:pt idx="95">
                  <c:v>1327.1305413473517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1360.9643312111427</c:v>
                </c:pt>
                <c:pt idx="99">
                  <c:v>1395.6606777721711</c:v>
                </c:pt>
                <c:pt idx="100">
                  <c:v>1360.9643312111427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48"/>
          <c:order val="47"/>
          <c:yVal>
            <c:numRef>
              <c:f>MCarlo_ar!$AY$15:$AY$116</c:f>
              <c:numCache>
                <c:formatCode>General</c:formatCode>
                <c:ptCount val="102"/>
                <c:pt idx="0">
                  <c:v>48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1085.0477440885795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1006.1194624136672</c:v>
                </c:pt>
                <c:pt idx="25">
                  <c:v>981.10717245976286</c:v>
                </c:pt>
                <c:pt idx="26">
                  <c:v>1006.1194624136671</c:v>
                </c:pt>
                <c:pt idx="27">
                  <c:v>981.10717245976275</c:v>
                </c:pt>
                <c:pt idx="28">
                  <c:v>1006.119462413667</c:v>
                </c:pt>
                <c:pt idx="29">
                  <c:v>1031.7694142523271</c:v>
                </c:pt>
                <c:pt idx="30">
                  <c:v>1006.119462413667</c:v>
                </c:pt>
                <c:pt idx="31">
                  <c:v>1031.7694142523271</c:v>
                </c:pt>
                <c:pt idx="32">
                  <c:v>1058.0732844912409</c:v>
                </c:pt>
                <c:pt idx="33">
                  <c:v>1085.0477440885793</c:v>
                </c:pt>
                <c:pt idx="34">
                  <c:v>1112.7098890109642</c:v>
                </c:pt>
                <c:pt idx="35">
                  <c:v>1085.0477440885793</c:v>
                </c:pt>
                <c:pt idx="36">
                  <c:v>1112.7098890109642</c:v>
                </c:pt>
                <c:pt idx="37">
                  <c:v>1141.0772510686095</c:v>
                </c:pt>
                <c:pt idx="38">
                  <c:v>1170.1678090266928</c:v>
                </c:pt>
                <c:pt idx="39">
                  <c:v>1141.0772510686095</c:v>
                </c:pt>
                <c:pt idx="40">
                  <c:v>1112.7098890109642</c:v>
                </c:pt>
                <c:pt idx="41">
                  <c:v>1085.0477440885793</c:v>
                </c:pt>
                <c:pt idx="42">
                  <c:v>1058.0732844912409</c:v>
                </c:pt>
                <c:pt idx="43">
                  <c:v>1085.0477440885793</c:v>
                </c:pt>
                <c:pt idx="44">
                  <c:v>1112.7098890109642</c:v>
                </c:pt>
                <c:pt idx="45">
                  <c:v>1141.0772510686095</c:v>
                </c:pt>
                <c:pt idx="46">
                  <c:v>1112.7098890109642</c:v>
                </c:pt>
                <c:pt idx="47">
                  <c:v>1085.0477440885793</c:v>
                </c:pt>
                <c:pt idx="48">
                  <c:v>1112.7098890109642</c:v>
                </c:pt>
                <c:pt idx="49">
                  <c:v>1085.0477440885793</c:v>
                </c:pt>
                <c:pt idx="50">
                  <c:v>1112.7098890109642</c:v>
                </c:pt>
                <c:pt idx="51">
                  <c:v>1085.0477440885793</c:v>
                </c:pt>
                <c:pt idx="52">
                  <c:v>1112.7098890109642</c:v>
                </c:pt>
                <c:pt idx="53">
                  <c:v>1141.0772510686095</c:v>
                </c:pt>
                <c:pt idx="54">
                  <c:v>1170.1678090266928</c:v>
                </c:pt>
                <c:pt idx="55">
                  <c:v>1141.0772510686095</c:v>
                </c:pt>
                <c:pt idx="56">
                  <c:v>1112.7098890109642</c:v>
                </c:pt>
                <c:pt idx="57">
                  <c:v>1141.0772510686095</c:v>
                </c:pt>
                <c:pt idx="58">
                  <c:v>1170.1678090266928</c:v>
                </c:pt>
                <c:pt idx="59">
                  <c:v>1199.9999999999993</c:v>
                </c:pt>
                <c:pt idx="60">
                  <c:v>1170.1678090266928</c:v>
                </c:pt>
                <c:pt idx="61">
                  <c:v>1199.9999999999993</c:v>
                </c:pt>
                <c:pt idx="62">
                  <c:v>1230.5927311380606</c:v>
                </c:pt>
                <c:pt idx="63">
                  <c:v>1261.9653916081934</c:v>
                </c:pt>
                <c:pt idx="64">
                  <c:v>1230.5927311380606</c:v>
                </c:pt>
                <c:pt idx="65">
                  <c:v>1199.9999999999993</c:v>
                </c:pt>
                <c:pt idx="66">
                  <c:v>1170.1678090266928</c:v>
                </c:pt>
                <c:pt idx="67">
                  <c:v>1141.0772510686095</c:v>
                </c:pt>
                <c:pt idx="68">
                  <c:v>1170.1678090266928</c:v>
                </c:pt>
                <c:pt idx="69">
                  <c:v>1199.9999999999993</c:v>
                </c:pt>
                <c:pt idx="70">
                  <c:v>1170.1678090266928</c:v>
                </c:pt>
                <c:pt idx="71">
                  <c:v>1199.9999999999993</c:v>
                </c:pt>
                <c:pt idx="72">
                  <c:v>1170.1678090266928</c:v>
                </c:pt>
                <c:pt idx="73">
                  <c:v>1141.0772510686095</c:v>
                </c:pt>
                <c:pt idx="74">
                  <c:v>1170.1678090266928</c:v>
                </c:pt>
                <c:pt idx="75">
                  <c:v>1199.9999999999993</c:v>
                </c:pt>
                <c:pt idx="76">
                  <c:v>1230.5927311380606</c:v>
                </c:pt>
                <c:pt idx="77">
                  <c:v>1261.9653916081934</c:v>
                </c:pt>
                <c:pt idx="78">
                  <c:v>1294.1378648840332</c:v>
                </c:pt>
                <c:pt idx="79">
                  <c:v>1327.1305413473515</c:v>
                </c:pt>
                <c:pt idx="80">
                  <c:v>1360.9643312111425</c:v>
                </c:pt>
                <c:pt idx="81">
                  <c:v>1327.1305413473515</c:v>
                </c:pt>
                <c:pt idx="82">
                  <c:v>1360.9643312111425</c:v>
                </c:pt>
                <c:pt idx="83">
                  <c:v>1327.1305413473515</c:v>
                </c:pt>
                <c:pt idx="84">
                  <c:v>1294.1378648840332</c:v>
                </c:pt>
                <c:pt idx="85">
                  <c:v>1327.1305413473515</c:v>
                </c:pt>
                <c:pt idx="86">
                  <c:v>1294.1378648840332</c:v>
                </c:pt>
                <c:pt idx="87">
                  <c:v>1261.9653916081934</c:v>
                </c:pt>
                <c:pt idx="88">
                  <c:v>1230.5927311380606</c:v>
                </c:pt>
                <c:pt idx="89">
                  <c:v>1199.9999999999993</c:v>
                </c:pt>
                <c:pt idx="90">
                  <c:v>1170.1678090266928</c:v>
                </c:pt>
                <c:pt idx="91">
                  <c:v>1199.9999999999993</c:v>
                </c:pt>
                <c:pt idx="92">
                  <c:v>1230.5927311380606</c:v>
                </c:pt>
                <c:pt idx="93">
                  <c:v>1261.9653916081934</c:v>
                </c:pt>
                <c:pt idx="94">
                  <c:v>1294.1378648840332</c:v>
                </c:pt>
                <c:pt idx="95">
                  <c:v>1261.9653916081934</c:v>
                </c:pt>
                <c:pt idx="96">
                  <c:v>1294.1378648840332</c:v>
                </c:pt>
                <c:pt idx="97">
                  <c:v>1261.9653916081934</c:v>
                </c:pt>
                <c:pt idx="98">
                  <c:v>1230.5927311380606</c:v>
                </c:pt>
                <c:pt idx="99">
                  <c:v>1199.9999999999993</c:v>
                </c:pt>
                <c:pt idx="100">
                  <c:v>1230.5927311380606</c:v>
                </c:pt>
                <c:pt idx="101">
                  <c:v>1261.9653916081934</c:v>
                </c:pt>
              </c:numCache>
            </c:numRef>
          </c:yVal>
          <c:smooth val="1"/>
        </c:ser>
        <c:ser>
          <c:idx val="49"/>
          <c:order val="48"/>
          <c:yVal>
            <c:numRef>
              <c:f>MCarlo_ar!$AZ$15:$AZ$116</c:f>
              <c:numCache>
                <c:formatCode>General</c:formatCode>
                <c:ptCount val="102"/>
                <c:pt idx="0">
                  <c:v>49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1261.9653916081941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1261.9653916081941</c:v>
                </c:pt>
                <c:pt idx="24">
                  <c:v>1230.5927311380613</c:v>
                </c:pt>
                <c:pt idx="25">
                  <c:v>1261.9653916081941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1230.5927311380613</c:v>
                </c:pt>
                <c:pt idx="29">
                  <c:v>1261.9653916081941</c:v>
                </c:pt>
                <c:pt idx="30">
                  <c:v>1294.1378648840339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1261.9653916081941</c:v>
                </c:pt>
                <c:pt idx="34">
                  <c:v>1294.1378648840339</c:v>
                </c:pt>
                <c:pt idx="35">
                  <c:v>1327.1305413473522</c:v>
                </c:pt>
                <c:pt idx="36">
                  <c:v>1360.9643312111432</c:v>
                </c:pt>
                <c:pt idx="37">
                  <c:v>1327.1305413473522</c:v>
                </c:pt>
                <c:pt idx="38">
                  <c:v>1360.9643312111432</c:v>
                </c:pt>
                <c:pt idx="39">
                  <c:v>1327.1305413473522</c:v>
                </c:pt>
                <c:pt idx="40">
                  <c:v>1360.9643312111432</c:v>
                </c:pt>
                <c:pt idx="41">
                  <c:v>1395.6606777721715</c:v>
                </c:pt>
                <c:pt idx="42">
                  <c:v>1431.2415710013786</c:v>
                </c:pt>
                <c:pt idx="43">
                  <c:v>1467.7295614807633</c:v>
                </c:pt>
                <c:pt idx="44">
                  <c:v>1505.1477746955679</c:v>
                </c:pt>
                <c:pt idx="45">
                  <c:v>1467.7295614807631</c:v>
                </c:pt>
                <c:pt idx="46">
                  <c:v>1431.2415710013784</c:v>
                </c:pt>
                <c:pt idx="47">
                  <c:v>1467.7295614807631</c:v>
                </c:pt>
                <c:pt idx="48">
                  <c:v>1505.1477746955677</c:v>
                </c:pt>
                <c:pt idx="49">
                  <c:v>1467.7295614807629</c:v>
                </c:pt>
                <c:pt idx="50">
                  <c:v>1431.2415710013781</c:v>
                </c:pt>
                <c:pt idx="51">
                  <c:v>1395.6606777721711</c:v>
                </c:pt>
                <c:pt idx="52">
                  <c:v>1431.2415710013781</c:v>
                </c:pt>
                <c:pt idx="53">
                  <c:v>1467.7295614807629</c:v>
                </c:pt>
                <c:pt idx="54">
                  <c:v>1431.2415710013781</c:v>
                </c:pt>
                <c:pt idx="55">
                  <c:v>1395.6606777721711</c:v>
                </c:pt>
                <c:pt idx="56">
                  <c:v>1431.2415710013781</c:v>
                </c:pt>
                <c:pt idx="57">
                  <c:v>1395.6606777721711</c:v>
                </c:pt>
                <c:pt idx="58">
                  <c:v>1360.9643312111427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1431.2415710013781</c:v>
                </c:pt>
                <c:pt idx="63">
                  <c:v>1467.7295614807629</c:v>
                </c:pt>
                <c:pt idx="64">
                  <c:v>1505.1477746955675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1395.6606777721711</c:v>
                </c:pt>
                <c:pt idx="70">
                  <c:v>1431.2415710013781</c:v>
                </c:pt>
                <c:pt idx="71">
                  <c:v>1395.6606777721711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1543.5199256908281</c:v>
                </c:pt>
                <c:pt idx="76">
                  <c:v>1582.870334101578</c:v>
                </c:pt>
                <c:pt idx="77">
                  <c:v>1623.2239395662305</c:v>
                </c:pt>
                <c:pt idx="78">
                  <c:v>1664.6063175329091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1707.0436954687445</c:v>
                </c:pt>
                <c:pt idx="82">
                  <c:v>1664.6063175329091</c:v>
                </c:pt>
                <c:pt idx="83">
                  <c:v>1707.0436954687445</c:v>
                </c:pt>
                <c:pt idx="84">
                  <c:v>1750.5629694824095</c:v>
                </c:pt>
                <c:pt idx="85">
                  <c:v>1707.0436954687445</c:v>
                </c:pt>
                <c:pt idx="86">
                  <c:v>1750.5629694824095</c:v>
                </c:pt>
                <c:pt idx="87">
                  <c:v>1707.0436954687445</c:v>
                </c:pt>
                <c:pt idx="88">
                  <c:v>1664.6063175329091</c:v>
                </c:pt>
                <c:pt idx="89">
                  <c:v>1707.0436954687445</c:v>
                </c:pt>
                <c:pt idx="90">
                  <c:v>1664.6063175329091</c:v>
                </c:pt>
                <c:pt idx="91">
                  <c:v>1623.2239395662305</c:v>
                </c:pt>
                <c:pt idx="92">
                  <c:v>1664.6063175329091</c:v>
                </c:pt>
                <c:pt idx="93">
                  <c:v>1707.0436954687445</c:v>
                </c:pt>
                <c:pt idx="94">
                  <c:v>1750.5629694824095</c:v>
                </c:pt>
                <c:pt idx="95">
                  <c:v>1707.0436954687445</c:v>
                </c:pt>
                <c:pt idx="96">
                  <c:v>1664.6063175329091</c:v>
                </c:pt>
                <c:pt idx="97">
                  <c:v>1623.2239395662305</c:v>
                </c:pt>
                <c:pt idx="98">
                  <c:v>1582.870334101578</c:v>
                </c:pt>
                <c:pt idx="99">
                  <c:v>1543.5199256908281</c:v>
                </c:pt>
                <c:pt idx="100">
                  <c:v>1582.870334101578</c:v>
                </c:pt>
                <c:pt idx="101">
                  <c:v>1543.5199256908281</c:v>
                </c:pt>
              </c:numCache>
            </c:numRef>
          </c:yVal>
          <c:smooth val="1"/>
        </c:ser>
        <c:ser>
          <c:idx val="50"/>
          <c:order val="49"/>
          <c:yVal>
            <c:numRef>
              <c:f>MCarlo_ar!$BA$15:$BA$116</c:f>
              <c:numCache>
                <c:formatCode>General</c:formatCode>
                <c:ptCount val="102"/>
                <c:pt idx="0">
                  <c:v>50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1170.167809026693</c:v>
                </c:pt>
                <c:pt idx="7">
                  <c:v>1141.0772510686097</c:v>
                </c:pt>
                <c:pt idx="8">
                  <c:v>1170.167809026693</c:v>
                </c:pt>
                <c:pt idx="9">
                  <c:v>1199.9999999999995</c:v>
                </c:pt>
                <c:pt idx="10">
                  <c:v>1230.5927311380608</c:v>
                </c:pt>
                <c:pt idx="11">
                  <c:v>1199.9999999999995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1230.5927311380608</c:v>
                </c:pt>
                <c:pt idx="25">
                  <c:v>1199.9999999999995</c:v>
                </c:pt>
                <c:pt idx="26">
                  <c:v>1230.5927311380608</c:v>
                </c:pt>
                <c:pt idx="27">
                  <c:v>1199.9999999999995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1294.1378648840334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1261.9653916081936</c:v>
                </c:pt>
                <c:pt idx="38">
                  <c:v>1230.5927311380608</c:v>
                </c:pt>
                <c:pt idx="39">
                  <c:v>1199.9999999999995</c:v>
                </c:pt>
                <c:pt idx="40">
                  <c:v>1170.167809026693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1112.7098890109644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1085.0477440885795</c:v>
                </c:pt>
                <c:pt idx="48">
                  <c:v>1112.7098890109644</c:v>
                </c:pt>
                <c:pt idx="49">
                  <c:v>1141.0772510686097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1170.167809026693</c:v>
                </c:pt>
                <c:pt idx="53">
                  <c:v>1199.9999999999995</c:v>
                </c:pt>
                <c:pt idx="54">
                  <c:v>1230.5927311380608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1327.1305413473517</c:v>
                </c:pt>
                <c:pt idx="60">
                  <c:v>1294.1378648840334</c:v>
                </c:pt>
                <c:pt idx="61">
                  <c:v>1327.1305413473517</c:v>
                </c:pt>
                <c:pt idx="62">
                  <c:v>1294.1378648840334</c:v>
                </c:pt>
                <c:pt idx="63">
                  <c:v>1261.9653916081936</c:v>
                </c:pt>
                <c:pt idx="64">
                  <c:v>1294.1378648840334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1230.5927311380608</c:v>
                </c:pt>
                <c:pt idx="71">
                  <c:v>1261.9653916081936</c:v>
                </c:pt>
                <c:pt idx="72">
                  <c:v>1294.1378648840334</c:v>
                </c:pt>
                <c:pt idx="73">
                  <c:v>1327.1305413473517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1261.9653916081936</c:v>
                </c:pt>
                <c:pt idx="78">
                  <c:v>1230.5927311380608</c:v>
                </c:pt>
                <c:pt idx="79">
                  <c:v>1261.9653916081936</c:v>
                </c:pt>
                <c:pt idx="80">
                  <c:v>1294.1378648840334</c:v>
                </c:pt>
                <c:pt idx="81">
                  <c:v>1327.1305413473517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1431.2415710013781</c:v>
                </c:pt>
                <c:pt idx="85">
                  <c:v>1395.6606777721711</c:v>
                </c:pt>
                <c:pt idx="86">
                  <c:v>1360.9643312111427</c:v>
                </c:pt>
                <c:pt idx="87">
                  <c:v>1395.6606777721711</c:v>
                </c:pt>
                <c:pt idx="88">
                  <c:v>1431.2415710013781</c:v>
                </c:pt>
                <c:pt idx="89">
                  <c:v>1395.6606777721711</c:v>
                </c:pt>
                <c:pt idx="90">
                  <c:v>1431.2415710013781</c:v>
                </c:pt>
                <c:pt idx="91">
                  <c:v>1467.7295614807629</c:v>
                </c:pt>
                <c:pt idx="92">
                  <c:v>1431.2415710013781</c:v>
                </c:pt>
                <c:pt idx="93">
                  <c:v>1467.7295614807629</c:v>
                </c:pt>
                <c:pt idx="94">
                  <c:v>1505.1477746955675</c:v>
                </c:pt>
                <c:pt idx="95">
                  <c:v>1543.5199256908281</c:v>
                </c:pt>
                <c:pt idx="96">
                  <c:v>1505.1477746955675</c:v>
                </c:pt>
                <c:pt idx="97">
                  <c:v>1543.5199256908281</c:v>
                </c:pt>
                <c:pt idx="98">
                  <c:v>1505.1477746955675</c:v>
                </c:pt>
                <c:pt idx="99">
                  <c:v>1543.5199256908281</c:v>
                </c:pt>
                <c:pt idx="100">
                  <c:v>1582.870334101578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51"/>
          <c:order val="50"/>
          <c:yVal>
            <c:numRef>
              <c:f>MCarlo_ar!$BB$15:$BB$116</c:f>
              <c:numCache>
                <c:formatCode>General</c:formatCode>
                <c:ptCount val="102"/>
                <c:pt idx="0">
                  <c:v>51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1170.1678090266932</c:v>
                </c:pt>
                <c:pt idx="7">
                  <c:v>1199.9999999999998</c:v>
                </c:pt>
                <c:pt idx="8">
                  <c:v>1230.592731138061</c:v>
                </c:pt>
                <c:pt idx="9">
                  <c:v>1199.9999999999998</c:v>
                </c:pt>
                <c:pt idx="10">
                  <c:v>1170.1678090266932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1031.7694142523274</c:v>
                </c:pt>
                <c:pt idx="24">
                  <c:v>1006.1194624136672</c:v>
                </c:pt>
                <c:pt idx="25">
                  <c:v>1031.7694142523274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1006.1194624136672</c:v>
                </c:pt>
                <c:pt idx="29">
                  <c:v>981.10717245976286</c:v>
                </c:pt>
                <c:pt idx="30">
                  <c:v>956.7166920146791</c:v>
                </c:pt>
                <c:pt idx="31">
                  <c:v>932.93256279506897</c:v>
                </c:pt>
                <c:pt idx="32">
                  <c:v>909.73971081296986</c:v>
                </c:pt>
                <c:pt idx="33">
                  <c:v>932.93256279506886</c:v>
                </c:pt>
                <c:pt idx="34">
                  <c:v>909.73971081296975</c:v>
                </c:pt>
                <c:pt idx="35">
                  <c:v>932.93256279506875</c:v>
                </c:pt>
                <c:pt idx="36">
                  <c:v>909.73971081296975</c:v>
                </c:pt>
                <c:pt idx="37">
                  <c:v>887.12343682215874</c:v>
                </c:pt>
                <c:pt idx="38">
                  <c:v>865.06940700201312</c:v>
                </c:pt>
                <c:pt idx="39">
                  <c:v>843.56364387297219</c:v>
                </c:pt>
                <c:pt idx="40">
                  <c:v>822.59251743784137</c:v>
                </c:pt>
                <c:pt idx="41">
                  <c:v>843.56364387297208</c:v>
                </c:pt>
                <c:pt idx="42">
                  <c:v>865.06940700201301</c:v>
                </c:pt>
                <c:pt idx="43">
                  <c:v>887.12343682215862</c:v>
                </c:pt>
                <c:pt idx="44">
                  <c:v>909.73971081296963</c:v>
                </c:pt>
                <c:pt idx="45">
                  <c:v>887.12343682215862</c:v>
                </c:pt>
                <c:pt idx="46">
                  <c:v>865.06940700201301</c:v>
                </c:pt>
                <c:pt idx="47">
                  <c:v>843.56364387297208</c:v>
                </c:pt>
                <c:pt idx="48">
                  <c:v>865.06940700201301</c:v>
                </c:pt>
                <c:pt idx="49">
                  <c:v>887.12343682215862</c:v>
                </c:pt>
                <c:pt idx="50">
                  <c:v>909.73971081296963</c:v>
                </c:pt>
                <c:pt idx="51">
                  <c:v>932.93256279506863</c:v>
                </c:pt>
                <c:pt idx="52">
                  <c:v>956.71669201467864</c:v>
                </c:pt>
                <c:pt idx="53">
                  <c:v>981.10717245976241</c:v>
                </c:pt>
                <c:pt idx="54">
                  <c:v>956.71669201467864</c:v>
                </c:pt>
                <c:pt idx="55">
                  <c:v>932.93256279506863</c:v>
                </c:pt>
                <c:pt idx="56">
                  <c:v>956.71669201467864</c:v>
                </c:pt>
                <c:pt idx="57">
                  <c:v>981.10717245976241</c:v>
                </c:pt>
                <c:pt idx="58">
                  <c:v>956.71669201467864</c:v>
                </c:pt>
                <c:pt idx="59">
                  <c:v>932.93256279506863</c:v>
                </c:pt>
                <c:pt idx="60">
                  <c:v>909.73971081296963</c:v>
                </c:pt>
                <c:pt idx="61">
                  <c:v>932.93256279506863</c:v>
                </c:pt>
                <c:pt idx="62">
                  <c:v>909.73971081296963</c:v>
                </c:pt>
                <c:pt idx="63">
                  <c:v>932.93256279506863</c:v>
                </c:pt>
                <c:pt idx="64">
                  <c:v>909.73971081296963</c:v>
                </c:pt>
                <c:pt idx="65">
                  <c:v>932.93256279506863</c:v>
                </c:pt>
                <c:pt idx="66">
                  <c:v>956.71669201467864</c:v>
                </c:pt>
                <c:pt idx="67">
                  <c:v>981.10717245976241</c:v>
                </c:pt>
                <c:pt idx="68">
                  <c:v>956.71669201467864</c:v>
                </c:pt>
                <c:pt idx="69">
                  <c:v>932.93256279506863</c:v>
                </c:pt>
                <c:pt idx="70">
                  <c:v>956.71669201467864</c:v>
                </c:pt>
                <c:pt idx="71">
                  <c:v>932.93256279506863</c:v>
                </c:pt>
                <c:pt idx="72">
                  <c:v>956.71669201467864</c:v>
                </c:pt>
                <c:pt idx="73">
                  <c:v>932.93256279506863</c:v>
                </c:pt>
                <c:pt idx="74">
                  <c:v>956.71669201467864</c:v>
                </c:pt>
                <c:pt idx="75">
                  <c:v>932.93256279506863</c:v>
                </c:pt>
                <c:pt idx="76">
                  <c:v>956.71669201467864</c:v>
                </c:pt>
                <c:pt idx="77">
                  <c:v>932.93256279506863</c:v>
                </c:pt>
                <c:pt idx="78">
                  <c:v>956.71669201467864</c:v>
                </c:pt>
                <c:pt idx="79">
                  <c:v>981.10717245976241</c:v>
                </c:pt>
                <c:pt idx="80">
                  <c:v>1006.1194624136666</c:v>
                </c:pt>
                <c:pt idx="81">
                  <c:v>1031.7694142523267</c:v>
                </c:pt>
                <c:pt idx="82">
                  <c:v>1058.0732844912404</c:v>
                </c:pt>
                <c:pt idx="83">
                  <c:v>1085.0477440885788</c:v>
                </c:pt>
                <c:pt idx="84">
                  <c:v>1058.0732844912404</c:v>
                </c:pt>
                <c:pt idx="85">
                  <c:v>1085.0477440885788</c:v>
                </c:pt>
                <c:pt idx="86">
                  <c:v>1058.0732844912404</c:v>
                </c:pt>
                <c:pt idx="87">
                  <c:v>1085.0477440885788</c:v>
                </c:pt>
                <c:pt idx="88">
                  <c:v>1112.7098890109637</c:v>
                </c:pt>
                <c:pt idx="89">
                  <c:v>1085.0477440885788</c:v>
                </c:pt>
                <c:pt idx="90">
                  <c:v>1112.7098890109637</c:v>
                </c:pt>
                <c:pt idx="91">
                  <c:v>1141.077251068609</c:v>
                </c:pt>
                <c:pt idx="92">
                  <c:v>1170.1678090266923</c:v>
                </c:pt>
                <c:pt idx="93">
                  <c:v>1199.9999999999989</c:v>
                </c:pt>
                <c:pt idx="94">
                  <c:v>1230.5927311380601</c:v>
                </c:pt>
                <c:pt idx="95">
                  <c:v>1261.9653916081929</c:v>
                </c:pt>
                <c:pt idx="96">
                  <c:v>1230.5927311380601</c:v>
                </c:pt>
                <c:pt idx="97">
                  <c:v>1199.9999999999989</c:v>
                </c:pt>
                <c:pt idx="98">
                  <c:v>1230.5927311380601</c:v>
                </c:pt>
                <c:pt idx="99">
                  <c:v>1261.9653916081929</c:v>
                </c:pt>
                <c:pt idx="100">
                  <c:v>1294.1378648840328</c:v>
                </c:pt>
                <c:pt idx="101">
                  <c:v>1327.130541347351</c:v>
                </c:pt>
              </c:numCache>
            </c:numRef>
          </c:yVal>
          <c:smooth val="1"/>
        </c:ser>
        <c:ser>
          <c:idx val="52"/>
          <c:order val="51"/>
          <c:yVal>
            <c:numRef>
              <c:f>MCarlo_ar!$BC$15:$BC$116</c:f>
              <c:numCache>
                <c:formatCode>General</c:formatCode>
                <c:ptCount val="102"/>
                <c:pt idx="0">
                  <c:v>52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1261.9653916081941</c:v>
                </c:pt>
                <c:pt idx="22">
                  <c:v>1230.5927311380613</c:v>
                </c:pt>
                <c:pt idx="23">
                  <c:v>1200</c:v>
                </c:pt>
                <c:pt idx="24">
                  <c:v>1230.5927311380613</c:v>
                </c:pt>
                <c:pt idx="25">
                  <c:v>1200</c:v>
                </c:pt>
                <c:pt idx="26">
                  <c:v>1230.5927311380613</c:v>
                </c:pt>
                <c:pt idx="27">
                  <c:v>1261.9653916081941</c:v>
                </c:pt>
                <c:pt idx="28">
                  <c:v>1230.5927311380613</c:v>
                </c:pt>
                <c:pt idx="29">
                  <c:v>1261.9653916081941</c:v>
                </c:pt>
                <c:pt idx="30">
                  <c:v>1230.5927311380613</c:v>
                </c:pt>
                <c:pt idx="31">
                  <c:v>1261.9653916081941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1360.9643312111432</c:v>
                </c:pt>
                <c:pt idx="35">
                  <c:v>1327.1305413473522</c:v>
                </c:pt>
                <c:pt idx="36">
                  <c:v>1294.1378648840339</c:v>
                </c:pt>
                <c:pt idx="37">
                  <c:v>1261.9653916081941</c:v>
                </c:pt>
                <c:pt idx="38">
                  <c:v>1230.5927311380613</c:v>
                </c:pt>
                <c:pt idx="39">
                  <c:v>1200</c:v>
                </c:pt>
                <c:pt idx="40">
                  <c:v>1230.5927311380613</c:v>
                </c:pt>
                <c:pt idx="41">
                  <c:v>1261.9653916081941</c:v>
                </c:pt>
                <c:pt idx="42">
                  <c:v>1230.5927311380613</c:v>
                </c:pt>
                <c:pt idx="43">
                  <c:v>1200</c:v>
                </c:pt>
                <c:pt idx="44">
                  <c:v>1230.5927311380613</c:v>
                </c:pt>
                <c:pt idx="45">
                  <c:v>1261.9653916081941</c:v>
                </c:pt>
                <c:pt idx="46">
                  <c:v>1230.5927311380613</c:v>
                </c:pt>
                <c:pt idx="47">
                  <c:v>1200</c:v>
                </c:pt>
                <c:pt idx="48">
                  <c:v>1170.1678090266935</c:v>
                </c:pt>
                <c:pt idx="49">
                  <c:v>1200</c:v>
                </c:pt>
                <c:pt idx="50">
                  <c:v>1230.5927311380613</c:v>
                </c:pt>
                <c:pt idx="51">
                  <c:v>1200</c:v>
                </c:pt>
                <c:pt idx="52">
                  <c:v>1170.1678090266935</c:v>
                </c:pt>
                <c:pt idx="53">
                  <c:v>1200</c:v>
                </c:pt>
                <c:pt idx="54">
                  <c:v>1230.5927311380613</c:v>
                </c:pt>
                <c:pt idx="55">
                  <c:v>1200</c:v>
                </c:pt>
                <c:pt idx="56">
                  <c:v>1230.5927311380613</c:v>
                </c:pt>
                <c:pt idx="57">
                  <c:v>1261.9653916081941</c:v>
                </c:pt>
                <c:pt idx="58">
                  <c:v>1294.1378648840339</c:v>
                </c:pt>
                <c:pt idx="59">
                  <c:v>1261.9653916081941</c:v>
                </c:pt>
                <c:pt idx="60">
                  <c:v>1230.5927311380613</c:v>
                </c:pt>
                <c:pt idx="61">
                  <c:v>1200</c:v>
                </c:pt>
                <c:pt idx="62">
                  <c:v>1230.5927311380613</c:v>
                </c:pt>
                <c:pt idx="63">
                  <c:v>1200</c:v>
                </c:pt>
                <c:pt idx="64">
                  <c:v>1230.5927311380613</c:v>
                </c:pt>
                <c:pt idx="65">
                  <c:v>1200</c:v>
                </c:pt>
                <c:pt idx="66">
                  <c:v>1170.1678090266935</c:v>
                </c:pt>
                <c:pt idx="67">
                  <c:v>1200</c:v>
                </c:pt>
                <c:pt idx="68">
                  <c:v>1170.1678090266935</c:v>
                </c:pt>
                <c:pt idx="69">
                  <c:v>1141.0772510686099</c:v>
                </c:pt>
                <c:pt idx="70">
                  <c:v>1170.1678090266932</c:v>
                </c:pt>
                <c:pt idx="71">
                  <c:v>1141.0772510686097</c:v>
                </c:pt>
                <c:pt idx="72">
                  <c:v>1112.7098890109644</c:v>
                </c:pt>
                <c:pt idx="73">
                  <c:v>1085.0477440885795</c:v>
                </c:pt>
                <c:pt idx="74">
                  <c:v>1112.7098890109644</c:v>
                </c:pt>
                <c:pt idx="75">
                  <c:v>1141.0772510686097</c:v>
                </c:pt>
                <c:pt idx="76">
                  <c:v>1170.167809026693</c:v>
                </c:pt>
                <c:pt idx="77">
                  <c:v>1141.0772510686097</c:v>
                </c:pt>
                <c:pt idx="78">
                  <c:v>1112.7098890109644</c:v>
                </c:pt>
                <c:pt idx="79">
                  <c:v>1141.0772510686097</c:v>
                </c:pt>
                <c:pt idx="80">
                  <c:v>1112.7098890109644</c:v>
                </c:pt>
                <c:pt idx="81">
                  <c:v>1141.0772510686097</c:v>
                </c:pt>
                <c:pt idx="82">
                  <c:v>1112.7098890109644</c:v>
                </c:pt>
                <c:pt idx="83">
                  <c:v>1141.0772510686097</c:v>
                </c:pt>
                <c:pt idx="84">
                  <c:v>1170.167809026693</c:v>
                </c:pt>
                <c:pt idx="85">
                  <c:v>1199.9999999999995</c:v>
                </c:pt>
                <c:pt idx="86">
                  <c:v>1170.167809026693</c:v>
                </c:pt>
                <c:pt idx="87">
                  <c:v>1199.9999999999995</c:v>
                </c:pt>
                <c:pt idx="88">
                  <c:v>1230.5927311380608</c:v>
                </c:pt>
                <c:pt idx="89">
                  <c:v>1261.9653916081936</c:v>
                </c:pt>
                <c:pt idx="90">
                  <c:v>1230.5927311380608</c:v>
                </c:pt>
                <c:pt idx="91">
                  <c:v>1199.9999999999995</c:v>
                </c:pt>
                <c:pt idx="92">
                  <c:v>1230.5927311380608</c:v>
                </c:pt>
                <c:pt idx="93">
                  <c:v>1199.9999999999995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1170.167809026693</c:v>
                </c:pt>
                <c:pt idx="97">
                  <c:v>1141.0772510686097</c:v>
                </c:pt>
                <c:pt idx="98">
                  <c:v>1170.167809026693</c:v>
                </c:pt>
                <c:pt idx="99">
                  <c:v>1141.0772510686097</c:v>
                </c:pt>
                <c:pt idx="100">
                  <c:v>1170.167809026693</c:v>
                </c:pt>
                <c:pt idx="101">
                  <c:v>1199.9999999999995</c:v>
                </c:pt>
              </c:numCache>
            </c:numRef>
          </c:yVal>
          <c:smooth val="1"/>
        </c:ser>
        <c:ser>
          <c:idx val="53"/>
          <c:order val="52"/>
          <c:yVal>
            <c:numRef>
              <c:f>MCarlo_ar!$BD$15:$BD$116</c:f>
              <c:numCache>
                <c:formatCode>General</c:formatCode>
                <c:ptCount val="102"/>
                <c:pt idx="0">
                  <c:v>53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1199.9999999999998</c:v>
                </c:pt>
                <c:pt idx="6">
                  <c:v>1230.592731138061</c:v>
                </c:pt>
                <c:pt idx="7">
                  <c:v>1261.9653916081938</c:v>
                </c:pt>
                <c:pt idx="8">
                  <c:v>1230.592731138061</c:v>
                </c:pt>
                <c:pt idx="9">
                  <c:v>1261.9653916081938</c:v>
                </c:pt>
                <c:pt idx="10">
                  <c:v>1294.1378648840337</c:v>
                </c:pt>
                <c:pt idx="11">
                  <c:v>1261.9653916081938</c:v>
                </c:pt>
                <c:pt idx="12">
                  <c:v>1230.592731138061</c:v>
                </c:pt>
                <c:pt idx="13">
                  <c:v>1199.9999999999998</c:v>
                </c:pt>
                <c:pt idx="14">
                  <c:v>1170.1678090266932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1112.7098890109644</c:v>
                </c:pt>
                <c:pt idx="21">
                  <c:v>1085.0477440885795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1031.7694142523274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1058.0732844912411</c:v>
                </c:pt>
                <c:pt idx="31">
                  <c:v>1085.0477440885795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1112.7098890109644</c:v>
                </c:pt>
                <c:pt idx="49">
                  <c:v>1141.0772510686097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1141.0772510686097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1141.0772510686097</c:v>
                </c:pt>
                <c:pt idx="58">
                  <c:v>1170.167809026693</c:v>
                </c:pt>
                <c:pt idx="59">
                  <c:v>1141.0772510686097</c:v>
                </c:pt>
                <c:pt idx="60">
                  <c:v>1170.167809026693</c:v>
                </c:pt>
                <c:pt idx="61">
                  <c:v>1199.9999999999995</c:v>
                </c:pt>
                <c:pt idx="62">
                  <c:v>1170.167809026693</c:v>
                </c:pt>
                <c:pt idx="63">
                  <c:v>1141.0772510686097</c:v>
                </c:pt>
                <c:pt idx="64">
                  <c:v>1170.167809026693</c:v>
                </c:pt>
                <c:pt idx="65">
                  <c:v>1141.0772510686097</c:v>
                </c:pt>
                <c:pt idx="66">
                  <c:v>1112.7098890109644</c:v>
                </c:pt>
                <c:pt idx="67">
                  <c:v>1085.0477440885795</c:v>
                </c:pt>
                <c:pt idx="68">
                  <c:v>1058.0732844912411</c:v>
                </c:pt>
                <c:pt idx="69">
                  <c:v>1031.7694142523274</c:v>
                </c:pt>
                <c:pt idx="70">
                  <c:v>1058.0732844912411</c:v>
                </c:pt>
                <c:pt idx="71">
                  <c:v>1031.7694142523274</c:v>
                </c:pt>
                <c:pt idx="72">
                  <c:v>1058.0732844912411</c:v>
                </c:pt>
                <c:pt idx="73">
                  <c:v>1085.0477440885795</c:v>
                </c:pt>
                <c:pt idx="74">
                  <c:v>1058.0732844912411</c:v>
                </c:pt>
                <c:pt idx="75">
                  <c:v>1085.0477440885795</c:v>
                </c:pt>
                <c:pt idx="76">
                  <c:v>1058.0732844912411</c:v>
                </c:pt>
                <c:pt idx="77">
                  <c:v>1031.7694142523274</c:v>
                </c:pt>
                <c:pt idx="78">
                  <c:v>1006.1194624136672</c:v>
                </c:pt>
                <c:pt idx="79">
                  <c:v>1031.7694142523274</c:v>
                </c:pt>
                <c:pt idx="80">
                  <c:v>1006.1194624136672</c:v>
                </c:pt>
                <c:pt idx="81">
                  <c:v>981.10717245976286</c:v>
                </c:pt>
                <c:pt idx="82">
                  <c:v>1006.1194624136671</c:v>
                </c:pt>
                <c:pt idx="83">
                  <c:v>981.10717245976275</c:v>
                </c:pt>
                <c:pt idx="84">
                  <c:v>1006.119462413667</c:v>
                </c:pt>
                <c:pt idx="85">
                  <c:v>1031.7694142523271</c:v>
                </c:pt>
                <c:pt idx="86">
                  <c:v>1058.0732844912409</c:v>
                </c:pt>
                <c:pt idx="87">
                  <c:v>1085.0477440885793</c:v>
                </c:pt>
                <c:pt idx="88">
                  <c:v>1058.0732844912409</c:v>
                </c:pt>
                <c:pt idx="89">
                  <c:v>1085.0477440885793</c:v>
                </c:pt>
                <c:pt idx="90">
                  <c:v>1112.7098890109642</c:v>
                </c:pt>
                <c:pt idx="91">
                  <c:v>1085.0477440885793</c:v>
                </c:pt>
                <c:pt idx="92">
                  <c:v>1058.0732844912409</c:v>
                </c:pt>
                <c:pt idx="93">
                  <c:v>1031.7694142523271</c:v>
                </c:pt>
                <c:pt idx="94">
                  <c:v>1006.119462413667</c:v>
                </c:pt>
                <c:pt idx="95">
                  <c:v>1031.7694142523271</c:v>
                </c:pt>
                <c:pt idx="96">
                  <c:v>1006.119462413667</c:v>
                </c:pt>
                <c:pt idx="97">
                  <c:v>981.10717245976264</c:v>
                </c:pt>
                <c:pt idx="98">
                  <c:v>1006.1194624136668</c:v>
                </c:pt>
                <c:pt idx="99">
                  <c:v>981.10717245976264</c:v>
                </c:pt>
                <c:pt idx="100">
                  <c:v>956.71669201467887</c:v>
                </c:pt>
                <c:pt idx="101">
                  <c:v>981.10717245976264</c:v>
                </c:pt>
              </c:numCache>
            </c:numRef>
          </c:yVal>
          <c:smooth val="1"/>
        </c:ser>
        <c:ser>
          <c:idx val="54"/>
          <c:order val="53"/>
          <c:yVal>
            <c:numRef>
              <c:f>MCarlo_ar!$BE$15:$BE$116</c:f>
              <c:numCache>
                <c:formatCode>General</c:formatCode>
                <c:ptCount val="102"/>
                <c:pt idx="0">
                  <c:v>54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1431.2415710013786</c:v>
                </c:pt>
                <c:pt idx="15">
                  <c:v>1395.6606777721715</c:v>
                </c:pt>
                <c:pt idx="16">
                  <c:v>1431.2415710013786</c:v>
                </c:pt>
                <c:pt idx="17">
                  <c:v>1467.7295614807633</c:v>
                </c:pt>
                <c:pt idx="18">
                  <c:v>1431.2415710013786</c:v>
                </c:pt>
                <c:pt idx="19">
                  <c:v>1395.6606777721715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1431.2415710013786</c:v>
                </c:pt>
                <c:pt idx="25">
                  <c:v>1467.7295614807633</c:v>
                </c:pt>
                <c:pt idx="26">
                  <c:v>1505.1477746955679</c:v>
                </c:pt>
                <c:pt idx="27">
                  <c:v>1543.5199256908286</c:v>
                </c:pt>
                <c:pt idx="28">
                  <c:v>1582.8703341015785</c:v>
                </c:pt>
                <c:pt idx="29">
                  <c:v>1623.2239395662309</c:v>
                </c:pt>
                <c:pt idx="30">
                  <c:v>1664.6063175329095</c:v>
                </c:pt>
                <c:pt idx="31">
                  <c:v>1623.2239395662309</c:v>
                </c:pt>
                <c:pt idx="32">
                  <c:v>1582.8703341015785</c:v>
                </c:pt>
                <c:pt idx="33">
                  <c:v>1543.5199256908286</c:v>
                </c:pt>
                <c:pt idx="34">
                  <c:v>1505.1477746955679</c:v>
                </c:pt>
                <c:pt idx="35">
                  <c:v>1543.5199256908286</c:v>
                </c:pt>
                <c:pt idx="36">
                  <c:v>1505.1477746955679</c:v>
                </c:pt>
                <c:pt idx="37">
                  <c:v>1467.7295614807631</c:v>
                </c:pt>
                <c:pt idx="38">
                  <c:v>1505.1477746955677</c:v>
                </c:pt>
                <c:pt idx="39">
                  <c:v>1467.7295614807629</c:v>
                </c:pt>
                <c:pt idx="40">
                  <c:v>1505.1477746955675</c:v>
                </c:pt>
                <c:pt idx="41">
                  <c:v>1467.7295614807629</c:v>
                </c:pt>
                <c:pt idx="42">
                  <c:v>1431.2415710013781</c:v>
                </c:pt>
                <c:pt idx="43">
                  <c:v>1395.6606777721711</c:v>
                </c:pt>
                <c:pt idx="44">
                  <c:v>1431.2415710013781</c:v>
                </c:pt>
                <c:pt idx="45">
                  <c:v>1395.6606777721711</c:v>
                </c:pt>
                <c:pt idx="46">
                  <c:v>1431.2415710013781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1360.9643312111427</c:v>
                </c:pt>
                <c:pt idx="51">
                  <c:v>1327.1305413473517</c:v>
                </c:pt>
                <c:pt idx="52">
                  <c:v>1360.9643312111427</c:v>
                </c:pt>
                <c:pt idx="53">
                  <c:v>1327.1305413473517</c:v>
                </c:pt>
                <c:pt idx="54">
                  <c:v>1294.1378648840334</c:v>
                </c:pt>
                <c:pt idx="55">
                  <c:v>1327.1305413473517</c:v>
                </c:pt>
                <c:pt idx="56">
                  <c:v>1294.1378648840334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1294.1378648840334</c:v>
                </c:pt>
                <c:pt idx="61">
                  <c:v>1261.9653916081936</c:v>
                </c:pt>
                <c:pt idx="62">
                  <c:v>1230.5927311380608</c:v>
                </c:pt>
                <c:pt idx="63">
                  <c:v>1199.9999999999995</c:v>
                </c:pt>
                <c:pt idx="64">
                  <c:v>1170.167809026693</c:v>
                </c:pt>
                <c:pt idx="65">
                  <c:v>1199.9999999999995</c:v>
                </c:pt>
                <c:pt idx="66">
                  <c:v>1170.167809026693</c:v>
                </c:pt>
                <c:pt idx="67">
                  <c:v>1199.9999999999995</c:v>
                </c:pt>
                <c:pt idx="68">
                  <c:v>1170.167809026693</c:v>
                </c:pt>
                <c:pt idx="69">
                  <c:v>1141.0772510686097</c:v>
                </c:pt>
                <c:pt idx="70">
                  <c:v>1112.7098890109644</c:v>
                </c:pt>
                <c:pt idx="71">
                  <c:v>1085.0477440885795</c:v>
                </c:pt>
                <c:pt idx="72">
                  <c:v>1112.7098890109644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1170.167809026693</c:v>
                </c:pt>
                <c:pt idx="77">
                  <c:v>1141.0772510686097</c:v>
                </c:pt>
                <c:pt idx="78">
                  <c:v>1170.167809026693</c:v>
                </c:pt>
                <c:pt idx="79">
                  <c:v>1141.0772510686097</c:v>
                </c:pt>
                <c:pt idx="80">
                  <c:v>1112.7098890109644</c:v>
                </c:pt>
                <c:pt idx="81">
                  <c:v>1141.0772510686097</c:v>
                </c:pt>
                <c:pt idx="82">
                  <c:v>1170.167809026693</c:v>
                </c:pt>
                <c:pt idx="83">
                  <c:v>1199.9999999999995</c:v>
                </c:pt>
                <c:pt idx="84">
                  <c:v>1170.167809026693</c:v>
                </c:pt>
                <c:pt idx="85">
                  <c:v>1199.9999999999995</c:v>
                </c:pt>
                <c:pt idx="86">
                  <c:v>1230.5927311380608</c:v>
                </c:pt>
                <c:pt idx="87">
                  <c:v>1199.9999999999995</c:v>
                </c:pt>
                <c:pt idx="88">
                  <c:v>1170.167809026693</c:v>
                </c:pt>
                <c:pt idx="89">
                  <c:v>1141.0772510686097</c:v>
                </c:pt>
                <c:pt idx="90">
                  <c:v>1112.7098890109644</c:v>
                </c:pt>
                <c:pt idx="91">
                  <c:v>1085.0477440885795</c:v>
                </c:pt>
                <c:pt idx="92">
                  <c:v>1112.7098890109644</c:v>
                </c:pt>
                <c:pt idx="93">
                  <c:v>1085.0477440885795</c:v>
                </c:pt>
                <c:pt idx="94">
                  <c:v>1058.0732844912411</c:v>
                </c:pt>
                <c:pt idx="95">
                  <c:v>1031.7694142523274</c:v>
                </c:pt>
                <c:pt idx="96">
                  <c:v>1058.0732844912411</c:v>
                </c:pt>
                <c:pt idx="97">
                  <c:v>1031.7694142523274</c:v>
                </c:pt>
                <c:pt idx="98">
                  <c:v>1058.0732844912411</c:v>
                </c:pt>
                <c:pt idx="99">
                  <c:v>1085.0477440885795</c:v>
                </c:pt>
                <c:pt idx="100">
                  <c:v>1112.7098890109644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55"/>
          <c:order val="54"/>
          <c:yVal>
            <c:numRef>
              <c:f>MCarlo_ar!$BF$15:$BF$116</c:f>
              <c:numCache>
                <c:formatCode>General</c:formatCode>
                <c:ptCount val="102"/>
                <c:pt idx="0">
                  <c:v>55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1170.167809026693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1085.0477440885795</c:v>
                </c:pt>
                <c:pt idx="20">
                  <c:v>1112.7098890109644</c:v>
                </c:pt>
                <c:pt idx="21">
                  <c:v>1141.0772510686097</c:v>
                </c:pt>
                <c:pt idx="22">
                  <c:v>1170.167809026693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1058.0732844912411</c:v>
                </c:pt>
                <c:pt idx="31">
                  <c:v>1031.7694142523274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1141.0772510686097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1112.7098890109644</c:v>
                </c:pt>
                <c:pt idx="41">
                  <c:v>1085.0477440885795</c:v>
                </c:pt>
                <c:pt idx="42">
                  <c:v>1112.7098890109644</c:v>
                </c:pt>
                <c:pt idx="43">
                  <c:v>1085.0477440885795</c:v>
                </c:pt>
                <c:pt idx="44">
                  <c:v>1112.7098890109644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1170.167809026693</c:v>
                </c:pt>
                <c:pt idx="49">
                  <c:v>1199.9999999999995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1170.167809026693</c:v>
                </c:pt>
                <c:pt idx="53">
                  <c:v>1199.9999999999995</c:v>
                </c:pt>
                <c:pt idx="54">
                  <c:v>1170.167809026693</c:v>
                </c:pt>
                <c:pt idx="55">
                  <c:v>1141.0772510686097</c:v>
                </c:pt>
                <c:pt idx="56">
                  <c:v>1112.7098890109644</c:v>
                </c:pt>
                <c:pt idx="57">
                  <c:v>1141.0772510686097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1058.0732844912411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1085.0477440885795</c:v>
                </c:pt>
                <c:pt idx="64">
                  <c:v>1058.0732844912411</c:v>
                </c:pt>
                <c:pt idx="65">
                  <c:v>1085.0477440885795</c:v>
                </c:pt>
                <c:pt idx="66">
                  <c:v>1058.0732844912411</c:v>
                </c:pt>
                <c:pt idx="67">
                  <c:v>1031.7694142523274</c:v>
                </c:pt>
                <c:pt idx="68">
                  <c:v>1006.1194624136672</c:v>
                </c:pt>
                <c:pt idx="69">
                  <c:v>981.10717245976286</c:v>
                </c:pt>
                <c:pt idx="70">
                  <c:v>956.7166920146791</c:v>
                </c:pt>
                <c:pt idx="71">
                  <c:v>981.10717245976286</c:v>
                </c:pt>
                <c:pt idx="72">
                  <c:v>1006.1194624136671</c:v>
                </c:pt>
                <c:pt idx="73">
                  <c:v>981.10717245976275</c:v>
                </c:pt>
                <c:pt idx="74">
                  <c:v>1006.119462413667</c:v>
                </c:pt>
                <c:pt idx="75">
                  <c:v>1031.7694142523271</c:v>
                </c:pt>
                <c:pt idx="76">
                  <c:v>1006.119462413667</c:v>
                </c:pt>
                <c:pt idx="77">
                  <c:v>981.10717245976264</c:v>
                </c:pt>
                <c:pt idx="78">
                  <c:v>1006.1194624136668</c:v>
                </c:pt>
                <c:pt idx="79">
                  <c:v>1031.7694142523269</c:v>
                </c:pt>
                <c:pt idx="80">
                  <c:v>1058.0732844912407</c:v>
                </c:pt>
                <c:pt idx="81">
                  <c:v>1085.0477440885791</c:v>
                </c:pt>
                <c:pt idx="82">
                  <c:v>1058.0732844912407</c:v>
                </c:pt>
                <c:pt idx="83">
                  <c:v>1031.7694142523269</c:v>
                </c:pt>
                <c:pt idx="84">
                  <c:v>1058.0732844912407</c:v>
                </c:pt>
                <c:pt idx="85">
                  <c:v>1085.0477440885791</c:v>
                </c:pt>
                <c:pt idx="86">
                  <c:v>1058.0732844912407</c:v>
                </c:pt>
                <c:pt idx="87">
                  <c:v>1085.0477440885791</c:v>
                </c:pt>
                <c:pt idx="88">
                  <c:v>1058.0732844912407</c:v>
                </c:pt>
                <c:pt idx="89">
                  <c:v>1031.7694142523269</c:v>
                </c:pt>
                <c:pt idx="90">
                  <c:v>1006.1194624136668</c:v>
                </c:pt>
                <c:pt idx="91">
                  <c:v>1031.7694142523269</c:v>
                </c:pt>
                <c:pt idx="92">
                  <c:v>1006.1194624136668</c:v>
                </c:pt>
                <c:pt idx="93">
                  <c:v>1031.7694142523269</c:v>
                </c:pt>
                <c:pt idx="94">
                  <c:v>1058.0732844912407</c:v>
                </c:pt>
                <c:pt idx="95">
                  <c:v>1031.7694142523269</c:v>
                </c:pt>
                <c:pt idx="96">
                  <c:v>1006.1194624136668</c:v>
                </c:pt>
                <c:pt idx="97">
                  <c:v>981.10717245976264</c:v>
                </c:pt>
                <c:pt idx="98">
                  <c:v>956.71669201467887</c:v>
                </c:pt>
                <c:pt idx="99">
                  <c:v>932.93256279506875</c:v>
                </c:pt>
                <c:pt idx="100">
                  <c:v>909.73971081296975</c:v>
                </c:pt>
                <c:pt idx="101">
                  <c:v>887.12343682215874</c:v>
                </c:pt>
              </c:numCache>
            </c:numRef>
          </c:yVal>
          <c:smooth val="1"/>
        </c:ser>
        <c:ser>
          <c:idx val="56"/>
          <c:order val="55"/>
          <c:yVal>
            <c:numRef>
              <c:f>MCarlo_ar!$BG$15:$BG$116</c:f>
              <c:numCache>
                <c:formatCode>General</c:formatCode>
                <c:ptCount val="102"/>
                <c:pt idx="0">
                  <c:v>56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1141.0772510686099</c:v>
                </c:pt>
                <c:pt idx="22">
                  <c:v>1170.1678090266932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1006.1194624136672</c:v>
                </c:pt>
                <c:pt idx="29">
                  <c:v>1031.7694142523274</c:v>
                </c:pt>
                <c:pt idx="30">
                  <c:v>1058.0732844912411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1141.0772510686097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1112.7098890109644</c:v>
                </c:pt>
                <c:pt idx="41">
                  <c:v>1085.0477440885795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1170.167809026693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1085.0477440885795</c:v>
                </c:pt>
                <c:pt idx="48">
                  <c:v>1058.0732844912411</c:v>
                </c:pt>
                <c:pt idx="49">
                  <c:v>1085.0477440885795</c:v>
                </c:pt>
                <c:pt idx="50">
                  <c:v>1112.7098890109644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1141.0772510686097</c:v>
                </c:pt>
                <c:pt idx="54">
                  <c:v>1170.167809026693</c:v>
                </c:pt>
                <c:pt idx="55">
                  <c:v>1141.0772510686097</c:v>
                </c:pt>
                <c:pt idx="56">
                  <c:v>1170.167809026693</c:v>
                </c:pt>
                <c:pt idx="57">
                  <c:v>1199.9999999999995</c:v>
                </c:pt>
                <c:pt idx="58">
                  <c:v>1170.167809026693</c:v>
                </c:pt>
                <c:pt idx="59">
                  <c:v>1141.0772510686097</c:v>
                </c:pt>
                <c:pt idx="60">
                  <c:v>1170.167809026693</c:v>
                </c:pt>
                <c:pt idx="61">
                  <c:v>1141.0772510686097</c:v>
                </c:pt>
                <c:pt idx="62">
                  <c:v>1170.167809026693</c:v>
                </c:pt>
                <c:pt idx="63">
                  <c:v>1199.9999999999995</c:v>
                </c:pt>
                <c:pt idx="64">
                  <c:v>1230.5927311380608</c:v>
                </c:pt>
                <c:pt idx="65">
                  <c:v>1261.9653916081936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1230.5927311380608</c:v>
                </c:pt>
                <c:pt idx="71">
                  <c:v>1261.9653916081936</c:v>
                </c:pt>
                <c:pt idx="72">
                  <c:v>1294.1378648840334</c:v>
                </c:pt>
                <c:pt idx="73">
                  <c:v>1261.9653916081936</c:v>
                </c:pt>
                <c:pt idx="74">
                  <c:v>1294.1378648840334</c:v>
                </c:pt>
                <c:pt idx="75">
                  <c:v>1261.9653916081936</c:v>
                </c:pt>
                <c:pt idx="76">
                  <c:v>1294.1378648840334</c:v>
                </c:pt>
                <c:pt idx="77">
                  <c:v>1327.1305413473517</c:v>
                </c:pt>
                <c:pt idx="78">
                  <c:v>1294.1378648840334</c:v>
                </c:pt>
                <c:pt idx="79">
                  <c:v>1261.9653916081936</c:v>
                </c:pt>
                <c:pt idx="80">
                  <c:v>1230.5927311380608</c:v>
                </c:pt>
                <c:pt idx="81">
                  <c:v>1261.9653916081936</c:v>
                </c:pt>
                <c:pt idx="82">
                  <c:v>1230.5927311380608</c:v>
                </c:pt>
                <c:pt idx="83">
                  <c:v>1261.9653916081936</c:v>
                </c:pt>
                <c:pt idx="84">
                  <c:v>1294.1378648840334</c:v>
                </c:pt>
                <c:pt idx="85">
                  <c:v>1261.9653916081936</c:v>
                </c:pt>
                <c:pt idx="86">
                  <c:v>1230.5927311380608</c:v>
                </c:pt>
                <c:pt idx="87">
                  <c:v>1199.9999999999995</c:v>
                </c:pt>
                <c:pt idx="88">
                  <c:v>1170.167809026693</c:v>
                </c:pt>
                <c:pt idx="89">
                  <c:v>1199.9999999999995</c:v>
                </c:pt>
                <c:pt idx="90">
                  <c:v>1230.5927311380608</c:v>
                </c:pt>
                <c:pt idx="91">
                  <c:v>1199.9999999999995</c:v>
                </c:pt>
                <c:pt idx="92">
                  <c:v>1230.5927311380608</c:v>
                </c:pt>
                <c:pt idx="93">
                  <c:v>1261.9653916081936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1230.5927311380608</c:v>
                </c:pt>
                <c:pt idx="97">
                  <c:v>1261.9653916081936</c:v>
                </c:pt>
                <c:pt idx="98">
                  <c:v>1294.1378648840334</c:v>
                </c:pt>
                <c:pt idx="99">
                  <c:v>1327.1305413473517</c:v>
                </c:pt>
                <c:pt idx="100">
                  <c:v>1360.9643312111427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57"/>
          <c:order val="56"/>
          <c:yVal>
            <c:numRef>
              <c:f>MCarlo_ar!$BH$15:$BH$116</c:f>
              <c:numCache>
                <c:formatCode>General</c:formatCode>
                <c:ptCount val="102"/>
                <c:pt idx="0">
                  <c:v>57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1199.9999999999998</c:v>
                </c:pt>
                <c:pt idx="6">
                  <c:v>1230.592731138061</c:v>
                </c:pt>
                <c:pt idx="7">
                  <c:v>1261.9653916081938</c:v>
                </c:pt>
                <c:pt idx="8">
                  <c:v>1294.1378648840337</c:v>
                </c:pt>
                <c:pt idx="9">
                  <c:v>1261.9653916081938</c:v>
                </c:pt>
                <c:pt idx="10">
                  <c:v>1294.1378648840337</c:v>
                </c:pt>
                <c:pt idx="11">
                  <c:v>1261.9653916081938</c:v>
                </c:pt>
                <c:pt idx="12">
                  <c:v>1294.1378648840337</c:v>
                </c:pt>
                <c:pt idx="13">
                  <c:v>1327.1305413473519</c:v>
                </c:pt>
                <c:pt idx="14">
                  <c:v>1294.1378648840337</c:v>
                </c:pt>
                <c:pt idx="15">
                  <c:v>1261.9653916081938</c:v>
                </c:pt>
                <c:pt idx="16">
                  <c:v>1230.592731138061</c:v>
                </c:pt>
                <c:pt idx="17">
                  <c:v>1261.9653916081938</c:v>
                </c:pt>
                <c:pt idx="18">
                  <c:v>1294.1378648840337</c:v>
                </c:pt>
                <c:pt idx="19">
                  <c:v>1261.9653916081938</c:v>
                </c:pt>
                <c:pt idx="20">
                  <c:v>1294.1378648840337</c:v>
                </c:pt>
                <c:pt idx="21">
                  <c:v>1327.1305413473519</c:v>
                </c:pt>
                <c:pt idx="22">
                  <c:v>1360.964331211143</c:v>
                </c:pt>
                <c:pt idx="23">
                  <c:v>1395.6606777721713</c:v>
                </c:pt>
                <c:pt idx="24">
                  <c:v>1360.964331211143</c:v>
                </c:pt>
                <c:pt idx="25">
                  <c:v>1395.6606777721713</c:v>
                </c:pt>
                <c:pt idx="26">
                  <c:v>1360.964331211143</c:v>
                </c:pt>
                <c:pt idx="27">
                  <c:v>1395.6606777721713</c:v>
                </c:pt>
                <c:pt idx="28">
                  <c:v>1360.964331211143</c:v>
                </c:pt>
                <c:pt idx="29">
                  <c:v>1395.6606777721713</c:v>
                </c:pt>
                <c:pt idx="30">
                  <c:v>1431.2415710013784</c:v>
                </c:pt>
                <c:pt idx="31">
                  <c:v>1467.7295614807631</c:v>
                </c:pt>
                <c:pt idx="32">
                  <c:v>1505.1477746955677</c:v>
                </c:pt>
                <c:pt idx="33">
                  <c:v>1543.5199256908284</c:v>
                </c:pt>
                <c:pt idx="34">
                  <c:v>1505.1477746955677</c:v>
                </c:pt>
                <c:pt idx="35">
                  <c:v>1543.5199256908284</c:v>
                </c:pt>
                <c:pt idx="36">
                  <c:v>1505.1477746955677</c:v>
                </c:pt>
                <c:pt idx="37">
                  <c:v>1543.5199256908284</c:v>
                </c:pt>
                <c:pt idx="38">
                  <c:v>1505.1477746955677</c:v>
                </c:pt>
                <c:pt idx="39">
                  <c:v>1467.7295614807629</c:v>
                </c:pt>
                <c:pt idx="40">
                  <c:v>1505.1477746955675</c:v>
                </c:pt>
                <c:pt idx="41">
                  <c:v>1467.7295614807629</c:v>
                </c:pt>
                <c:pt idx="42">
                  <c:v>1505.1477746955675</c:v>
                </c:pt>
                <c:pt idx="43">
                  <c:v>1467.7295614807629</c:v>
                </c:pt>
                <c:pt idx="44">
                  <c:v>1431.2415710013781</c:v>
                </c:pt>
                <c:pt idx="45">
                  <c:v>1467.7295614807629</c:v>
                </c:pt>
                <c:pt idx="46">
                  <c:v>1431.2415710013781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1360.9643312111427</c:v>
                </c:pt>
                <c:pt idx="51">
                  <c:v>1395.6606777721711</c:v>
                </c:pt>
                <c:pt idx="52">
                  <c:v>1431.2415710013781</c:v>
                </c:pt>
                <c:pt idx="53">
                  <c:v>1467.7295614807629</c:v>
                </c:pt>
                <c:pt idx="54">
                  <c:v>1505.1477746955675</c:v>
                </c:pt>
                <c:pt idx="55">
                  <c:v>1543.5199256908281</c:v>
                </c:pt>
                <c:pt idx="56">
                  <c:v>1582.870334101578</c:v>
                </c:pt>
                <c:pt idx="57">
                  <c:v>1623.2239395662305</c:v>
                </c:pt>
                <c:pt idx="58">
                  <c:v>1582.870334101578</c:v>
                </c:pt>
                <c:pt idx="59">
                  <c:v>1543.5199256908281</c:v>
                </c:pt>
                <c:pt idx="60">
                  <c:v>1582.870334101578</c:v>
                </c:pt>
                <c:pt idx="61">
                  <c:v>1623.2239395662305</c:v>
                </c:pt>
                <c:pt idx="62">
                  <c:v>1582.870334101578</c:v>
                </c:pt>
                <c:pt idx="63">
                  <c:v>1543.5199256908281</c:v>
                </c:pt>
                <c:pt idx="64">
                  <c:v>1505.1477746955675</c:v>
                </c:pt>
                <c:pt idx="65">
                  <c:v>1467.7295614807629</c:v>
                </c:pt>
                <c:pt idx="66">
                  <c:v>1505.1477746955675</c:v>
                </c:pt>
                <c:pt idx="67">
                  <c:v>1467.7295614807629</c:v>
                </c:pt>
                <c:pt idx="68">
                  <c:v>1431.2415710013781</c:v>
                </c:pt>
                <c:pt idx="69">
                  <c:v>1395.6606777721711</c:v>
                </c:pt>
                <c:pt idx="70">
                  <c:v>1360.9643312111427</c:v>
                </c:pt>
                <c:pt idx="71">
                  <c:v>1327.1305413473517</c:v>
                </c:pt>
                <c:pt idx="72">
                  <c:v>1294.1378648840334</c:v>
                </c:pt>
                <c:pt idx="73">
                  <c:v>1261.9653916081936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1431.2415710013781</c:v>
                </c:pt>
                <c:pt idx="81">
                  <c:v>1395.6606777721711</c:v>
                </c:pt>
                <c:pt idx="82">
                  <c:v>1431.2415710013781</c:v>
                </c:pt>
                <c:pt idx="83">
                  <c:v>1467.7295614807629</c:v>
                </c:pt>
                <c:pt idx="84">
                  <c:v>1505.1477746955675</c:v>
                </c:pt>
                <c:pt idx="85">
                  <c:v>1543.5199256908281</c:v>
                </c:pt>
                <c:pt idx="86">
                  <c:v>1505.1477746955675</c:v>
                </c:pt>
                <c:pt idx="87">
                  <c:v>1543.5199256908281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1431.2415710013781</c:v>
                </c:pt>
                <c:pt idx="91">
                  <c:v>1467.7295614807629</c:v>
                </c:pt>
                <c:pt idx="92">
                  <c:v>1505.1477746955675</c:v>
                </c:pt>
                <c:pt idx="93">
                  <c:v>1467.7295614807629</c:v>
                </c:pt>
                <c:pt idx="94">
                  <c:v>1505.1477746955675</c:v>
                </c:pt>
                <c:pt idx="95">
                  <c:v>1467.7295614807629</c:v>
                </c:pt>
                <c:pt idx="96">
                  <c:v>1431.2415710013781</c:v>
                </c:pt>
                <c:pt idx="97">
                  <c:v>1467.7295614807629</c:v>
                </c:pt>
                <c:pt idx="98">
                  <c:v>1505.1477746955675</c:v>
                </c:pt>
                <c:pt idx="99">
                  <c:v>1467.7295614807629</c:v>
                </c:pt>
                <c:pt idx="100">
                  <c:v>1431.2415710013781</c:v>
                </c:pt>
                <c:pt idx="101">
                  <c:v>1395.6606777721711</c:v>
                </c:pt>
              </c:numCache>
            </c:numRef>
          </c:yVal>
          <c:smooth val="1"/>
        </c:ser>
        <c:ser>
          <c:idx val="58"/>
          <c:order val="57"/>
          <c:yVal>
            <c:numRef>
              <c:f>MCarlo_ar!$BI$15:$BI$116</c:f>
              <c:numCache>
                <c:formatCode>General</c:formatCode>
                <c:ptCount val="102"/>
                <c:pt idx="0">
                  <c:v>58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1261.9653916081941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1395.6606777721715</c:v>
                </c:pt>
                <c:pt idx="26">
                  <c:v>1360.9643312111432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1294.1378648840339</c:v>
                </c:pt>
                <c:pt idx="37">
                  <c:v>1327.1305413473522</c:v>
                </c:pt>
                <c:pt idx="38">
                  <c:v>1294.1378648840339</c:v>
                </c:pt>
                <c:pt idx="39">
                  <c:v>1327.1305413473522</c:v>
                </c:pt>
                <c:pt idx="40">
                  <c:v>1360.9643312111432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1327.1305413473522</c:v>
                </c:pt>
                <c:pt idx="44">
                  <c:v>1294.1378648840339</c:v>
                </c:pt>
                <c:pt idx="45">
                  <c:v>1261.9653916081941</c:v>
                </c:pt>
                <c:pt idx="46">
                  <c:v>1294.1378648840339</c:v>
                </c:pt>
                <c:pt idx="47">
                  <c:v>1261.9653916081941</c:v>
                </c:pt>
                <c:pt idx="48">
                  <c:v>1294.1378648840339</c:v>
                </c:pt>
                <c:pt idx="49">
                  <c:v>1261.9653916081941</c:v>
                </c:pt>
                <c:pt idx="50">
                  <c:v>1294.1378648840339</c:v>
                </c:pt>
                <c:pt idx="51">
                  <c:v>1327.1305413473522</c:v>
                </c:pt>
                <c:pt idx="52">
                  <c:v>1360.9643312111432</c:v>
                </c:pt>
                <c:pt idx="53">
                  <c:v>1395.6606777721715</c:v>
                </c:pt>
                <c:pt idx="54">
                  <c:v>1360.9643312111432</c:v>
                </c:pt>
                <c:pt idx="55">
                  <c:v>1395.6606777721715</c:v>
                </c:pt>
                <c:pt idx="56">
                  <c:v>1431.2415710013786</c:v>
                </c:pt>
                <c:pt idx="57">
                  <c:v>1395.6606777721715</c:v>
                </c:pt>
                <c:pt idx="58">
                  <c:v>1360.9643312111432</c:v>
                </c:pt>
                <c:pt idx="59">
                  <c:v>1395.6606777721715</c:v>
                </c:pt>
                <c:pt idx="60">
                  <c:v>1431.2415710013786</c:v>
                </c:pt>
                <c:pt idx="61">
                  <c:v>1395.6606777721715</c:v>
                </c:pt>
                <c:pt idx="62">
                  <c:v>1360.9643312111432</c:v>
                </c:pt>
                <c:pt idx="63">
                  <c:v>1395.6606777721715</c:v>
                </c:pt>
                <c:pt idx="64">
                  <c:v>1360.9643312111432</c:v>
                </c:pt>
                <c:pt idx="65">
                  <c:v>1395.6606777721715</c:v>
                </c:pt>
                <c:pt idx="66">
                  <c:v>1431.2415710013786</c:v>
                </c:pt>
                <c:pt idx="67">
                  <c:v>1395.6606777721715</c:v>
                </c:pt>
                <c:pt idx="68">
                  <c:v>1431.2415710013786</c:v>
                </c:pt>
                <c:pt idx="69">
                  <c:v>1395.6606777721715</c:v>
                </c:pt>
                <c:pt idx="70">
                  <c:v>1431.2415710013786</c:v>
                </c:pt>
                <c:pt idx="71">
                  <c:v>1467.7295614807633</c:v>
                </c:pt>
                <c:pt idx="72">
                  <c:v>1505.1477746955679</c:v>
                </c:pt>
                <c:pt idx="73">
                  <c:v>1543.5199256908286</c:v>
                </c:pt>
                <c:pt idx="74">
                  <c:v>1582.8703341015785</c:v>
                </c:pt>
                <c:pt idx="75">
                  <c:v>1623.2239395662309</c:v>
                </c:pt>
                <c:pt idx="76">
                  <c:v>1664.6063175329095</c:v>
                </c:pt>
                <c:pt idx="77">
                  <c:v>1707.043695468745</c:v>
                </c:pt>
                <c:pt idx="78">
                  <c:v>1750.5629694824099</c:v>
                </c:pt>
                <c:pt idx="79">
                  <c:v>1707.043695468745</c:v>
                </c:pt>
                <c:pt idx="80">
                  <c:v>1664.6063175329095</c:v>
                </c:pt>
                <c:pt idx="81">
                  <c:v>1707.043695468745</c:v>
                </c:pt>
                <c:pt idx="82">
                  <c:v>1664.6063175329095</c:v>
                </c:pt>
                <c:pt idx="83">
                  <c:v>1707.043695468745</c:v>
                </c:pt>
                <c:pt idx="84">
                  <c:v>1750.5629694824099</c:v>
                </c:pt>
                <c:pt idx="85">
                  <c:v>1795.191721370428</c:v>
                </c:pt>
                <c:pt idx="86">
                  <c:v>1840.9582360980605</c:v>
                </c:pt>
                <c:pt idx="87">
                  <c:v>1887.8915197258502</c:v>
                </c:pt>
                <c:pt idx="88">
                  <c:v>1936.0213177931828</c:v>
                </c:pt>
                <c:pt idx="89">
                  <c:v>1985.3781341705178</c:v>
                </c:pt>
                <c:pt idx="90">
                  <c:v>2035.9932503922382</c:v>
                </c:pt>
                <c:pt idx="91">
                  <c:v>1985.3781341705178</c:v>
                </c:pt>
                <c:pt idx="92">
                  <c:v>1936.0213177931828</c:v>
                </c:pt>
                <c:pt idx="93">
                  <c:v>1985.3781341705178</c:v>
                </c:pt>
                <c:pt idx="94">
                  <c:v>2035.9932503922382</c:v>
                </c:pt>
                <c:pt idx="95">
                  <c:v>1985.3781341705178</c:v>
                </c:pt>
                <c:pt idx="96">
                  <c:v>1936.0213177931828</c:v>
                </c:pt>
                <c:pt idx="97">
                  <c:v>1985.3781341705178</c:v>
                </c:pt>
                <c:pt idx="98">
                  <c:v>2035.9932503922382</c:v>
                </c:pt>
                <c:pt idx="99">
                  <c:v>2087.8987454823691</c:v>
                </c:pt>
                <c:pt idx="100">
                  <c:v>2141.1275162857337</c:v>
                </c:pt>
                <c:pt idx="101">
                  <c:v>2195.7132983174292</c:v>
                </c:pt>
              </c:numCache>
            </c:numRef>
          </c:yVal>
          <c:smooth val="1"/>
        </c:ser>
        <c:ser>
          <c:idx val="59"/>
          <c:order val="58"/>
          <c:yVal>
            <c:numRef>
              <c:f>MCarlo_ar!$BJ$15:$BJ$116</c:f>
              <c:numCache>
                <c:formatCode>General</c:formatCode>
                <c:ptCount val="102"/>
                <c:pt idx="0">
                  <c:v>59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1085.0477440885795</c:v>
                </c:pt>
                <c:pt idx="14">
                  <c:v>1058.0732844912411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1031.7694142523274</c:v>
                </c:pt>
                <c:pt idx="18">
                  <c:v>1006.1194624136672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1031.7694142523274</c:v>
                </c:pt>
                <c:pt idx="24">
                  <c:v>1006.1194624136672</c:v>
                </c:pt>
                <c:pt idx="25">
                  <c:v>981.10717245976286</c:v>
                </c:pt>
                <c:pt idx="26">
                  <c:v>956.7166920146791</c:v>
                </c:pt>
                <c:pt idx="27">
                  <c:v>981.10717245976286</c:v>
                </c:pt>
                <c:pt idx="28">
                  <c:v>956.7166920146791</c:v>
                </c:pt>
                <c:pt idx="29">
                  <c:v>981.10717245976286</c:v>
                </c:pt>
                <c:pt idx="30">
                  <c:v>956.7166920146791</c:v>
                </c:pt>
                <c:pt idx="31">
                  <c:v>932.93256279506897</c:v>
                </c:pt>
                <c:pt idx="32">
                  <c:v>956.71669201467898</c:v>
                </c:pt>
                <c:pt idx="33">
                  <c:v>981.10717245976275</c:v>
                </c:pt>
                <c:pt idx="34">
                  <c:v>1006.119462413667</c:v>
                </c:pt>
                <c:pt idx="35">
                  <c:v>1031.7694142523271</c:v>
                </c:pt>
                <c:pt idx="36">
                  <c:v>1006.119462413667</c:v>
                </c:pt>
                <c:pt idx="37">
                  <c:v>1031.7694142523271</c:v>
                </c:pt>
                <c:pt idx="38">
                  <c:v>1058.0732844912409</c:v>
                </c:pt>
                <c:pt idx="39">
                  <c:v>1031.7694142523271</c:v>
                </c:pt>
                <c:pt idx="40">
                  <c:v>1058.0732844912409</c:v>
                </c:pt>
                <c:pt idx="41">
                  <c:v>1031.7694142523271</c:v>
                </c:pt>
                <c:pt idx="42">
                  <c:v>1058.0732844912409</c:v>
                </c:pt>
                <c:pt idx="43">
                  <c:v>1031.7694142523271</c:v>
                </c:pt>
                <c:pt idx="44">
                  <c:v>1006.119462413667</c:v>
                </c:pt>
                <c:pt idx="45">
                  <c:v>1031.7694142523271</c:v>
                </c:pt>
                <c:pt idx="46">
                  <c:v>1058.0732844912409</c:v>
                </c:pt>
                <c:pt idx="47">
                  <c:v>1031.7694142523271</c:v>
                </c:pt>
                <c:pt idx="48">
                  <c:v>1058.0732844912409</c:v>
                </c:pt>
                <c:pt idx="49">
                  <c:v>1085.0477440885793</c:v>
                </c:pt>
                <c:pt idx="50">
                  <c:v>1112.7098890109642</c:v>
                </c:pt>
                <c:pt idx="51">
                  <c:v>1141.0772510686095</c:v>
                </c:pt>
                <c:pt idx="52">
                  <c:v>1112.7098890109642</c:v>
                </c:pt>
                <c:pt idx="53">
                  <c:v>1085.0477440885793</c:v>
                </c:pt>
                <c:pt idx="54">
                  <c:v>1112.7098890109642</c:v>
                </c:pt>
                <c:pt idx="55">
                  <c:v>1085.0477440885793</c:v>
                </c:pt>
                <c:pt idx="56">
                  <c:v>1112.7098890109642</c:v>
                </c:pt>
                <c:pt idx="57">
                  <c:v>1141.0772510686095</c:v>
                </c:pt>
                <c:pt idx="58">
                  <c:v>1112.7098890109642</c:v>
                </c:pt>
                <c:pt idx="59">
                  <c:v>1141.0772510686095</c:v>
                </c:pt>
                <c:pt idx="60">
                  <c:v>1112.7098890109642</c:v>
                </c:pt>
                <c:pt idx="61">
                  <c:v>1141.0772510686095</c:v>
                </c:pt>
                <c:pt idx="62">
                  <c:v>1170.1678090266928</c:v>
                </c:pt>
                <c:pt idx="63">
                  <c:v>1141.0772510686095</c:v>
                </c:pt>
                <c:pt idx="64">
                  <c:v>1112.7098890109642</c:v>
                </c:pt>
                <c:pt idx="65">
                  <c:v>1085.0477440885793</c:v>
                </c:pt>
                <c:pt idx="66">
                  <c:v>1112.7098890109642</c:v>
                </c:pt>
                <c:pt idx="67">
                  <c:v>1085.0477440885793</c:v>
                </c:pt>
                <c:pt idx="68">
                  <c:v>1112.7098890109642</c:v>
                </c:pt>
                <c:pt idx="69">
                  <c:v>1085.0477440885793</c:v>
                </c:pt>
                <c:pt idx="70">
                  <c:v>1112.7098890109642</c:v>
                </c:pt>
                <c:pt idx="71">
                  <c:v>1085.0477440885793</c:v>
                </c:pt>
                <c:pt idx="72">
                  <c:v>1112.7098890109642</c:v>
                </c:pt>
                <c:pt idx="73">
                  <c:v>1141.0772510686095</c:v>
                </c:pt>
                <c:pt idx="74">
                  <c:v>1112.7098890109642</c:v>
                </c:pt>
                <c:pt idx="75">
                  <c:v>1141.0772510686095</c:v>
                </c:pt>
                <c:pt idx="76">
                  <c:v>1170.1678090266928</c:v>
                </c:pt>
                <c:pt idx="77">
                  <c:v>1141.0772510686095</c:v>
                </c:pt>
                <c:pt idx="78">
                  <c:v>1112.7098890109642</c:v>
                </c:pt>
                <c:pt idx="79">
                  <c:v>1085.0477440885793</c:v>
                </c:pt>
                <c:pt idx="80">
                  <c:v>1112.7098890109642</c:v>
                </c:pt>
                <c:pt idx="81">
                  <c:v>1085.0477440885793</c:v>
                </c:pt>
                <c:pt idx="82">
                  <c:v>1112.7098890109642</c:v>
                </c:pt>
                <c:pt idx="83">
                  <c:v>1141.0772510686095</c:v>
                </c:pt>
                <c:pt idx="84">
                  <c:v>1170.1678090266928</c:v>
                </c:pt>
                <c:pt idx="85">
                  <c:v>1141.0772510686095</c:v>
                </c:pt>
                <c:pt idx="86">
                  <c:v>1112.7098890109642</c:v>
                </c:pt>
                <c:pt idx="87">
                  <c:v>1141.0772510686095</c:v>
                </c:pt>
                <c:pt idx="88">
                  <c:v>1170.1678090266928</c:v>
                </c:pt>
                <c:pt idx="89">
                  <c:v>1141.0772510686095</c:v>
                </c:pt>
                <c:pt idx="90">
                  <c:v>1112.7098890109642</c:v>
                </c:pt>
                <c:pt idx="91">
                  <c:v>1141.0772510686095</c:v>
                </c:pt>
                <c:pt idx="92">
                  <c:v>1112.7098890109642</c:v>
                </c:pt>
                <c:pt idx="93">
                  <c:v>1085.0477440885793</c:v>
                </c:pt>
                <c:pt idx="94">
                  <c:v>1112.7098890109642</c:v>
                </c:pt>
                <c:pt idx="95">
                  <c:v>1085.0477440885793</c:v>
                </c:pt>
                <c:pt idx="96">
                  <c:v>1058.0732844912409</c:v>
                </c:pt>
                <c:pt idx="97">
                  <c:v>1031.7694142523271</c:v>
                </c:pt>
                <c:pt idx="98">
                  <c:v>1058.0732844912409</c:v>
                </c:pt>
                <c:pt idx="99">
                  <c:v>1031.7694142523271</c:v>
                </c:pt>
                <c:pt idx="100">
                  <c:v>1058.0732844912409</c:v>
                </c:pt>
                <c:pt idx="101">
                  <c:v>1031.7694142523271</c:v>
                </c:pt>
              </c:numCache>
            </c:numRef>
          </c:yVal>
          <c:smooth val="1"/>
        </c:ser>
        <c:ser>
          <c:idx val="60"/>
          <c:order val="59"/>
          <c:yVal>
            <c:numRef>
              <c:f>MCarlo_ar!$BK$15:$BK$116</c:f>
              <c:numCache>
                <c:formatCode>General</c:formatCode>
                <c:ptCount val="102"/>
                <c:pt idx="0">
                  <c:v>60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1200</c:v>
                </c:pt>
                <c:pt idx="22">
                  <c:v>1230.5927311380613</c:v>
                </c:pt>
                <c:pt idx="23">
                  <c:v>1261.9653916081941</c:v>
                </c:pt>
                <c:pt idx="24">
                  <c:v>1230.5927311380613</c:v>
                </c:pt>
                <c:pt idx="25">
                  <c:v>1200</c:v>
                </c:pt>
                <c:pt idx="26">
                  <c:v>1170.1678090266935</c:v>
                </c:pt>
                <c:pt idx="27">
                  <c:v>1141.0772510686099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1006.1194624136672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981.10717245976286</c:v>
                </c:pt>
                <c:pt idx="38">
                  <c:v>956.7166920146791</c:v>
                </c:pt>
                <c:pt idx="39">
                  <c:v>932.93256279506897</c:v>
                </c:pt>
                <c:pt idx="40">
                  <c:v>909.73971081296986</c:v>
                </c:pt>
                <c:pt idx="41">
                  <c:v>887.12343682215885</c:v>
                </c:pt>
                <c:pt idx="42">
                  <c:v>909.73971081296986</c:v>
                </c:pt>
                <c:pt idx="43">
                  <c:v>887.12343682215885</c:v>
                </c:pt>
                <c:pt idx="44">
                  <c:v>865.06940700201324</c:v>
                </c:pt>
                <c:pt idx="45">
                  <c:v>887.12343682215885</c:v>
                </c:pt>
                <c:pt idx="46">
                  <c:v>909.73971081296986</c:v>
                </c:pt>
                <c:pt idx="47">
                  <c:v>932.93256279506886</c:v>
                </c:pt>
                <c:pt idx="48">
                  <c:v>956.71669201467887</c:v>
                </c:pt>
                <c:pt idx="49">
                  <c:v>932.93256279506875</c:v>
                </c:pt>
                <c:pt idx="50">
                  <c:v>909.73971081296975</c:v>
                </c:pt>
                <c:pt idx="51">
                  <c:v>932.93256279506875</c:v>
                </c:pt>
                <c:pt idx="52">
                  <c:v>956.71669201467876</c:v>
                </c:pt>
                <c:pt idx="53">
                  <c:v>981.10717245976252</c:v>
                </c:pt>
                <c:pt idx="54">
                  <c:v>956.71669201467876</c:v>
                </c:pt>
                <c:pt idx="55">
                  <c:v>981.10717245976252</c:v>
                </c:pt>
                <c:pt idx="56">
                  <c:v>956.71669201467876</c:v>
                </c:pt>
                <c:pt idx="57">
                  <c:v>932.93256279506875</c:v>
                </c:pt>
                <c:pt idx="58">
                  <c:v>956.71669201467876</c:v>
                </c:pt>
                <c:pt idx="59">
                  <c:v>981.10717245976252</c:v>
                </c:pt>
                <c:pt idx="60">
                  <c:v>956.71669201467876</c:v>
                </c:pt>
                <c:pt idx="61">
                  <c:v>981.10717245976252</c:v>
                </c:pt>
                <c:pt idx="62">
                  <c:v>1006.1194624136667</c:v>
                </c:pt>
                <c:pt idx="63">
                  <c:v>981.10717245976252</c:v>
                </c:pt>
                <c:pt idx="64">
                  <c:v>1006.1194624136667</c:v>
                </c:pt>
                <c:pt idx="65">
                  <c:v>1031.7694142523269</c:v>
                </c:pt>
                <c:pt idx="66">
                  <c:v>1058.0732844912407</c:v>
                </c:pt>
                <c:pt idx="67">
                  <c:v>1085.0477440885791</c:v>
                </c:pt>
                <c:pt idx="68">
                  <c:v>1112.7098890109639</c:v>
                </c:pt>
                <c:pt idx="69">
                  <c:v>1085.0477440885791</c:v>
                </c:pt>
                <c:pt idx="70">
                  <c:v>1112.7098890109639</c:v>
                </c:pt>
                <c:pt idx="71">
                  <c:v>1085.0477440885791</c:v>
                </c:pt>
                <c:pt idx="72">
                  <c:v>1058.0732844912407</c:v>
                </c:pt>
                <c:pt idx="73">
                  <c:v>1085.0477440885791</c:v>
                </c:pt>
                <c:pt idx="74">
                  <c:v>1058.0732844912407</c:v>
                </c:pt>
                <c:pt idx="75">
                  <c:v>1085.0477440885791</c:v>
                </c:pt>
                <c:pt idx="76">
                  <c:v>1112.7098890109639</c:v>
                </c:pt>
                <c:pt idx="77">
                  <c:v>1085.0477440885791</c:v>
                </c:pt>
                <c:pt idx="78">
                  <c:v>1058.0732844912407</c:v>
                </c:pt>
                <c:pt idx="79">
                  <c:v>1085.0477440885791</c:v>
                </c:pt>
                <c:pt idx="80">
                  <c:v>1112.7098890109639</c:v>
                </c:pt>
                <c:pt idx="81">
                  <c:v>1085.0477440885791</c:v>
                </c:pt>
                <c:pt idx="82">
                  <c:v>1058.0732844912407</c:v>
                </c:pt>
                <c:pt idx="83">
                  <c:v>1031.7694142523269</c:v>
                </c:pt>
                <c:pt idx="84">
                  <c:v>1058.0732844912407</c:v>
                </c:pt>
                <c:pt idx="85">
                  <c:v>1031.7694142523269</c:v>
                </c:pt>
                <c:pt idx="86">
                  <c:v>1058.0732844912407</c:v>
                </c:pt>
                <c:pt idx="87">
                  <c:v>1085.0477440885791</c:v>
                </c:pt>
                <c:pt idx="88">
                  <c:v>1112.7098890109639</c:v>
                </c:pt>
                <c:pt idx="89">
                  <c:v>1141.0772510686093</c:v>
                </c:pt>
                <c:pt idx="90">
                  <c:v>1170.1678090266926</c:v>
                </c:pt>
                <c:pt idx="91">
                  <c:v>1199.9999999999991</c:v>
                </c:pt>
                <c:pt idx="92">
                  <c:v>1170.1678090266926</c:v>
                </c:pt>
                <c:pt idx="93">
                  <c:v>1141.0772510686093</c:v>
                </c:pt>
                <c:pt idx="94">
                  <c:v>1170.1678090266926</c:v>
                </c:pt>
                <c:pt idx="95">
                  <c:v>1199.9999999999991</c:v>
                </c:pt>
                <c:pt idx="96">
                  <c:v>1230.5927311380603</c:v>
                </c:pt>
                <c:pt idx="97">
                  <c:v>1199.9999999999991</c:v>
                </c:pt>
                <c:pt idx="98">
                  <c:v>1230.5927311380603</c:v>
                </c:pt>
                <c:pt idx="99">
                  <c:v>1199.9999999999991</c:v>
                </c:pt>
                <c:pt idx="100">
                  <c:v>1170.1678090266926</c:v>
                </c:pt>
                <c:pt idx="101">
                  <c:v>1199.9999999999991</c:v>
                </c:pt>
              </c:numCache>
            </c:numRef>
          </c:yVal>
          <c:smooth val="1"/>
        </c:ser>
        <c:ser>
          <c:idx val="61"/>
          <c:order val="60"/>
          <c:yVal>
            <c:numRef>
              <c:f>MCarlo_ar!$BL$15:$BL$116</c:f>
              <c:numCache>
                <c:formatCode>General</c:formatCode>
                <c:ptCount val="102"/>
                <c:pt idx="0">
                  <c:v>61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1141.0772510686099</c:v>
                </c:pt>
                <c:pt idx="10">
                  <c:v>1170.1678090266932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1031.7694142523274</c:v>
                </c:pt>
                <c:pt idx="18">
                  <c:v>1006.1194624136672</c:v>
                </c:pt>
                <c:pt idx="19">
                  <c:v>1031.7694142523274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981.10717245976286</c:v>
                </c:pt>
                <c:pt idx="24">
                  <c:v>1006.1194624136671</c:v>
                </c:pt>
                <c:pt idx="25">
                  <c:v>1031.7694142523271</c:v>
                </c:pt>
                <c:pt idx="26">
                  <c:v>1058.0732844912409</c:v>
                </c:pt>
                <c:pt idx="27">
                  <c:v>1085.0477440885793</c:v>
                </c:pt>
                <c:pt idx="28">
                  <c:v>1112.7098890109642</c:v>
                </c:pt>
                <c:pt idx="29">
                  <c:v>1141.0772510686095</c:v>
                </c:pt>
                <c:pt idx="30">
                  <c:v>1112.7098890109642</c:v>
                </c:pt>
                <c:pt idx="31">
                  <c:v>1141.0772510686095</c:v>
                </c:pt>
                <c:pt idx="32">
                  <c:v>1170.1678090266928</c:v>
                </c:pt>
                <c:pt idx="33">
                  <c:v>1141.0772510686095</c:v>
                </c:pt>
                <c:pt idx="34">
                  <c:v>1170.1678090266928</c:v>
                </c:pt>
                <c:pt idx="35">
                  <c:v>1199.9999999999993</c:v>
                </c:pt>
                <c:pt idx="36">
                  <c:v>1230.5927311380606</c:v>
                </c:pt>
                <c:pt idx="37">
                  <c:v>1261.9653916081934</c:v>
                </c:pt>
                <c:pt idx="38">
                  <c:v>1294.1378648840332</c:v>
                </c:pt>
                <c:pt idx="39">
                  <c:v>1261.9653916081934</c:v>
                </c:pt>
                <c:pt idx="40">
                  <c:v>1230.5927311380606</c:v>
                </c:pt>
                <c:pt idx="41">
                  <c:v>1261.9653916081934</c:v>
                </c:pt>
                <c:pt idx="42">
                  <c:v>1230.5927311380606</c:v>
                </c:pt>
                <c:pt idx="43">
                  <c:v>1261.9653916081934</c:v>
                </c:pt>
                <c:pt idx="44">
                  <c:v>1230.5927311380606</c:v>
                </c:pt>
                <c:pt idx="45">
                  <c:v>1261.9653916081934</c:v>
                </c:pt>
                <c:pt idx="46">
                  <c:v>1230.5927311380606</c:v>
                </c:pt>
                <c:pt idx="47">
                  <c:v>1199.9999999999993</c:v>
                </c:pt>
                <c:pt idx="48">
                  <c:v>1170.1678090266928</c:v>
                </c:pt>
                <c:pt idx="49">
                  <c:v>1199.9999999999993</c:v>
                </c:pt>
                <c:pt idx="50">
                  <c:v>1230.5927311380606</c:v>
                </c:pt>
                <c:pt idx="51">
                  <c:v>1199.9999999999993</c:v>
                </c:pt>
                <c:pt idx="52">
                  <c:v>1170.1678090266928</c:v>
                </c:pt>
                <c:pt idx="53">
                  <c:v>1199.9999999999993</c:v>
                </c:pt>
                <c:pt idx="54">
                  <c:v>1230.5927311380606</c:v>
                </c:pt>
                <c:pt idx="55">
                  <c:v>1199.9999999999993</c:v>
                </c:pt>
                <c:pt idx="56">
                  <c:v>1230.5927311380606</c:v>
                </c:pt>
                <c:pt idx="57">
                  <c:v>1261.9653916081934</c:v>
                </c:pt>
                <c:pt idx="58">
                  <c:v>1294.1378648840332</c:v>
                </c:pt>
                <c:pt idx="59">
                  <c:v>1261.9653916081934</c:v>
                </c:pt>
                <c:pt idx="60">
                  <c:v>1294.1378648840332</c:v>
                </c:pt>
                <c:pt idx="61">
                  <c:v>1261.9653916081934</c:v>
                </c:pt>
                <c:pt idx="62">
                  <c:v>1230.5927311380606</c:v>
                </c:pt>
                <c:pt idx="63">
                  <c:v>1261.9653916081934</c:v>
                </c:pt>
                <c:pt idx="64">
                  <c:v>1294.1378648840332</c:v>
                </c:pt>
                <c:pt idx="65">
                  <c:v>1327.1305413473515</c:v>
                </c:pt>
                <c:pt idx="66">
                  <c:v>1360.9643312111425</c:v>
                </c:pt>
                <c:pt idx="67">
                  <c:v>1395.6606777721709</c:v>
                </c:pt>
                <c:pt idx="68">
                  <c:v>1431.2415710013779</c:v>
                </c:pt>
                <c:pt idx="69">
                  <c:v>1467.7295614807626</c:v>
                </c:pt>
                <c:pt idx="70">
                  <c:v>1505.1477746955673</c:v>
                </c:pt>
                <c:pt idx="71">
                  <c:v>1543.5199256908279</c:v>
                </c:pt>
                <c:pt idx="72">
                  <c:v>1505.1477746955673</c:v>
                </c:pt>
                <c:pt idx="73">
                  <c:v>1543.5199256908279</c:v>
                </c:pt>
                <c:pt idx="74">
                  <c:v>1505.1477746955673</c:v>
                </c:pt>
                <c:pt idx="75">
                  <c:v>1543.5199256908279</c:v>
                </c:pt>
                <c:pt idx="76">
                  <c:v>1582.8703341015778</c:v>
                </c:pt>
                <c:pt idx="77">
                  <c:v>1623.2239395662302</c:v>
                </c:pt>
                <c:pt idx="78">
                  <c:v>1582.8703341015778</c:v>
                </c:pt>
                <c:pt idx="79">
                  <c:v>1623.2239395662302</c:v>
                </c:pt>
                <c:pt idx="80">
                  <c:v>1582.8703341015778</c:v>
                </c:pt>
                <c:pt idx="81">
                  <c:v>1623.2239395662302</c:v>
                </c:pt>
                <c:pt idx="82">
                  <c:v>1664.6063175329089</c:v>
                </c:pt>
                <c:pt idx="83">
                  <c:v>1707.0436954687443</c:v>
                </c:pt>
                <c:pt idx="84">
                  <c:v>1664.6063175329089</c:v>
                </c:pt>
                <c:pt idx="85">
                  <c:v>1707.0436954687443</c:v>
                </c:pt>
                <c:pt idx="86">
                  <c:v>1664.6063175329089</c:v>
                </c:pt>
                <c:pt idx="87">
                  <c:v>1623.2239395662302</c:v>
                </c:pt>
                <c:pt idx="88">
                  <c:v>1664.6063175329089</c:v>
                </c:pt>
                <c:pt idx="89">
                  <c:v>1623.2239395662302</c:v>
                </c:pt>
                <c:pt idx="90">
                  <c:v>1664.6063175329089</c:v>
                </c:pt>
                <c:pt idx="91">
                  <c:v>1707.0436954687443</c:v>
                </c:pt>
                <c:pt idx="92">
                  <c:v>1750.5629694824092</c:v>
                </c:pt>
                <c:pt idx="93">
                  <c:v>1707.0436954687443</c:v>
                </c:pt>
                <c:pt idx="94">
                  <c:v>1750.5629694824092</c:v>
                </c:pt>
                <c:pt idx="95">
                  <c:v>1795.1917213704273</c:v>
                </c:pt>
                <c:pt idx="96">
                  <c:v>1750.5629694824092</c:v>
                </c:pt>
                <c:pt idx="97">
                  <c:v>1795.1917213704273</c:v>
                </c:pt>
                <c:pt idx="98">
                  <c:v>1750.5629694824092</c:v>
                </c:pt>
                <c:pt idx="99">
                  <c:v>1795.1917213704273</c:v>
                </c:pt>
                <c:pt idx="100">
                  <c:v>1750.5629694824092</c:v>
                </c:pt>
                <c:pt idx="101">
                  <c:v>1707.0436954687443</c:v>
                </c:pt>
              </c:numCache>
            </c:numRef>
          </c:yVal>
          <c:smooth val="1"/>
        </c:ser>
        <c:ser>
          <c:idx val="62"/>
          <c:order val="61"/>
          <c:yVal>
            <c:numRef>
              <c:f>MCarlo_ar!$BM$15:$BM$116</c:f>
              <c:numCache>
                <c:formatCode>General</c:formatCode>
                <c:ptCount val="102"/>
                <c:pt idx="0">
                  <c:v>62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1261.9653916081941</c:v>
                </c:pt>
                <c:pt idx="22">
                  <c:v>1230.5927311380613</c:v>
                </c:pt>
                <c:pt idx="23">
                  <c:v>1200</c:v>
                </c:pt>
                <c:pt idx="24">
                  <c:v>1170.1678090266935</c:v>
                </c:pt>
                <c:pt idx="25">
                  <c:v>1141.0772510686099</c:v>
                </c:pt>
                <c:pt idx="26">
                  <c:v>1170.1678090266932</c:v>
                </c:pt>
                <c:pt idx="27">
                  <c:v>1199.9999999999998</c:v>
                </c:pt>
                <c:pt idx="28">
                  <c:v>1170.1678090266932</c:v>
                </c:pt>
                <c:pt idx="29">
                  <c:v>1199.9999999999998</c:v>
                </c:pt>
                <c:pt idx="30">
                  <c:v>1170.1678090266932</c:v>
                </c:pt>
                <c:pt idx="31">
                  <c:v>1199.9999999999998</c:v>
                </c:pt>
                <c:pt idx="32">
                  <c:v>1170.1678090266932</c:v>
                </c:pt>
                <c:pt idx="33">
                  <c:v>1141.0772510686097</c:v>
                </c:pt>
                <c:pt idx="34">
                  <c:v>1170.167809026693</c:v>
                </c:pt>
                <c:pt idx="35">
                  <c:v>1199.9999999999995</c:v>
                </c:pt>
                <c:pt idx="36">
                  <c:v>1230.5927311380608</c:v>
                </c:pt>
                <c:pt idx="37">
                  <c:v>1261.9653916081936</c:v>
                </c:pt>
                <c:pt idx="38">
                  <c:v>1294.1378648840334</c:v>
                </c:pt>
                <c:pt idx="39">
                  <c:v>1261.9653916081936</c:v>
                </c:pt>
                <c:pt idx="40">
                  <c:v>1294.1378648840334</c:v>
                </c:pt>
                <c:pt idx="41">
                  <c:v>1327.1305413473517</c:v>
                </c:pt>
                <c:pt idx="42">
                  <c:v>1294.1378648840334</c:v>
                </c:pt>
                <c:pt idx="43">
                  <c:v>1261.9653916081936</c:v>
                </c:pt>
                <c:pt idx="44">
                  <c:v>1230.5927311380608</c:v>
                </c:pt>
                <c:pt idx="45">
                  <c:v>1199.9999999999995</c:v>
                </c:pt>
                <c:pt idx="46">
                  <c:v>1230.5927311380608</c:v>
                </c:pt>
                <c:pt idx="47">
                  <c:v>1261.9653916081936</c:v>
                </c:pt>
                <c:pt idx="48">
                  <c:v>1294.1378648840334</c:v>
                </c:pt>
                <c:pt idx="49">
                  <c:v>1327.1305413473517</c:v>
                </c:pt>
                <c:pt idx="50">
                  <c:v>1294.1378648840334</c:v>
                </c:pt>
                <c:pt idx="51">
                  <c:v>1327.1305413473517</c:v>
                </c:pt>
                <c:pt idx="52">
                  <c:v>1360.9643312111427</c:v>
                </c:pt>
                <c:pt idx="53">
                  <c:v>1395.6606777721711</c:v>
                </c:pt>
                <c:pt idx="54">
                  <c:v>1431.2415710013781</c:v>
                </c:pt>
                <c:pt idx="55">
                  <c:v>1467.7295614807629</c:v>
                </c:pt>
                <c:pt idx="56">
                  <c:v>1505.1477746955675</c:v>
                </c:pt>
                <c:pt idx="57">
                  <c:v>1467.7295614807629</c:v>
                </c:pt>
                <c:pt idx="58">
                  <c:v>1431.2415710013781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1431.2415710013781</c:v>
                </c:pt>
                <c:pt idx="63">
                  <c:v>1395.6606777721711</c:v>
                </c:pt>
                <c:pt idx="64">
                  <c:v>1360.9643312111427</c:v>
                </c:pt>
                <c:pt idx="65">
                  <c:v>1395.6606777721711</c:v>
                </c:pt>
                <c:pt idx="66">
                  <c:v>1360.9643312111427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1395.6606777721711</c:v>
                </c:pt>
                <c:pt idx="70">
                  <c:v>1431.2415710013781</c:v>
                </c:pt>
                <c:pt idx="71">
                  <c:v>1395.6606777721711</c:v>
                </c:pt>
                <c:pt idx="72">
                  <c:v>1360.9643312111427</c:v>
                </c:pt>
                <c:pt idx="73">
                  <c:v>1395.6606777721711</c:v>
                </c:pt>
                <c:pt idx="74">
                  <c:v>1431.2415710013781</c:v>
                </c:pt>
                <c:pt idx="75">
                  <c:v>1467.7295614807629</c:v>
                </c:pt>
                <c:pt idx="76">
                  <c:v>1431.2415710013781</c:v>
                </c:pt>
                <c:pt idx="77">
                  <c:v>1395.6606777721711</c:v>
                </c:pt>
                <c:pt idx="78">
                  <c:v>1360.9643312111427</c:v>
                </c:pt>
                <c:pt idx="79">
                  <c:v>1327.1305413473517</c:v>
                </c:pt>
                <c:pt idx="80">
                  <c:v>1294.1378648840334</c:v>
                </c:pt>
                <c:pt idx="81">
                  <c:v>1261.9653916081936</c:v>
                </c:pt>
                <c:pt idx="82">
                  <c:v>1294.1378648840334</c:v>
                </c:pt>
                <c:pt idx="83">
                  <c:v>1261.9653916081936</c:v>
                </c:pt>
                <c:pt idx="84">
                  <c:v>1230.5927311380608</c:v>
                </c:pt>
                <c:pt idx="85">
                  <c:v>1261.9653916081936</c:v>
                </c:pt>
                <c:pt idx="86">
                  <c:v>1230.5927311380608</c:v>
                </c:pt>
                <c:pt idx="87">
                  <c:v>1261.9653916081936</c:v>
                </c:pt>
                <c:pt idx="88">
                  <c:v>1230.5927311380608</c:v>
                </c:pt>
                <c:pt idx="89">
                  <c:v>1199.9999999999995</c:v>
                </c:pt>
                <c:pt idx="90">
                  <c:v>1230.5927311380608</c:v>
                </c:pt>
                <c:pt idx="91">
                  <c:v>1199.9999999999995</c:v>
                </c:pt>
                <c:pt idx="92">
                  <c:v>1170.167809026693</c:v>
                </c:pt>
                <c:pt idx="93">
                  <c:v>1199.9999999999995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1230.5927311380608</c:v>
                </c:pt>
                <c:pt idx="97">
                  <c:v>1261.9653916081936</c:v>
                </c:pt>
                <c:pt idx="98">
                  <c:v>1230.5927311380608</c:v>
                </c:pt>
                <c:pt idx="99">
                  <c:v>1261.9653916081936</c:v>
                </c:pt>
                <c:pt idx="100">
                  <c:v>1230.5927311380608</c:v>
                </c:pt>
                <c:pt idx="101">
                  <c:v>1261.9653916081936</c:v>
                </c:pt>
              </c:numCache>
            </c:numRef>
          </c:yVal>
          <c:smooth val="1"/>
        </c:ser>
        <c:ser>
          <c:idx val="63"/>
          <c:order val="62"/>
          <c:yVal>
            <c:numRef>
              <c:f>MCarlo_ar!$BN$15:$BN$116</c:f>
              <c:numCache>
                <c:formatCode>General</c:formatCode>
                <c:ptCount val="102"/>
                <c:pt idx="0">
                  <c:v>63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1360.9643312111432</c:v>
                </c:pt>
                <c:pt idx="7">
                  <c:v>1395.6606777721715</c:v>
                </c:pt>
                <c:pt idx="8">
                  <c:v>1431.2415710013786</c:v>
                </c:pt>
                <c:pt idx="9">
                  <c:v>1395.6606777721715</c:v>
                </c:pt>
                <c:pt idx="10">
                  <c:v>1431.2415710013786</c:v>
                </c:pt>
                <c:pt idx="11">
                  <c:v>1395.6606777721715</c:v>
                </c:pt>
                <c:pt idx="12">
                  <c:v>1360.9643312111432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1230.5927311380613</c:v>
                </c:pt>
                <c:pt idx="29">
                  <c:v>1200</c:v>
                </c:pt>
                <c:pt idx="30">
                  <c:v>1230.5927311380613</c:v>
                </c:pt>
                <c:pt idx="31">
                  <c:v>1200</c:v>
                </c:pt>
                <c:pt idx="32">
                  <c:v>1170.1678090266935</c:v>
                </c:pt>
                <c:pt idx="33">
                  <c:v>1141.0772510686099</c:v>
                </c:pt>
                <c:pt idx="34">
                  <c:v>1112.7098890109644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1112.7098890109644</c:v>
                </c:pt>
                <c:pt idx="47">
                  <c:v>1085.0477440885795</c:v>
                </c:pt>
                <c:pt idx="48">
                  <c:v>1058.0732844912411</c:v>
                </c:pt>
                <c:pt idx="49">
                  <c:v>1031.7694142523274</c:v>
                </c:pt>
                <c:pt idx="50">
                  <c:v>1058.0732844912411</c:v>
                </c:pt>
                <c:pt idx="51">
                  <c:v>1031.7694142523274</c:v>
                </c:pt>
                <c:pt idx="52">
                  <c:v>1058.0732844912411</c:v>
                </c:pt>
                <c:pt idx="53">
                  <c:v>1085.0477440885795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1085.0477440885795</c:v>
                </c:pt>
                <c:pt idx="58">
                  <c:v>1058.0732844912411</c:v>
                </c:pt>
                <c:pt idx="59">
                  <c:v>1031.7694142523274</c:v>
                </c:pt>
                <c:pt idx="60">
                  <c:v>1058.0732844912411</c:v>
                </c:pt>
                <c:pt idx="61">
                  <c:v>1031.7694142523274</c:v>
                </c:pt>
                <c:pt idx="62">
                  <c:v>1006.1194624136672</c:v>
                </c:pt>
                <c:pt idx="63">
                  <c:v>1031.7694142523274</c:v>
                </c:pt>
                <c:pt idx="64">
                  <c:v>1058.0732844912411</c:v>
                </c:pt>
                <c:pt idx="65">
                  <c:v>1031.7694142523274</c:v>
                </c:pt>
                <c:pt idx="66">
                  <c:v>1058.0732844912411</c:v>
                </c:pt>
                <c:pt idx="67">
                  <c:v>1031.7694142523274</c:v>
                </c:pt>
                <c:pt idx="68">
                  <c:v>1058.0732844912411</c:v>
                </c:pt>
                <c:pt idx="69">
                  <c:v>1031.7694142523274</c:v>
                </c:pt>
                <c:pt idx="70">
                  <c:v>1006.1194624136672</c:v>
                </c:pt>
                <c:pt idx="71">
                  <c:v>1031.7694142523274</c:v>
                </c:pt>
                <c:pt idx="72">
                  <c:v>1006.1194624136672</c:v>
                </c:pt>
                <c:pt idx="73">
                  <c:v>981.10717245976286</c:v>
                </c:pt>
                <c:pt idx="74">
                  <c:v>1006.1194624136671</c:v>
                </c:pt>
                <c:pt idx="75">
                  <c:v>1031.7694142523271</c:v>
                </c:pt>
                <c:pt idx="76">
                  <c:v>1006.119462413667</c:v>
                </c:pt>
                <c:pt idx="77">
                  <c:v>1031.7694142523271</c:v>
                </c:pt>
                <c:pt idx="78">
                  <c:v>1058.0732844912409</c:v>
                </c:pt>
                <c:pt idx="79">
                  <c:v>1085.0477440885793</c:v>
                </c:pt>
                <c:pt idx="80">
                  <c:v>1112.7098890109642</c:v>
                </c:pt>
                <c:pt idx="81">
                  <c:v>1085.0477440885793</c:v>
                </c:pt>
                <c:pt idx="82">
                  <c:v>1112.7098890109642</c:v>
                </c:pt>
                <c:pt idx="83">
                  <c:v>1085.0477440885793</c:v>
                </c:pt>
                <c:pt idx="84">
                  <c:v>1058.0732844912409</c:v>
                </c:pt>
                <c:pt idx="85">
                  <c:v>1085.0477440885793</c:v>
                </c:pt>
                <c:pt idx="86">
                  <c:v>1112.7098890109642</c:v>
                </c:pt>
                <c:pt idx="87">
                  <c:v>1141.0772510686095</c:v>
                </c:pt>
                <c:pt idx="88">
                  <c:v>1170.1678090266928</c:v>
                </c:pt>
                <c:pt idx="89">
                  <c:v>1199.9999999999993</c:v>
                </c:pt>
                <c:pt idx="90">
                  <c:v>1170.1678090266928</c:v>
                </c:pt>
                <c:pt idx="91">
                  <c:v>1199.9999999999993</c:v>
                </c:pt>
                <c:pt idx="92">
                  <c:v>1230.5927311380606</c:v>
                </c:pt>
                <c:pt idx="93">
                  <c:v>1261.9653916081934</c:v>
                </c:pt>
                <c:pt idx="94">
                  <c:v>1294.1378648840332</c:v>
                </c:pt>
                <c:pt idx="95">
                  <c:v>1327.1305413473515</c:v>
                </c:pt>
                <c:pt idx="96">
                  <c:v>1360.9643312111425</c:v>
                </c:pt>
                <c:pt idx="97">
                  <c:v>1395.6606777721709</c:v>
                </c:pt>
                <c:pt idx="98">
                  <c:v>1431.2415710013779</c:v>
                </c:pt>
                <c:pt idx="99">
                  <c:v>1395.6606777721709</c:v>
                </c:pt>
                <c:pt idx="100">
                  <c:v>1431.2415710013779</c:v>
                </c:pt>
                <c:pt idx="101">
                  <c:v>1467.7295614807626</c:v>
                </c:pt>
              </c:numCache>
            </c:numRef>
          </c:yVal>
          <c:smooth val="1"/>
        </c:ser>
        <c:ser>
          <c:idx val="64"/>
          <c:order val="63"/>
          <c:yVal>
            <c:numRef>
              <c:f>MCarlo_ar!$BO$15:$BO$116</c:f>
              <c:numCache>
                <c:formatCode>General</c:formatCode>
                <c:ptCount val="102"/>
                <c:pt idx="0">
                  <c:v>64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1230.5927311380608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1170.167809026693</c:v>
                </c:pt>
                <c:pt idx="33">
                  <c:v>1141.0772510686097</c:v>
                </c:pt>
                <c:pt idx="34">
                  <c:v>1112.7098890109644</c:v>
                </c:pt>
                <c:pt idx="35">
                  <c:v>1085.0477440885795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1112.7098890109644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1170.167809026693</c:v>
                </c:pt>
                <c:pt idx="49">
                  <c:v>1199.9999999999995</c:v>
                </c:pt>
                <c:pt idx="50">
                  <c:v>1230.5927311380608</c:v>
                </c:pt>
                <c:pt idx="51">
                  <c:v>1261.9653916081936</c:v>
                </c:pt>
                <c:pt idx="52">
                  <c:v>1230.5927311380608</c:v>
                </c:pt>
                <c:pt idx="53">
                  <c:v>1261.9653916081936</c:v>
                </c:pt>
                <c:pt idx="54">
                  <c:v>1294.1378648840334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1360.9643312111427</c:v>
                </c:pt>
                <c:pt idx="63">
                  <c:v>1395.6606777721711</c:v>
                </c:pt>
                <c:pt idx="64">
                  <c:v>1360.9643312111427</c:v>
                </c:pt>
                <c:pt idx="65">
                  <c:v>1395.6606777721711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1505.1477746955675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1467.7295614807629</c:v>
                </c:pt>
                <c:pt idx="74">
                  <c:v>1505.1477746955675</c:v>
                </c:pt>
                <c:pt idx="75">
                  <c:v>1467.7295614807629</c:v>
                </c:pt>
                <c:pt idx="76">
                  <c:v>1431.2415710013781</c:v>
                </c:pt>
                <c:pt idx="77">
                  <c:v>1395.6606777721711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1327.1305413473517</c:v>
                </c:pt>
                <c:pt idx="84">
                  <c:v>1294.1378648840334</c:v>
                </c:pt>
                <c:pt idx="85">
                  <c:v>1261.9653916081936</c:v>
                </c:pt>
                <c:pt idx="86">
                  <c:v>1294.1378648840334</c:v>
                </c:pt>
                <c:pt idx="87">
                  <c:v>1327.1305413473517</c:v>
                </c:pt>
                <c:pt idx="88">
                  <c:v>1294.1378648840334</c:v>
                </c:pt>
                <c:pt idx="89">
                  <c:v>1261.9653916081936</c:v>
                </c:pt>
                <c:pt idx="90">
                  <c:v>1294.1378648840334</c:v>
                </c:pt>
                <c:pt idx="91">
                  <c:v>1327.1305413473517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1230.5927311380608</c:v>
                </c:pt>
                <c:pt idx="95">
                  <c:v>1261.9653916081936</c:v>
                </c:pt>
                <c:pt idx="96">
                  <c:v>1294.1378648840334</c:v>
                </c:pt>
                <c:pt idx="97">
                  <c:v>1261.9653916081936</c:v>
                </c:pt>
                <c:pt idx="98">
                  <c:v>1294.1378648840334</c:v>
                </c:pt>
                <c:pt idx="99">
                  <c:v>1261.9653916081936</c:v>
                </c:pt>
                <c:pt idx="100">
                  <c:v>1294.1378648840334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65"/>
          <c:order val="64"/>
          <c:yVal>
            <c:numRef>
              <c:f>MCarlo_ar!$BP$15:$BP$116</c:f>
              <c:numCache>
                <c:formatCode>General</c:formatCode>
                <c:ptCount val="102"/>
                <c:pt idx="0">
                  <c:v>65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1261.9653916081941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1431.2415710013786</c:v>
                </c:pt>
                <c:pt idx="23">
                  <c:v>1467.7295614807633</c:v>
                </c:pt>
                <c:pt idx="24">
                  <c:v>1505.1477746955679</c:v>
                </c:pt>
                <c:pt idx="25">
                  <c:v>1467.7295614807631</c:v>
                </c:pt>
                <c:pt idx="26">
                  <c:v>1505.1477746955677</c:v>
                </c:pt>
                <c:pt idx="27">
                  <c:v>1467.7295614807629</c:v>
                </c:pt>
                <c:pt idx="28">
                  <c:v>1505.1477746955675</c:v>
                </c:pt>
                <c:pt idx="29">
                  <c:v>1467.7295614807629</c:v>
                </c:pt>
                <c:pt idx="30">
                  <c:v>1431.2415710013781</c:v>
                </c:pt>
                <c:pt idx="31">
                  <c:v>1395.6606777721711</c:v>
                </c:pt>
                <c:pt idx="32">
                  <c:v>1431.2415710013781</c:v>
                </c:pt>
                <c:pt idx="33">
                  <c:v>1395.6606777721711</c:v>
                </c:pt>
                <c:pt idx="34">
                  <c:v>1360.9643312111427</c:v>
                </c:pt>
                <c:pt idx="35">
                  <c:v>1327.1305413473517</c:v>
                </c:pt>
                <c:pt idx="36">
                  <c:v>1360.9643312111427</c:v>
                </c:pt>
                <c:pt idx="37">
                  <c:v>1327.1305413473517</c:v>
                </c:pt>
                <c:pt idx="38">
                  <c:v>1360.9643312111427</c:v>
                </c:pt>
                <c:pt idx="39">
                  <c:v>1327.1305413473517</c:v>
                </c:pt>
                <c:pt idx="40">
                  <c:v>1294.1378648840334</c:v>
                </c:pt>
                <c:pt idx="41">
                  <c:v>1327.1305413473517</c:v>
                </c:pt>
                <c:pt idx="42">
                  <c:v>1360.9643312111427</c:v>
                </c:pt>
                <c:pt idx="43">
                  <c:v>1327.1305413473517</c:v>
                </c:pt>
                <c:pt idx="44">
                  <c:v>1360.9643312111427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1294.1378648840334</c:v>
                </c:pt>
                <c:pt idx="51">
                  <c:v>1327.1305413473517</c:v>
                </c:pt>
                <c:pt idx="52">
                  <c:v>1360.9643312111427</c:v>
                </c:pt>
                <c:pt idx="53">
                  <c:v>1327.1305413473517</c:v>
                </c:pt>
                <c:pt idx="54">
                  <c:v>1294.1378648840334</c:v>
                </c:pt>
                <c:pt idx="55">
                  <c:v>1261.9653916081936</c:v>
                </c:pt>
                <c:pt idx="56">
                  <c:v>1230.5927311380608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1230.5927311380608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1294.1378648840334</c:v>
                </c:pt>
                <c:pt idx="71">
                  <c:v>1327.1305413473517</c:v>
                </c:pt>
                <c:pt idx="72">
                  <c:v>1294.1378648840334</c:v>
                </c:pt>
                <c:pt idx="73">
                  <c:v>1327.1305413473517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1327.1305413473517</c:v>
                </c:pt>
                <c:pt idx="82">
                  <c:v>1294.1378648840334</c:v>
                </c:pt>
                <c:pt idx="83">
                  <c:v>1327.1305413473517</c:v>
                </c:pt>
                <c:pt idx="84">
                  <c:v>1360.9643312111427</c:v>
                </c:pt>
                <c:pt idx="85">
                  <c:v>1327.1305413473517</c:v>
                </c:pt>
                <c:pt idx="86">
                  <c:v>1360.9643312111427</c:v>
                </c:pt>
                <c:pt idx="87">
                  <c:v>1327.1305413473517</c:v>
                </c:pt>
                <c:pt idx="88">
                  <c:v>1360.9643312111427</c:v>
                </c:pt>
                <c:pt idx="89">
                  <c:v>1395.6606777721711</c:v>
                </c:pt>
                <c:pt idx="90">
                  <c:v>1360.9643312111427</c:v>
                </c:pt>
                <c:pt idx="91">
                  <c:v>1327.1305413473517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1230.5927311380608</c:v>
                </c:pt>
                <c:pt idx="95">
                  <c:v>1261.9653916081936</c:v>
                </c:pt>
                <c:pt idx="96">
                  <c:v>1294.1378648840334</c:v>
                </c:pt>
                <c:pt idx="97">
                  <c:v>1261.9653916081936</c:v>
                </c:pt>
                <c:pt idx="98">
                  <c:v>1230.5927311380608</c:v>
                </c:pt>
                <c:pt idx="99">
                  <c:v>1199.9999999999995</c:v>
                </c:pt>
                <c:pt idx="100">
                  <c:v>1170.167809026693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66"/>
          <c:order val="65"/>
          <c:yVal>
            <c:numRef>
              <c:f>MCarlo_ar!$BQ$15:$BQ$116</c:f>
              <c:numCache>
                <c:formatCode>General</c:formatCode>
                <c:ptCount val="102"/>
                <c:pt idx="0">
                  <c:v>66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1230.5927311380613</c:v>
                </c:pt>
                <c:pt idx="13">
                  <c:v>1261.9653916081941</c:v>
                </c:pt>
                <c:pt idx="14">
                  <c:v>1230.5927311380613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1200</c:v>
                </c:pt>
                <c:pt idx="22">
                  <c:v>1170.1678090266935</c:v>
                </c:pt>
                <c:pt idx="23">
                  <c:v>1200</c:v>
                </c:pt>
                <c:pt idx="24">
                  <c:v>1170.1678090266935</c:v>
                </c:pt>
                <c:pt idx="25">
                  <c:v>1141.0772510686099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1199.9999999999995</c:v>
                </c:pt>
                <c:pt idx="42">
                  <c:v>1170.167809026693</c:v>
                </c:pt>
                <c:pt idx="43">
                  <c:v>1141.0772510686097</c:v>
                </c:pt>
                <c:pt idx="44">
                  <c:v>1170.167809026693</c:v>
                </c:pt>
                <c:pt idx="45">
                  <c:v>1141.0772510686097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1112.7098890109644</c:v>
                </c:pt>
                <c:pt idx="49">
                  <c:v>1085.0477440885795</c:v>
                </c:pt>
                <c:pt idx="50">
                  <c:v>1058.0732844912411</c:v>
                </c:pt>
                <c:pt idx="51">
                  <c:v>1085.0477440885795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1058.0732844912411</c:v>
                </c:pt>
                <c:pt idx="57">
                  <c:v>1085.0477440885795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1058.0732844912411</c:v>
                </c:pt>
                <c:pt idx="61">
                  <c:v>1031.7694142523274</c:v>
                </c:pt>
                <c:pt idx="62">
                  <c:v>1058.0732844912411</c:v>
                </c:pt>
                <c:pt idx="63">
                  <c:v>1031.7694142523274</c:v>
                </c:pt>
                <c:pt idx="64">
                  <c:v>1006.1194624136672</c:v>
                </c:pt>
                <c:pt idx="65">
                  <c:v>981.10717245976286</c:v>
                </c:pt>
                <c:pt idx="66">
                  <c:v>956.7166920146791</c:v>
                </c:pt>
                <c:pt idx="67">
                  <c:v>932.93256279506897</c:v>
                </c:pt>
                <c:pt idx="68">
                  <c:v>956.71669201467898</c:v>
                </c:pt>
                <c:pt idx="69">
                  <c:v>981.10717245976275</c:v>
                </c:pt>
                <c:pt idx="70">
                  <c:v>1006.119462413667</c:v>
                </c:pt>
                <c:pt idx="71">
                  <c:v>981.10717245976264</c:v>
                </c:pt>
                <c:pt idx="72">
                  <c:v>1006.1194624136668</c:v>
                </c:pt>
                <c:pt idx="73">
                  <c:v>981.10717245976264</c:v>
                </c:pt>
                <c:pt idx="74">
                  <c:v>1006.1194624136668</c:v>
                </c:pt>
                <c:pt idx="75">
                  <c:v>1031.7694142523269</c:v>
                </c:pt>
                <c:pt idx="76">
                  <c:v>1058.0732844912407</c:v>
                </c:pt>
                <c:pt idx="77">
                  <c:v>1031.7694142523269</c:v>
                </c:pt>
                <c:pt idx="78">
                  <c:v>1006.1194624136668</c:v>
                </c:pt>
                <c:pt idx="79">
                  <c:v>981.10717245976264</c:v>
                </c:pt>
                <c:pt idx="80">
                  <c:v>956.71669201467887</c:v>
                </c:pt>
                <c:pt idx="81">
                  <c:v>981.10717245976264</c:v>
                </c:pt>
                <c:pt idx="82">
                  <c:v>956.71669201467887</c:v>
                </c:pt>
                <c:pt idx="83">
                  <c:v>981.10717245976264</c:v>
                </c:pt>
                <c:pt idx="84">
                  <c:v>956.71669201467887</c:v>
                </c:pt>
                <c:pt idx="85">
                  <c:v>981.10717245976264</c:v>
                </c:pt>
                <c:pt idx="86">
                  <c:v>1006.1194624136668</c:v>
                </c:pt>
                <c:pt idx="87">
                  <c:v>981.10717245976264</c:v>
                </c:pt>
                <c:pt idx="88">
                  <c:v>1006.1194624136668</c:v>
                </c:pt>
                <c:pt idx="89">
                  <c:v>1031.7694142523269</c:v>
                </c:pt>
                <c:pt idx="90">
                  <c:v>1006.1194624136668</c:v>
                </c:pt>
                <c:pt idx="91">
                  <c:v>981.10717245976264</c:v>
                </c:pt>
                <c:pt idx="92">
                  <c:v>1006.1194624136668</c:v>
                </c:pt>
                <c:pt idx="93">
                  <c:v>1031.7694142523269</c:v>
                </c:pt>
                <c:pt idx="94">
                  <c:v>1006.1194624136668</c:v>
                </c:pt>
                <c:pt idx="95">
                  <c:v>981.10717245976264</c:v>
                </c:pt>
                <c:pt idx="96">
                  <c:v>956.71669201467887</c:v>
                </c:pt>
                <c:pt idx="97">
                  <c:v>932.93256279506875</c:v>
                </c:pt>
                <c:pt idx="98">
                  <c:v>956.71669201467876</c:v>
                </c:pt>
                <c:pt idx="99">
                  <c:v>932.93256279506875</c:v>
                </c:pt>
                <c:pt idx="100">
                  <c:v>956.71669201467876</c:v>
                </c:pt>
                <c:pt idx="101">
                  <c:v>981.10717245976252</c:v>
                </c:pt>
              </c:numCache>
            </c:numRef>
          </c:yVal>
          <c:smooth val="1"/>
        </c:ser>
        <c:ser>
          <c:idx val="67"/>
          <c:order val="66"/>
          <c:yVal>
            <c:numRef>
              <c:f>MCarlo_ar!$BR$15:$BR$116</c:f>
              <c:numCache>
                <c:formatCode>General</c:formatCode>
                <c:ptCount val="102"/>
                <c:pt idx="0">
                  <c:v>67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1230.5927311380613</c:v>
                </c:pt>
                <c:pt idx="21">
                  <c:v>1200</c:v>
                </c:pt>
                <c:pt idx="22">
                  <c:v>1230.5927311380613</c:v>
                </c:pt>
                <c:pt idx="23">
                  <c:v>1200</c:v>
                </c:pt>
                <c:pt idx="24">
                  <c:v>1230.5927311380613</c:v>
                </c:pt>
                <c:pt idx="25">
                  <c:v>1261.9653916081941</c:v>
                </c:pt>
                <c:pt idx="26">
                  <c:v>1294.1378648840339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1395.6606777721715</c:v>
                </c:pt>
                <c:pt idx="32">
                  <c:v>1360.9643312111432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1230.5927311380613</c:v>
                </c:pt>
                <c:pt idx="37">
                  <c:v>1261.9653916081941</c:v>
                </c:pt>
                <c:pt idx="38">
                  <c:v>1230.5927311380613</c:v>
                </c:pt>
                <c:pt idx="39">
                  <c:v>1200</c:v>
                </c:pt>
                <c:pt idx="40">
                  <c:v>1170.1678090266935</c:v>
                </c:pt>
                <c:pt idx="41">
                  <c:v>1200</c:v>
                </c:pt>
                <c:pt idx="42">
                  <c:v>1230.5927311380613</c:v>
                </c:pt>
                <c:pt idx="43">
                  <c:v>1261.9653916081941</c:v>
                </c:pt>
                <c:pt idx="44">
                  <c:v>1230.5927311380613</c:v>
                </c:pt>
                <c:pt idx="45">
                  <c:v>1261.9653916081941</c:v>
                </c:pt>
                <c:pt idx="46">
                  <c:v>1294.1378648840339</c:v>
                </c:pt>
                <c:pt idx="47">
                  <c:v>1261.9653916081941</c:v>
                </c:pt>
                <c:pt idx="48">
                  <c:v>1294.1378648840339</c:v>
                </c:pt>
                <c:pt idx="49">
                  <c:v>1327.1305413473522</c:v>
                </c:pt>
                <c:pt idx="50">
                  <c:v>1294.1378648840339</c:v>
                </c:pt>
                <c:pt idx="51">
                  <c:v>1261.9653916081941</c:v>
                </c:pt>
                <c:pt idx="52">
                  <c:v>1230.5927311380613</c:v>
                </c:pt>
                <c:pt idx="53">
                  <c:v>1261.9653916081941</c:v>
                </c:pt>
                <c:pt idx="54">
                  <c:v>1294.1378648840339</c:v>
                </c:pt>
                <c:pt idx="55">
                  <c:v>1261.9653916081941</c:v>
                </c:pt>
                <c:pt idx="56">
                  <c:v>1294.1378648840339</c:v>
                </c:pt>
                <c:pt idx="57">
                  <c:v>1261.9653916081941</c:v>
                </c:pt>
                <c:pt idx="58">
                  <c:v>1294.1378648840339</c:v>
                </c:pt>
                <c:pt idx="59">
                  <c:v>1261.9653916081941</c:v>
                </c:pt>
                <c:pt idx="60">
                  <c:v>1230.5927311380613</c:v>
                </c:pt>
                <c:pt idx="61">
                  <c:v>1261.9653916081941</c:v>
                </c:pt>
                <c:pt idx="62">
                  <c:v>1294.1378648840339</c:v>
                </c:pt>
                <c:pt idx="63">
                  <c:v>1327.1305413473522</c:v>
                </c:pt>
                <c:pt idx="64">
                  <c:v>1294.1378648840339</c:v>
                </c:pt>
                <c:pt idx="65">
                  <c:v>1261.9653916081941</c:v>
                </c:pt>
                <c:pt idx="66">
                  <c:v>1294.1378648840339</c:v>
                </c:pt>
                <c:pt idx="67">
                  <c:v>1261.9653916081941</c:v>
                </c:pt>
                <c:pt idx="68">
                  <c:v>1294.1378648840339</c:v>
                </c:pt>
                <c:pt idx="69">
                  <c:v>1261.9653916081941</c:v>
                </c:pt>
                <c:pt idx="70">
                  <c:v>1230.5927311380613</c:v>
                </c:pt>
                <c:pt idx="71">
                  <c:v>1200</c:v>
                </c:pt>
                <c:pt idx="72">
                  <c:v>1170.1678090266935</c:v>
                </c:pt>
                <c:pt idx="73">
                  <c:v>1141.0772510686099</c:v>
                </c:pt>
                <c:pt idx="74">
                  <c:v>1112.7098890109644</c:v>
                </c:pt>
                <c:pt idx="75">
                  <c:v>1141.0772510686097</c:v>
                </c:pt>
                <c:pt idx="76">
                  <c:v>1112.7098890109644</c:v>
                </c:pt>
                <c:pt idx="77">
                  <c:v>1141.0772510686097</c:v>
                </c:pt>
                <c:pt idx="78">
                  <c:v>1112.7098890109644</c:v>
                </c:pt>
                <c:pt idx="79">
                  <c:v>1085.0477440885795</c:v>
                </c:pt>
                <c:pt idx="80">
                  <c:v>1058.0732844912411</c:v>
                </c:pt>
                <c:pt idx="81">
                  <c:v>1085.0477440885795</c:v>
                </c:pt>
                <c:pt idx="82">
                  <c:v>1112.7098890109644</c:v>
                </c:pt>
                <c:pt idx="83">
                  <c:v>1085.0477440885795</c:v>
                </c:pt>
                <c:pt idx="84">
                  <c:v>1112.7098890109644</c:v>
                </c:pt>
                <c:pt idx="85">
                  <c:v>1141.0772510686097</c:v>
                </c:pt>
                <c:pt idx="86">
                  <c:v>1112.7098890109644</c:v>
                </c:pt>
                <c:pt idx="87">
                  <c:v>1141.0772510686097</c:v>
                </c:pt>
                <c:pt idx="88">
                  <c:v>1170.167809026693</c:v>
                </c:pt>
                <c:pt idx="89">
                  <c:v>1199.9999999999995</c:v>
                </c:pt>
                <c:pt idx="90">
                  <c:v>1170.167809026693</c:v>
                </c:pt>
                <c:pt idx="91">
                  <c:v>1141.0772510686097</c:v>
                </c:pt>
                <c:pt idx="92">
                  <c:v>1170.167809026693</c:v>
                </c:pt>
                <c:pt idx="93">
                  <c:v>1141.0772510686097</c:v>
                </c:pt>
                <c:pt idx="94">
                  <c:v>1170.167809026693</c:v>
                </c:pt>
                <c:pt idx="95">
                  <c:v>1141.0772510686097</c:v>
                </c:pt>
                <c:pt idx="96">
                  <c:v>1112.7098890109644</c:v>
                </c:pt>
                <c:pt idx="97">
                  <c:v>1141.0772510686097</c:v>
                </c:pt>
                <c:pt idx="98">
                  <c:v>1112.7098890109644</c:v>
                </c:pt>
                <c:pt idx="99">
                  <c:v>1085.0477440885795</c:v>
                </c:pt>
                <c:pt idx="100">
                  <c:v>1112.7098890109644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68"/>
          <c:order val="67"/>
          <c:yVal>
            <c:numRef>
              <c:f>MCarlo_ar!$BS$15:$BS$116</c:f>
              <c:numCache>
                <c:formatCode>General</c:formatCode>
                <c:ptCount val="102"/>
                <c:pt idx="0">
                  <c:v>68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1170.167809026693</c:v>
                </c:pt>
                <c:pt idx="9">
                  <c:v>1199.9999999999995</c:v>
                </c:pt>
                <c:pt idx="10">
                  <c:v>1170.167809026693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1170.167809026693</c:v>
                </c:pt>
                <c:pt idx="21">
                  <c:v>1141.0772510686097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1112.7098890109644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1085.0477440885795</c:v>
                </c:pt>
                <c:pt idx="34">
                  <c:v>1112.7098890109644</c:v>
                </c:pt>
                <c:pt idx="35">
                  <c:v>1141.0772510686097</c:v>
                </c:pt>
                <c:pt idx="36">
                  <c:v>1112.7098890109644</c:v>
                </c:pt>
                <c:pt idx="37">
                  <c:v>1141.0772510686097</c:v>
                </c:pt>
                <c:pt idx="38">
                  <c:v>1112.7098890109644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1112.7098890109644</c:v>
                </c:pt>
                <c:pt idx="47">
                  <c:v>1141.0772510686097</c:v>
                </c:pt>
                <c:pt idx="48">
                  <c:v>1170.167809026693</c:v>
                </c:pt>
                <c:pt idx="49">
                  <c:v>1141.0772510686097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1170.167809026693</c:v>
                </c:pt>
                <c:pt idx="53">
                  <c:v>1199.9999999999995</c:v>
                </c:pt>
                <c:pt idx="54">
                  <c:v>1230.5927311380608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1294.1378648840334</c:v>
                </c:pt>
                <c:pt idx="61">
                  <c:v>1261.9653916081936</c:v>
                </c:pt>
                <c:pt idx="62">
                  <c:v>1230.5927311380608</c:v>
                </c:pt>
                <c:pt idx="63">
                  <c:v>1261.9653916081936</c:v>
                </c:pt>
                <c:pt idx="64">
                  <c:v>1294.1378648840334</c:v>
                </c:pt>
                <c:pt idx="65">
                  <c:v>1261.9653916081936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1360.9643312111427</c:v>
                </c:pt>
                <c:pt idx="69">
                  <c:v>1395.6606777721711</c:v>
                </c:pt>
                <c:pt idx="70">
                  <c:v>1431.2415710013781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1395.6606777721711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1327.1305413473517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1431.2415710013781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1543.5199256908281</c:v>
                </c:pt>
                <c:pt idx="90">
                  <c:v>1505.1477746955675</c:v>
                </c:pt>
                <c:pt idx="91">
                  <c:v>1543.5199256908281</c:v>
                </c:pt>
                <c:pt idx="92">
                  <c:v>1505.1477746955675</c:v>
                </c:pt>
                <c:pt idx="93">
                  <c:v>1467.7295614807629</c:v>
                </c:pt>
                <c:pt idx="94">
                  <c:v>1505.1477746955675</c:v>
                </c:pt>
                <c:pt idx="95">
                  <c:v>1467.7295614807629</c:v>
                </c:pt>
                <c:pt idx="96">
                  <c:v>1431.2415710013781</c:v>
                </c:pt>
                <c:pt idx="97">
                  <c:v>1467.7295614807629</c:v>
                </c:pt>
                <c:pt idx="98">
                  <c:v>1505.1477746955675</c:v>
                </c:pt>
                <c:pt idx="99">
                  <c:v>1543.5199256908281</c:v>
                </c:pt>
                <c:pt idx="100">
                  <c:v>1505.1477746955675</c:v>
                </c:pt>
                <c:pt idx="101">
                  <c:v>1543.5199256908281</c:v>
                </c:pt>
              </c:numCache>
            </c:numRef>
          </c:yVal>
          <c:smooth val="1"/>
        </c:ser>
        <c:ser>
          <c:idx val="69"/>
          <c:order val="68"/>
          <c:yVal>
            <c:numRef>
              <c:f>MCarlo_ar!$BT$15:$BT$116</c:f>
              <c:numCache>
                <c:formatCode>General</c:formatCode>
                <c:ptCount val="102"/>
                <c:pt idx="0">
                  <c:v>69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1170.1678090266932</c:v>
                </c:pt>
                <c:pt idx="7">
                  <c:v>1199.9999999999998</c:v>
                </c:pt>
                <c:pt idx="8">
                  <c:v>1170.1678090266932</c:v>
                </c:pt>
                <c:pt idx="9">
                  <c:v>1199.9999999999998</c:v>
                </c:pt>
                <c:pt idx="10">
                  <c:v>1230.592731138061</c:v>
                </c:pt>
                <c:pt idx="11">
                  <c:v>1199.9999999999998</c:v>
                </c:pt>
                <c:pt idx="12">
                  <c:v>1170.1678090266932</c:v>
                </c:pt>
                <c:pt idx="13">
                  <c:v>1199.9999999999998</c:v>
                </c:pt>
                <c:pt idx="14">
                  <c:v>1230.592731138061</c:v>
                </c:pt>
                <c:pt idx="15">
                  <c:v>1261.9653916081938</c:v>
                </c:pt>
                <c:pt idx="16">
                  <c:v>1294.1378648840337</c:v>
                </c:pt>
                <c:pt idx="17">
                  <c:v>1327.1305413473519</c:v>
                </c:pt>
                <c:pt idx="18">
                  <c:v>1294.1378648840337</c:v>
                </c:pt>
                <c:pt idx="19">
                  <c:v>1261.9653916081938</c:v>
                </c:pt>
                <c:pt idx="20">
                  <c:v>1230.592731138061</c:v>
                </c:pt>
                <c:pt idx="21">
                  <c:v>1199.9999999999998</c:v>
                </c:pt>
                <c:pt idx="22">
                  <c:v>1230.592731138061</c:v>
                </c:pt>
                <c:pt idx="23">
                  <c:v>1199.9999999999998</c:v>
                </c:pt>
                <c:pt idx="24">
                  <c:v>1230.592731138061</c:v>
                </c:pt>
                <c:pt idx="25">
                  <c:v>1199.9999999999998</c:v>
                </c:pt>
                <c:pt idx="26">
                  <c:v>1230.592731138061</c:v>
                </c:pt>
                <c:pt idx="27">
                  <c:v>1199.9999999999998</c:v>
                </c:pt>
                <c:pt idx="28">
                  <c:v>1170.1678090266932</c:v>
                </c:pt>
                <c:pt idx="29">
                  <c:v>1199.9999999999998</c:v>
                </c:pt>
                <c:pt idx="30">
                  <c:v>1170.1678090266932</c:v>
                </c:pt>
                <c:pt idx="31">
                  <c:v>1141.0772510686097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1085.0477440885795</c:v>
                </c:pt>
                <c:pt idx="38">
                  <c:v>1058.0732844912411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1058.0732844912411</c:v>
                </c:pt>
                <c:pt idx="47">
                  <c:v>1031.7694142523274</c:v>
                </c:pt>
                <c:pt idx="48">
                  <c:v>1006.1194624136672</c:v>
                </c:pt>
                <c:pt idx="49">
                  <c:v>1031.7694142523274</c:v>
                </c:pt>
                <c:pt idx="50">
                  <c:v>1058.0732844912411</c:v>
                </c:pt>
                <c:pt idx="51">
                  <c:v>1085.0477440885795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1085.0477440885795</c:v>
                </c:pt>
                <c:pt idx="58">
                  <c:v>1112.7098890109644</c:v>
                </c:pt>
                <c:pt idx="59">
                  <c:v>1141.0772510686097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1141.0772510686097</c:v>
                </c:pt>
                <c:pt idx="64">
                  <c:v>1112.7098890109644</c:v>
                </c:pt>
                <c:pt idx="65">
                  <c:v>1141.0772510686097</c:v>
                </c:pt>
                <c:pt idx="66">
                  <c:v>1112.7098890109644</c:v>
                </c:pt>
                <c:pt idx="67">
                  <c:v>1141.0772510686097</c:v>
                </c:pt>
                <c:pt idx="68">
                  <c:v>1170.167809026693</c:v>
                </c:pt>
                <c:pt idx="69">
                  <c:v>1199.9999999999995</c:v>
                </c:pt>
                <c:pt idx="70">
                  <c:v>1230.5927311380608</c:v>
                </c:pt>
                <c:pt idx="71">
                  <c:v>1199.9999999999995</c:v>
                </c:pt>
                <c:pt idx="72">
                  <c:v>1230.5927311380608</c:v>
                </c:pt>
                <c:pt idx="73">
                  <c:v>1261.9653916081936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1395.6606777721711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1431.2415710013781</c:v>
                </c:pt>
                <c:pt idx="83">
                  <c:v>1467.7295614807629</c:v>
                </c:pt>
                <c:pt idx="84">
                  <c:v>1431.2415710013781</c:v>
                </c:pt>
                <c:pt idx="85">
                  <c:v>1467.7295614807629</c:v>
                </c:pt>
                <c:pt idx="86">
                  <c:v>1505.1477746955675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1431.2415710013781</c:v>
                </c:pt>
                <c:pt idx="91">
                  <c:v>1395.6606777721711</c:v>
                </c:pt>
                <c:pt idx="92">
                  <c:v>1360.9643312111427</c:v>
                </c:pt>
                <c:pt idx="93">
                  <c:v>1395.6606777721711</c:v>
                </c:pt>
                <c:pt idx="94">
                  <c:v>1360.9643312111427</c:v>
                </c:pt>
                <c:pt idx="95">
                  <c:v>1395.6606777721711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1294.1378648840334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70"/>
          <c:order val="69"/>
          <c:yVal>
            <c:numRef>
              <c:f>MCarlo_ar!$BU$15:$BU$116</c:f>
              <c:numCache>
                <c:formatCode>General</c:formatCode>
                <c:ptCount val="102"/>
                <c:pt idx="0">
                  <c:v>70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1170.1678090266932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1085.0477440885795</c:v>
                </c:pt>
                <c:pt idx="12">
                  <c:v>1112.7098890109644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1085.0477440885795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1006.1194624136672</c:v>
                </c:pt>
                <c:pt idx="25">
                  <c:v>1031.7694142523274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1006.1194624136672</c:v>
                </c:pt>
                <c:pt idx="29">
                  <c:v>1031.7694142523274</c:v>
                </c:pt>
                <c:pt idx="30">
                  <c:v>1006.1194624136672</c:v>
                </c:pt>
                <c:pt idx="31">
                  <c:v>981.10717245976286</c:v>
                </c:pt>
                <c:pt idx="32">
                  <c:v>1006.1194624136671</c:v>
                </c:pt>
                <c:pt idx="33">
                  <c:v>1031.7694142523271</c:v>
                </c:pt>
                <c:pt idx="34">
                  <c:v>1006.119462413667</c:v>
                </c:pt>
                <c:pt idx="35">
                  <c:v>1031.7694142523271</c:v>
                </c:pt>
                <c:pt idx="36">
                  <c:v>1006.119462413667</c:v>
                </c:pt>
                <c:pt idx="37">
                  <c:v>1031.7694142523271</c:v>
                </c:pt>
                <c:pt idx="38">
                  <c:v>1058.0732844912409</c:v>
                </c:pt>
                <c:pt idx="39">
                  <c:v>1031.7694142523271</c:v>
                </c:pt>
                <c:pt idx="40">
                  <c:v>1058.0732844912409</c:v>
                </c:pt>
                <c:pt idx="41">
                  <c:v>1031.7694142523271</c:v>
                </c:pt>
                <c:pt idx="42">
                  <c:v>1006.119462413667</c:v>
                </c:pt>
                <c:pt idx="43">
                  <c:v>981.10717245976264</c:v>
                </c:pt>
                <c:pt idx="44">
                  <c:v>1006.1194624136668</c:v>
                </c:pt>
                <c:pt idx="45">
                  <c:v>1031.7694142523269</c:v>
                </c:pt>
                <c:pt idx="46">
                  <c:v>1006.1194624136668</c:v>
                </c:pt>
                <c:pt idx="47">
                  <c:v>1031.7694142523269</c:v>
                </c:pt>
                <c:pt idx="48">
                  <c:v>1006.1194624136668</c:v>
                </c:pt>
                <c:pt idx="49">
                  <c:v>981.10717245976264</c:v>
                </c:pt>
                <c:pt idx="50">
                  <c:v>956.71669201467887</c:v>
                </c:pt>
                <c:pt idx="51">
                  <c:v>932.93256279506875</c:v>
                </c:pt>
                <c:pt idx="52">
                  <c:v>909.73971081296975</c:v>
                </c:pt>
                <c:pt idx="53">
                  <c:v>887.12343682215874</c:v>
                </c:pt>
                <c:pt idx="54">
                  <c:v>865.06940700201312</c:v>
                </c:pt>
                <c:pt idx="55">
                  <c:v>843.56364387297219</c:v>
                </c:pt>
                <c:pt idx="56">
                  <c:v>822.59251743784137</c:v>
                </c:pt>
                <c:pt idx="57">
                  <c:v>843.56364387297208</c:v>
                </c:pt>
                <c:pt idx="58">
                  <c:v>865.06940700201301</c:v>
                </c:pt>
                <c:pt idx="59">
                  <c:v>843.56364387297208</c:v>
                </c:pt>
                <c:pt idx="60">
                  <c:v>822.59251743784137</c:v>
                </c:pt>
                <c:pt idx="61">
                  <c:v>802.14273654332578</c:v>
                </c:pt>
                <c:pt idx="62">
                  <c:v>782.20134045631642</c:v>
                </c:pt>
                <c:pt idx="63">
                  <c:v>802.14273654332578</c:v>
                </c:pt>
                <c:pt idx="64">
                  <c:v>822.59251743784137</c:v>
                </c:pt>
                <c:pt idx="65">
                  <c:v>802.14273654332578</c:v>
                </c:pt>
                <c:pt idx="66">
                  <c:v>822.59251743784137</c:v>
                </c:pt>
                <c:pt idx="67">
                  <c:v>843.56364387297208</c:v>
                </c:pt>
                <c:pt idx="68">
                  <c:v>822.59251743784137</c:v>
                </c:pt>
                <c:pt idx="69">
                  <c:v>802.14273654332578</c:v>
                </c:pt>
                <c:pt idx="70">
                  <c:v>782.20134045631642</c:v>
                </c:pt>
                <c:pt idx="71">
                  <c:v>762.755690649592</c:v>
                </c:pt>
                <c:pt idx="72">
                  <c:v>743.79346279172944</c:v>
                </c:pt>
                <c:pt idx="73">
                  <c:v>762.755690649592</c:v>
                </c:pt>
                <c:pt idx="74">
                  <c:v>782.20134045631642</c:v>
                </c:pt>
                <c:pt idx="75">
                  <c:v>802.14273654332578</c:v>
                </c:pt>
                <c:pt idx="76">
                  <c:v>782.20134045631642</c:v>
                </c:pt>
                <c:pt idx="77">
                  <c:v>802.14273654332578</c:v>
                </c:pt>
                <c:pt idx="78">
                  <c:v>822.59251743784137</c:v>
                </c:pt>
                <c:pt idx="79">
                  <c:v>802.14273654332578</c:v>
                </c:pt>
                <c:pt idx="80">
                  <c:v>782.20134045631642</c:v>
                </c:pt>
                <c:pt idx="81">
                  <c:v>802.14273654332578</c:v>
                </c:pt>
                <c:pt idx="82">
                  <c:v>822.59251743784137</c:v>
                </c:pt>
                <c:pt idx="83">
                  <c:v>802.14273654332578</c:v>
                </c:pt>
                <c:pt idx="84">
                  <c:v>822.59251743784137</c:v>
                </c:pt>
                <c:pt idx="85">
                  <c:v>843.56364387297208</c:v>
                </c:pt>
                <c:pt idx="86">
                  <c:v>822.59251743784137</c:v>
                </c:pt>
                <c:pt idx="87">
                  <c:v>802.14273654332578</c:v>
                </c:pt>
                <c:pt idx="88">
                  <c:v>822.59251743784137</c:v>
                </c:pt>
                <c:pt idx="89">
                  <c:v>843.56364387297208</c:v>
                </c:pt>
                <c:pt idx="90">
                  <c:v>822.59251743784137</c:v>
                </c:pt>
                <c:pt idx="91">
                  <c:v>802.14273654332578</c:v>
                </c:pt>
                <c:pt idx="92">
                  <c:v>822.59251743784137</c:v>
                </c:pt>
                <c:pt idx="93">
                  <c:v>843.56364387297208</c:v>
                </c:pt>
                <c:pt idx="94">
                  <c:v>822.59251743784137</c:v>
                </c:pt>
                <c:pt idx="95">
                  <c:v>843.56364387297208</c:v>
                </c:pt>
                <c:pt idx="96">
                  <c:v>865.06940700201301</c:v>
                </c:pt>
                <c:pt idx="97">
                  <c:v>843.56364387297208</c:v>
                </c:pt>
                <c:pt idx="98">
                  <c:v>865.06940700201301</c:v>
                </c:pt>
                <c:pt idx="99">
                  <c:v>887.12343682215862</c:v>
                </c:pt>
                <c:pt idx="100">
                  <c:v>865.06940700201301</c:v>
                </c:pt>
                <c:pt idx="101">
                  <c:v>843.56364387297208</c:v>
                </c:pt>
              </c:numCache>
            </c:numRef>
          </c:yVal>
          <c:smooth val="1"/>
        </c:ser>
        <c:ser>
          <c:idx val="71"/>
          <c:order val="70"/>
          <c:yVal>
            <c:numRef>
              <c:f>MCarlo_ar!$BV$15:$BV$116</c:f>
              <c:numCache>
                <c:formatCode>General</c:formatCode>
                <c:ptCount val="102"/>
                <c:pt idx="0">
                  <c:v>71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1261.9653916081941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1327.1305413473522</c:v>
                </c:pt>
                <c:pt idx="24">
                  <c:v>1294.1378648840339</c:v>
                </c:pt>
                <c:pt idx="25">
                  <c:v>1261.9653916081941</c:v>
                </c:pt>
                <c:pt idx="26">
                  <c:v>1294.1378648840339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1395.6606777721715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1360.9643312111432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1230.5927311380613</c:v>
                </c:pt>
                <c:pt idx="37">
                  <c:v>1261.9653916081941</c:v>
                </c:pt>
                <c:pt idx="38">
                  <c:v>1294.1378648840339</c:v>
                </c:pt>
                <c:pt idx="39">
                  <c:v>1327.1305413473522</c:v>
                </c:pt>
                <c:pt idx="40">
                  <c:v>1294.1378648840339</c:v>
                </c:pt>
                <c:pt idx="41">
                  <c:v>1261.9653916081941</c:v>
                </c:pt>
                <c:pt idx="42">
                  <c:v>1230.5927311380613</c:v>
                </c:pt>
                <c:pt idx="43">
                  <c:v>1261.9653916081941</c:v>
                </c:pt>
                <c:pt idx="44">
                  <c:v>1230.5927311380613</c:v>
                </c:pt>
                <c:pt idx="45">
                  <c:v>1261.9653916081941</c:v>
                </c:pt>
                <c:pt idx="46">
                  <c:v>1294.1378648840339</c:v>
                </c:pt>
                <c:pt idx="47">
                  <c:v>1261.9653916081941</c:v>
                </c:pt>
                <c:pt idx="48">
                  <c:v>1230.5927311380613</c:v>
                </c:pt>
                <c:pt idx="49">
                  <c:v>1200</c:v>
                </c:pt>
                <c:pt idx="50">
                  <c:v>1230.5927311380613</c:v>
                </c:pt>
                <c:pt idx="51">
                  <c:v>1200</c:v>
                </c:pt>
                <c:pt idx="52">
                  <c:v>1170.1678090266935</c:v>
                </c:pt>
                <c:pt idx="53">
                  <c:v>1141.0772510686099</c:v>
                </c:pt>
                <c:pt idx="54">
                  <c:v>1170.1678090266932</c:v>
                </c:pt>
                <c:pt idx="55">
                  <c:v>1199.9999999999998</c:v>
                </c:pt>
                <c:pt idx="56">
                  <c:v>1170.1678090266932</c:v>
                </c:pt>
                <c:pt idx="57">
                  <c:v>1141.0772510686097</c:v>
                </c:pt>
                <c:pt idx="58">
                  <c:v>1170.167809026693</c:v>
                </c:pt>
                <c:pt idx="59">
                  <c:v>1199.9999999999995</c:v>
                </c:pt>
                <c:pt idx="60">
                  <c:v>1170.167809026693</c:v>
                </c:pt>
                <c:pt idx="61">
                  <c:v>1141.0772510686097</c:v>
                </c:pt>
                <c:pt idx="62">
                  <c:v>1170.167809026693</c:v>
                </c:pt>
                <c:pt idx="63">
                  <c:v>1141.0772510686097</c:v>
                </c:pt>
                <c:pt idx="64">
                  <c:v>1112.7098890109644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1141.0772510686097</c:v>
                </c:pt>
                <c:pt idx="68">
                  <c:v>1112.7098890109644</c:v>
                </c:pt>
                <c:pt idx="69">
                  <c:v>1085.0477440885795</c:v>
                </c:pt>
                <c:pt idx="70">
                  <c:v>1112.7098890109644</c:v>
                </c:pt>
                <c:pt idx="71">
                  <c:v>1085.0477440885795</c:v>
                </c:pt>
                <c:pt idx="72">
                  <c:v>1058.0732844912411</c:v>
                </c:pt>
                <c:pt idx="73">
                  <c:v>1031.7694142523274</c:v>
                </c:pt>
                <c:pt idx="74">
                  <c:v>1058.0732844912411</c:v>
                </c:pt>
                <c:pt idx="75">
                  <c:v>1031.7694142523274</c:v>
                </c:pt>
                <c:pt idx="76">
                  <c:v>1006.1194624136672</c:v>
                </c:pt>
                <c:pt idx="77">
                  <c:v>981.10717245976286</c:v>
                </c:pt>
                <c:pt idx="78">
                  <c:v>956.7166920146791</c:v>
                </c:pt>
                <c:pt idx="79">
                  <c:v>981.10717245976286</c:v>
                </c:pt>
                <c:pt idx="80">
                  <c:v>1006.1194624136671</c:v>
                </c:pt>
                <c:pt idx="81">
                  <c:v>981.10717245976275</c:v>
                </c:pt>
                <c:pt idx="82">
                  <c:v>1006.119462413667</c:v>
                </c:pt>
                <c:pt idx="83">
                  <c:v>981.10717245976264</c:v>
                </c:pt>
                <c:pt idx="84">
                  <c:v>956.71669201467887</c:v>
                </c:pt>
                <c:pt idx="85">
                  <c:v>981.10717245976264</c:v>
                </c:pt>
                <c:pt idx="86">
                  <c:v>1006.1194624136668</c:v>
                </c:pt>
                <c:pt idx="87">
                  <c:v>981.10717245976264</c:v>
                </c:pt>
                <c:pt idx="88">
                  <c:v>956.71669201467887</c:v>
                </c:pt>
                <c:pt idx="89">
                  <c:v>932.93256279506875</c:v>
                </c:pt>
                <c:pt idx="90">
                  <c:v>956.71669201467876</c:v>
                </c:pt>
                <c:pt idx="91">
                  <c:v>932.93256279506875</c:v>
                </c:pt>
                <c:pt idx="92">
                  <c:v>909.73971081296975</c:v>
                </c:pt>
                <c:pt idx="93">
                  <c:v>932.93256279506875</c:v>
                </c:pt>
                <c:pt idx="94">
                  <c:v>956.71669201467876</c:v>
                </c:pt>
                <c:pt idx="95">
                  <c:v>932.93256279506875</c:v>
                </c:pt>
                <c:pt idx="96">
                  <c:v>909.73971081296975</c:v>
                </c:pt>
                <c:pt idx="97">
                  <c:v>887.12343682215874</c:v>
                </c:pt>
                <c:pt idx="98">
                  <c:v>909.73971081296975</c:v>
                </c:pt>
                <c:pt idx="99">
                  <c:v>887.12343682215874</c:v>
                </c:pt>
                <c:pt idx="100">
                  <c:v>909.73971081296975</c:v>
                </c:pt>
                <c:pt idx="101">
                  <c:v>887.12343682215874</c:v>
                </c:pt>
              </c:numCache>
            </c:numRef>
          </c:yVal>
          <c:smooth val="1"/>
        </c:ser>
        <c:ser>
          <c:idx val="72"/>
          <c:order val="71"/>
          <c:yVal>
            <c:numRef>
              <c:f>MCarlo_ar!$BW$15:$BW$116</c:f>
              <c:numCache>
                <c:formatCode>General</c:formatCode>
                <c:ptCount val="102"/>
                <c:pt idx="0">
                  <c:v>72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1058.0732844912411</c:v>
                </c:pt>
                <c:pt idx="11">
                  <c:v>1085.0477440885795</c:v>
                </c:pt>
                <c:pt idx="12">
                  <c:v>1058.0732844912411</c:v>
                </c:pt>
                <c:pt idx="13">
                  <c:v>1031.7694142523274</c:v>
                </c:pt>
                <c:pt idx="14">
                  <c:v>1058.0732844912411</c:v>
                </c:pt>
                <c:pt idx="15">
                  <c:v>1031.7694142523274</c:v>
                </c:pt>
                <c:pt idx="16">
                  <c:v>1058.0732844912411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1085.0477440885795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1031.7694142523274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981.10717245976286</c:v>
                </c:pt>
                <c:pt idx="38">
                  <c:v>956.7166920146791</c:v>
                </c:pt>
                <c:pt idx="39">
                  <c:v>981.10717245976286</c:v>
                </c:pt>
                <c:pt idx="40">
                  <c:v>1006.1194624136671</c:v>
                </c:pt>
                <c:pt idx="41">
                  <c:v>1031.7694142523271</c:v>
                </c:pt>
                <c:pt idx="42">
                  <c:v>1058.0732844912409</c:v>
                </c:pt>
                <c:pt idx="43">
                  <c:v>1085.0477440885793</c:v>
                </c:pt>
                <c:pt idx="44">
                  <c:v>1112.7098890109642</c:v>
                </c:pt>
                <c:pt idx="45">
                  <c:v>1085.0477440885793</c:v>
                </c:pt>
                <c:pt idx="46">
                  <c:v>1112.7098890109642</c:v>
                </c:pt>
                <c:pt idx="47">
                  <c:v>1141.0772510686095</c:v>
                </c:pt>
                <c:pt idx="48">
                  <c:v>1112.7098890109642</c:v>
                </c:pt>
                <c:pt idx="49">
                  <c:v>1085.0477440885793</c:v>
                </c:pt>
                <c:pt idx="50">
                  <c:v>1112.7098890109642</c:v>
                </c:pt>
                <c:pt idx="51">
                  <c:v>1141.0772510686095</c:v>
                </c:pt>
                <c:pt idx="52">
                  <c:v>1112.7098890109642</c:v>
                </c:pt>
                <c:pt idx="53">
                  <c:v>1141.0772510686095</c:v>
                </c:pt>
                <c:pt idx="54">
                  <c:v>1112.7098890109642</c:v>
                </c:pt>
                <c:pt idx="55">
                  <c:v>1085.0477440885793</c:v>
                </c:pt>
                <c:pt idx="56">
                  <c:v>1058.0732844912409</c:v>
                </c:pt>
                <c:pt idx="57">
                  <c:v>1085.0477440885793</c:v>
                </c:pt>
                <c:pt idx="58">
                  <c:v>1112.7098890109642</c:v>
                </c:pt>
                <c:pt idx="59">
                  <c:v>1141.0772510686095</c:v>
                </c:pt>
                <c:pt idx="60">
                  <c:v>1170.1678090266928</c:v>
                </c:pt>
                <c:pt idx="61">
                  <c:v>1199.9999999999993</c:v>
                </c:pt>
                <c:pt idx="62">
                  <c:v>1230.5927311380606</c:v>
                </c:pt>
                <c:pt idx="63">
                  <c:v>1199.9999999999993</c:v>
                </c:pt>
                <c:pt idx="64">
                  <c:v>1170.1678090266928</c:v>
                </c:pt>
                <c:pt idx="65">
                  <c:v>1199.9999999999993</c:v>
                </c:pt>
                <c:pt idx="66">
                  <c:v>1230.5927311380606</c:v>
                </c:pt>
                <c:pt idx="67">
                  <c:v>1261.9653916081934</c:v>
                </c:pt>
                <c:pt idx="68">
                  <c:v>1294.1378648840332</c:v>
                </c:pt>
                <c:pt idx="69">
                  <c:v>1261.9653916081934</c:v>
                </c:pt>
                <c:pt idx="70">
                  <c:v>1230.5927311380606</c:v>
                </c:pt>
                <c:pt idx="71">
                  <c:v>1261.9653916081934</c:v>
                </c:pt>
                <c:pt idx="72">
                  <c:v>1230.5927311380606</c:v>
                </c:pt>
                <c:pt idx="73">
                  <c:v>1199.9999999999993</c:v>
                </c:pt>
                <c:pt idx="74">
                  <c:v>1230.5927311380606</c:v>
                </c:pt>
                <c:pt idx="75">
                  <c:v>1261.9653916081934</c:v>
                </c:pt>
                <c:pt idx="76">
                  <c:v>1230.5927311380606</c:v>
                </c:pt>
                <c:pt idx="77">
                  <c:v>1261.9653916081934</c:v>
                </c:pt>
                <c:pt idx="78">
                  <c:v>1230.5927311380606</c:v>
                </c:pt>
                <c:pt idx="79">
                  <c:v>1261.9653916081934</c:v>
                </c:pt>
                <c:pt idx="80">
                  <c:v>1230.5927311380606</c:v>
                </c:pt>
                <c:pt idx="81">
                  <c:v>1199.9999999999993</c:v>
                </c:pt>
                <c:pt idx="82">
                  <c:v>1170.1678090266928</c:v>
                </c:pt>
                <c:pt idx="83">
                  <c:v>1141.0772510686095</c:v>
                </c:pt>
                <c:pt idx="84">
                  <c:v>1170.1678090266928</c:v>
                </c:pt>
                <c:pt idx="85">
                  <c:v>1199.9999999999993</c:v>
                </c:pt>
                <c:pt idx="86">
                  <c:v>1170.1678090266928</c:v>
                </c:pt>
                <c:pt idx="87">
                  <c:v>1199.9999999999993</c:v>
                </c:pt>
                <c:pt idx="88">
                  <c:v>1170.1678090266928</c:v>
                </c:pt>
                <c:pt idx="89">
                  <c:v>1199.9999999999993</c:v>
                </c:pt>
                <c:pt idx="90">
                  <c:v>1170.1678090266928</c:v>
                </c:pt>
                <c:pt idx="91">
                  <c:v>1141.0772510686095</c:v>
                </c:pt>
                <c:pt idx="92">
                  <c:v>1170.1678090266928</c:v>
                </c:pt>
                <c:pt idx="93">
                  <c:v>1199.9999999999993</c:v>
                </c:pt>
                <c:pt idx="94">
                  <c:v>1170.1678090266928</c:v>
                </c:pt>
                <c:pt idx="95">
                  <c:v>1199.9999999999993</c:v>
                </c:pt>
                <c:pt idx="96">
                  <c:v>1170.1678090266928</c:v>
                </c:pt>
                <c:pt idx="97">
                  <c:v>1199.9999999999993</c:v>
                </c:pt>
                <c:pt idx="98">
                  <c:v>1230.5927311380606</c:v>
                </c:pt>
                <c:pt idx="99">
                  <c:v>1199.9999999999993</c:v>
                </c:pt>
                <c:pt idx="100">
                  <c:v>1170.1678090266928</c:v>
                </c:pt>
                <c:pt idx="101">
                  <c:v>1199.9999999999993</c:v>
                </c:pt>
              </c:numCache>
            </c:numRef>
          </c:yVal>
          <c:smooth val="1"/>
        </c:ser>
        <c:ser>
          <c:idx val="73"/>
          <c:order val="72"/>
          <c:yVal>
            <c:numRef>
              <c:f>MCarlo_ar!$BX$15:$BX$116</c:f>
              <c:numCache>
                <c:formatCode>General</c:formatCode>
                <c:ptCount val="102"/>
                <c:pt idx="0">
                  <c:v>73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1170.1678090266935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1261.9653916081941</c:v>
                </c:pt>
                <c:pt idx="18">
                  <c:v>1230.5927311380613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1141.0772510686099</c:v>
                </c:pt>
                <c:pt idx="22">
                  <c:v>1112.7098890109644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1141.0772510686097</c:v>
                </c:pt>
                <c:pt idx="32">
                  <c:v>1170.167809026693</c:v>
                </c:pt>
                <c:pt idx="33">
                  <c:v>1199.9999999999995</c:v>
                </c:pt>
                <c:pt idx="34">
                  <c:v>1230.5927311380608</c:v>
                </c:pt>
                <c:pt idx="35">
                  <c:v>1199.9999999999995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1170.167809026693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1141.0772510686097</c:v>
                </c:pt>
                <c:pt idx="44">
                  <c:v>1170.167809026693</c:v>
                </c:pt>
                <c:pt idx="45">
                  <c:v>1141.0772510686097</c:v>
                </c:pt>
                <c:pt idx="46">
                  <c:v>1170.167809026693</c:v>
                </c:pt>
                <c:pt idx="47">
                  <c:v>1141.0772510686097</c:v>
                </c:pt>
                <c:pt idx="48">
                  <c:v>1112.7098890109644</c:v>
                </c:pt>
                <c:pt idx="49">
                  <c:v>1141.0772510686097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1058.0732844912411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1085.0477440885795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1141.0772510686097</c:v>
                </c:pt>
                <c:pt idx="64">
                  <c:v>1170.167809026693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1199.9999999999995</c:v>
                </c:pt>
                <c:pt idx="68">
                  <c:v>1230.5927311380608</c:v>
                </c:pt>
                <c:pt idx="69">
                  <c:v>1199.9999999999995</c:v>
                </c:pt>
                <c:pt idx="70">
                  <c:v>1230.5927311380608</c:v>
                </c:pt>
                <c:pt idx="71">
                  <c:v>1261.9653916081936</c:v>
                </c:pt>
                <c:pt idx="72">
                  <c:v>1230.5927311380608</c:v>
                </c:pt>
                <c:pt idx="73">
                  <c:v>1261.9653916081936</c:v>
                </c:pt>
                <c:pt idx="74">
                  <c:v>1230.5927311380608</c:v>
                </c:pt>
                <c:pt idx="75">
                  <c:v>1199.9999999999995</c:v>
                </c:pt>
                <c:pt idx="76">
                  <c:v>1170.167809026693</c:v>
                </c:pt>
                <c:pt idx="77">
                  <c:v>1199.9999999999995</c:v>
                </c:pt>
                <c:pt idx="78">
                  <c:v>1230.5927311380608</c:v>
                </c:pt>
                <c:pt idx="79">
                  <c:v>1199.9999999999995</c:v>
                </c:pt>
                <c:pt idx="80">
                  <c:v>1230.5927311380608</c:v>
                </c:pt>
                <c:pt idx="81">
                  <c:v>1261.9653916081936</c:v>
                </c:pt>
                <c:pt idx="82">
                  <c:v>1294.1378648840334</c:v>
                </c:pt>
                <c:pt idx="83">
                  <c:v>1327.1305413473517</c:v>
                </c:pt>
                <c:pt idx="84">
                  <c:v>1294.1378648840334</c:v>
                </c:pt>
                <c:pt idx="85">
                  <c:v>1261.9653916081936</c:v>
                </c:pt>
                <c:pt idx="86">
                  <c:v>1294.1378648840334</c:v>
                </c:pt>
                <c:pt idx="87">
                  <c:v>1261.9653916081936</c:v>
                </c:pt>
                <c:pt idx="88">
                  <c:v>1294.1378648840334</c:v>
                </c:pt>
                <c:pt idx="89">
                  <c:v>1327.1305413473517</c:v>
                </c:pt>
                <c:pt idx="90">
                  <c:v>1294.1378648840334</c:v>
                </c:pt>
                <c:pt idx="91">
                  <c:v>1261.9653916081936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1230.5927311380608</c:v>
                </c:pt>
                <c:pt idx="95">
                  <c:v>1199.9999999999995</c:v>
                </c:pt>
                <c:pt idx="96">
                  <c:v>1170.167809026693</c:v>
                </c:pt>
                <c:pt idx="97">
                  <c:v>1199.9999999999995</c:v>
                </c:pt>
                <c:pt idx="98">
                  <c:v>1170.167809026693</c:v>
                </c:pt>
                <c:pt idx="99">
                  <c:v>1141.0772510686097</c:v>
                </c:pt>
                <c:pt idx="100">
                  <c:v>1170.167809026693</c:v>
                </c:pt>
                <c:pt idx="101">
                  <c:v>1199.9999999999995</c:v>
                </c:pt>
              </c:numCache>
            </c:numRef>
          </c:yVal>
          <c:smooth val="1"/>
        </c:ser>
        <c:ser>
          <c:idx val="74"/>
          <c:order val="73"/>
          <c:yVal>
            <c:numRef>
              <c:f>MCarlo_ar!$BY$15:$BY$116</c:f>
              <c:numCache>
                <c:formatCode>General</c:formatCode>
                <c:ptCount val="102"/>
                <c:pt idx="0">
                  <c:v>74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1170.167809026693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1006.1194624136672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1031.7694142523274</c:v>
                </c:pt>
                <c:pt idx="28">
                  <c:v>1006.1194624136672</c:v>
                </c:pt>
                <c:pt idx="29">
                  <c:v>1031.7694142523274</c:v>
                </c:pt>
                <c:pt idx="30">
                  <c:v>1058.0732844912411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1058.0732844912411</c:v>
                </c:pt>
                <c:pt idx="37">
                  <c:v>1085.0477440885795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1031.7694142523274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1006.1194624136672</c:v>
                </c:pt>
                <c:pt idx="47">
                  <c:v>1031.7694142523274</c:v>
                </c:pt>
                <c:pt idx="48">
                  <c:v>1058.0732844912411</c:v>
                </c:pt>
                <c:pt idx="49">
                  <c:v>1085.0477440885795</c:v>
                </c:pt>
                <c:pt idx="50">
                  <c:v>1058.0732844912411</c:v>
                </c:pt>
                <c:pt idx="51">
                  <c:v>1085.0477440885795</c:v>
                </c:pt>
                <c:pt idx="52">
                  <c:v>1112.7098890109644</c:v>
                </c:pt>
                <c:pt idx="53">
                  <c:v>1141.0772510686097</c:v>
                </c:pt>
                <c:pt idx="54">
                  <c:v>1170.167809026693</c:v>
                </c:pt>
                <c:pt idx="55">
                  <c:v>1199.9999999999995</c:v>
                </c:pt>
                <c:pt idx="56">
                  <c:v>1170.167809026693</c:v>
                </c:pt>
                <c:pt idx="57">
                  <c:v>1199.9999999999995</c:v>
                </c:pt>
                <c:pt idx="58">
                  <c:v>1230.5927311380608</c:v>
                </c:pt>
                <c:pt idx="59">
                  <c:v>1199.9999999999995</c:v>
                </c:pt>
                <c:pt idx="60">
                  <c:v>1170.167809026693</c:v>
                </c:pt>
                <c:pt idx="61">
                  <c:v>1141.0772510686097</c:v>
                </c:pt>
                <c:pt idx="62">
                  <c:v>1170.167809026693</c:v>
                </c:pt>
                <c:pt idx="63">
                  <c:v>1141.0772510686097</c:v>
                </c:pt>
                <c:pt idx="64">
                  <c:v>1170.167809026693</c:v>
                </c:pt>
                <c:pt idx="65">
                  <c:v>1199.9999999999995</c:v>
                </c:pt>
                <c:pt idx="66">
                  <c:v>1230.5927311380608</c:v>
                </c:pt>
                <c:pt idx="67">
                  <c:v>1199.9999999999995</c:v>
                </c:pt>
                <c:pt idx="68">
                  <c:v>1230.5927311380608</c:v>
                </c:pt>
                <c:pt idx="69">
                  <c:v>1261.9653916081936</c:v>
                </c:pt>
                <c:pt idx="70">
                  <c:v>1294.1378648840334</c:v>
                </c:pt>
                <c:pt idx="71">
                  <c:v>1261.9653916081936</c:v>
                </c:pt>
                <c:pt idx="72">
                  <c:v>1294.1378648840334</c:v>
                </c:pt>
                <c:pt idx="73">
                  <c:v>1261.9653916081936</c:v>
                </c:pt>
                <c:pt idx="74">
                  <c:v>1294.1378648840334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1261.9653916081936</c:v>
                </c:pt>
                <c:pt idx="78">
                  <c:v>1230.5927311380608</c:v>
                </c:pt>
                <c:pt idx="79">
                  <c:v>1261.9653916081936</c:v>
                </c:pt>
                <c:pt idx="80">
                  <c:v>1294.1378648840334</c:v>
                </c:pt>
                <c:pt idx="81">
                  <c:v>1261.9653916081936</c:v>
                </c:pt>
                <c:pt idx="82">
                  <c:v>1294.1378648840334</c:v>
                </c:pt>
                <c:pt idx="83">
                  <c:v>1327.1305413473517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1431.2415710013781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1505.1477746955675</c:v>
                </c:pt>
                <c:pt idx="91">
                  <c:v>1543.5199256908281</c:v>
                </c:pt>
                <c:pt idx="92">
                  <c:v>1582.870334101578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1664.6063175329091</c:v>
                </c:pt>
                <c:pt idx="97">
                  <c:v>1707.0436954687445</c:v>
                </c:pt>
                <c:pt idx="98">
                  <c:v>1750.5629694824095</c:v>
                </c:pt>
                <c:pt idx="99">
                  <c:v>1795.1917213704276</c:v>
                </c:pt>
                <c:pt idx="100">
                  <c:v>1750.5629694824095</c:v>
                </c:pt>
                <c:pt idx="101">
                  <c:v>1707.0436954687445</c:v>
                </c:pt>
              </c:numCache>
            </c:numRef>
          </c:yVal>
          <c:smooth val="1"/>
        </c:ser>
        <c:ser>
          <c:idx val="75"/>
          <c:order val="74"/>
          <c:yVal>
            <c:numRef>
              <c:f>MCarlo_ar!$BZ$15:$BZ$116</c:f>
              <c:numCache>
                <c:formatCode>General</c:formatCode>
                <c:ptCount val="102"/>
                <c:pt idx="0">
                  <c:v>75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1360.9643312111432</c:v>
                </c:pt>
                <c:pt idx="19">
                  <c:v>1395.6606777721715</c:v>
                </c:pt>
                <c:pt idx="20">
                  <c:v>1431.2415710013786</c:v>
                </c:pt>
                <c:pt idx="21">
                  <c:v>1467.7295614807633</c:v>
                </c:pt>
                <c:pt idx="22">
                  <c:v>1505.1477746955679</c:v>
                </c:pt>
                <c:pt idx="23">
                  <c:v>1543.5199256908286</c:v>
                </c:pt>
                <c:pt idx="24">
                  <c:v>1505.1477746955679</c:v>
                </c:pt>
                <c:pt idx="25">
                  <c:v>1543.5199256908286</c:v>
                </c:pt>
                <c:pt idx="26">
                  <c:v>1505.1477746955679</c:v>
                </c:pt>
                <c:pt idx="27">
                  <c:v>1467.7295614807631</c:v>
                </c:pt>
                <c:pt idx="28">
                  <c:v>1431.2415710013784</c:v>
                </c:pt>
                <c:pt idx="29">
                  <c:v>1395.6606777721713</c:v>
                </c:pt>
                <c:pt idx="30">
                  <c:v>1360.964331211143</c:v>
                </c:pt>
                <c:pt idx="31">
                  <c:v>1395.6606777721713</c:v>
                </c:pt>
                <c:pt idx="32">
                  <c:v>1360.964331211143</c:v>
                </c:pt>
                <c:pt idx="33">
                  <c:v>1395.6606777721713</c:v>
                </c:pt>
                <c:pt idx="34">
                  <c:v>1431.2415710013784</c:v>
                </c:pt>
                <c:pt idx="35">
                  <c:v>1395.6606777721713</c:v>
                </c:pt>
                <c:pt idx="36">
                  <c:v>1360.964331211143</c:v>
                </c:pt>
                <c:pt idx="37">
                  <c:v>1327.1305413473519</c:v>
                </c:pt>
                <c:pt idx="38">
                  <c:v>1360.964331211143</c:v>
                </c:pt>
                <c:pt idx="39">
                  <c:v>1327.1305413473519</c:v>
                </c:pt>
                <c:pt idx="40">
                  <c:v>1294.1378648840337</c:v>
                </c:pt>
                <c:pt idx="41">
                  <c:v>1261.9653916081938</c:v>
                </c:pt>
                <c:pt idx="42">
                  <c:v>1230.592731138061</c:v>
                </c:pt>
                <c:pt idx="43">
                  <c:v>1261.9653916081938</c:v>
                </c:pt>
                <c:pt idx="44">
                  <c:v>1294.1378648840337</c:v>
                </c:pt>
                <c:pt idx="45">
                  <c:v>1327.1305413473519</c:v>
                </c:pt>
                <c:pt idx="46">
                  <c:v>1294.1378648840337</c:v>
                </c:pt>
                <c:pt idx="47">
                  <c:v>1327.1305413473519</c:v>
                </c:pt>
                <c:pt idx="48">
                  <c:v>1360.964331211143</c:v>
                </c:pt>
                <c:pt idx="49">
                  <c:v>1327.1305413473519</c:v>
                </c:pt>
                <c:pt idx="50">
                  <c:v>1294.1378648840337</c:v>
                </c:pt>
                <c:pt idx="51">
                  <c:v>1327.1305413473519</c:v>
                </c:pt>
                <c:pt idx="52">
                  <c:v>1360.964331211143</c:v>
                </c:pt>
                <c:pt idx="53">
                  <c:v>1395.6606777721713</c:v>
                </c:pt>
                <c:pt idx="54">
                  <c:v>1431.2415710013784</c:v>
                </c:pt>
                <c:pt idx="55">
                  <c:v>1467.7295614807631</c:v>
                </c:pt>
                <c:pt idx="56">
                  <c:v>1505.1477746955677</c:v>
                </c:pt>
                <c:pt idx="57">
                  <c:v>1467.7295614807629</c:v>
                </c:pt>
                <c:pt idx="58">
                  <c:v>1431.2415710013781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1327.1305413473517</c:v>
                </c:pt>
                <c:pt idx="68">
                  <c:v>1360.9643312111427</c:v>
                </c:pt>
                <c:pt idx="69">
                  <c:v>1327.1305413473517</c:v>
                </c:pt>
                <c:pt idx="70">
                  <c:v>1294.1378648840334</c:v>
                </c:pt>
                <c:pt idx="71">
                  <c:v>1261.9653916081936</c:v>
                </c:pt>
                <c:pt idx="72">
                  <c:v>1230.5927311380608</c:v>
                </c:pt>
                <c:pt idx="73">
                  <c:v>1261.9653916081936</c:v>
                </c:pt>
                <c:pt idx="74">
                  <c:v>1230.5927311380608</c:v>
                </c:pt>
                <c:pt idx="75">
                  <c:v>1261.9653916081936</c:v>
                </c:pt>
                <c:pt idx="76">
                  <c:v>1294.1378648840334</c:v>
                </c:pt>
                <c:pt idx="77">
                  <c:v>1261.9653916081936</c:v>
                </c:pt>
                <c:pt idx="78">
                  <c:v>1294.1378648840334</c:v>
                </c:pt>
                <c:pt idx="79">
                  <c:v>1261.9653916081936</c:v>
                </c:pt>
                <c:pt idx="80">
                  <c:v>1294.1378648840334</c:v>
                </c:pt>
                <c:pt idx="81">
                  <c:v>1261.9653916081936</c:v>
                </c:pt>
                <c:pt idx="82">
                  <c:v>1230.5927311380608</c:v>
                </c:pt>
                <c:pt idx="83">
                  <c:v>1261.9653916081936</c:v>
                </c:pt>
                <c:pt idx="84">
                  <c:v>1294.1378648840334</c:v>
                </c:pt>
                <c:pt idx="85">
                  <c:v>1261.9653916081936</c:v>
                </c:pt>
                <c:pt idx="86">
                  <c:v>1230.5927311380608</c:v>
                </c:pt>
                <c:pt idx="87">
                  <c:v>1199.9999999999995</c:v>
                </c:pt>
                <c:pt idx="88">
                  <c:v>1170.167809026693</c:v>
                </c:pt>
                <c:pt idx="89">
                  <c:v>1199.9999999999995</c:v>
                </c:pt>
                <c:pt idx="90">
                  <c:v>1170.167809026693</c:v>
                </c:pt>
                <c:pt idx="91">
                  <c:v>1199.9999999999995</c:v>
                </c:pt>
                <c:pt idx="92">
                  <c:v>1170.167809026693</c:v>
                </c:pt>
                <c:pt idx="93">
                  <c:v>1141.0772510686097</c:v>
                </c:pt>
                <c:pt idx="94">
                  <c:v>1112.7098890109644</c:v>
                </c:pt>
                <c:pt idx="95">
                  <c:v>1085.0477440885795</c:v>
                </c:pt>
                <c:pt idx="96">
                  <c:v>1112.7098890109644</c:v>
                </c:pt>
                <c:pt idx="97">
                  <c:v>1141.0772510686097</c:v>
                </c:pt>
                <c:pt idx="98">
                  <c:v>1170.167809026693</c:v>
                </c:pt>
                <c:pt idx="99">
                  <c:v>1199.9999999999995</c:v>
                </c:pt>
                <c:pt idx="100">
                  <c:v>1170.167809026693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76"/>
          <c:order val="75"/>
          <c:yVal>
            <c:numRef>
              <c:f>MCarlo_ar!$CA$15:$CA$116</c:f>
              <c:numCache>
                <c:formatCode>General</c:formatCode>
                <c:ptCount val="102"/>
                <c:pt idx="0">
                  <c:v>76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1360.9643312111432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1294.1378648840339</c:v>
                </c:pt>
                <c:pt idx="25">
                  <c:v>1327.1305413473522</c:v>
                </c:pt>
                <c:pt idx="26">
                  <c:v>1360.9643312111432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1395.6606777721715</c:v>
                </c:pt>
                <c:pt idx="32">
                  <c:v>1431.2415710013786</c:v>
                </c:pt>
                <c:pt idx="33">
                  <c:v>1395.6606777721715</c:v>
                </c:pt>
                <c:pt idx="34">
                  <c:v>1431.2415710013786</c:v>
                </c:pt>
                <c:pt idx="35">
                  <c:v>1395.6606777721715</c:v>
                </c:pt>
                <c:pt idx="36">
                  <c:v>1431.2415710013786</c:v>
                </c:pt>
                <c:pt idx="37">
                  <c:v>1467.7295614807633</c:v>
                </c:pt>
                <c:pt idx="38">
                  <c:v>1505.1477746955679</c:v>
                </c:pt>
                <c:pt idx="39">
                  <c:v>1467.7295614807631</c:v>
                </c:pt>
                <c:pt idx="40">
                  <c:v>1431.2415710013784</c:v>
                </c:pt>
                <c:pt idx="41">
                  <c:v>1395.6606777721713</c:v>
                </c:pt>
                <c:pt idx="42">
                  <c:v>1360.964331211143</c:v>
                </c:pt>
                <c:pt idx="43">
                  <c:v>1327.1305413473519</c:v>
                </c:pt>
                <c:pt idx="44">
                  <c:v>1360.964331211143</c:v>
                </c:pt>
                <c:pt idx="45">
                  <c:v>1395.6606777721713</c:v>
                </c:pt>
                <c:pt idx="46">
                  <c:v>1431.2415710013784</c:v>
                </c:pt>
                <c:pt idx="47">
                  <c:v>1395.6606777721713</c:v>
                </c:pt>
                <c:pt idx="48">
                  <c:v>1360.964331211143</c:v>
                </c:pt>
                <c:pt idx="49">
                  <c:v>1395.6606777721713</c:v>
                </c:pt>
                <c:pt idx="50">
                  <c:v>1360.964331211143</c:v>
                </c:pt>
                <c:pt idx="51">
                  <c:v>1395.6606777721713</c:v>
                </c:pt>
                <c:pt idx="52">
                  <c:v>1360.964331211143</c:v>
                </c:pt>
                <c:pt idx="53">
                  <c:v>1395.6606777721713</c:v>
                </c:pt>
                <c:pt idx="54">
                  <c:v>1431.2415710013784</c:v>
                </c:pt>
                <c:pt idx="55">
                  <c:v>1467.7295614807631</c:v>
                </c:pt>
                <c:pt idx="56">
                  <c:v>1505.1477746955677</c:v>
                </c:pt>
                <c:pt idx="57">
                  <c:v>1543.5199256908284</c:v>
                </c:pt>
                <c:pt idx="58">
                  <c:v>1582.8703341015782</c:v>
                </c:pt>
                <c:pt idx="59">
                  <c:v>1543.5199256908284</c:v>
                </c:pt>
                <c:pt idx="60">
                  <c:v>1505.1477746955677</c:v>
                </c:pt>
                <c:pt idx="61">
                  <c:v>1543.5199256908284</c:v>
                </c:pt>
                <c:pt idx="62">
                  <c:v>1505.1477746955677</c:v>
                </c:pt>
                <c:pt idx="63">
                  <c:v>1467.7295614807629</c:v>
                </c:pt>
                <c:pt idx="64">
                  <c:v>1505.1477746955675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1467.7295614807629</c:v>
                </c:pt>
                <c:pt idx="68">
                  <c:v>1505.1477746955675</c:v>
                </c:pt>
                <c:pt idx="69">
                  <c:v>1543.5199256908281</c:v>
                </c:pt>
                <c:pt idx="70">
                  <c:v>1505.1477746955675</c:v>
                </c:pt>
                <c:pt idx="71">
                  <c:v>1467.7295614807629</c:v>
                </c:pt>
                <c:pt idx="72">
                  <c:v>1431.2415710013781</c:v>
                </c:pt>
                <c:pt idx="73">
                  <c:v>1395.6606777721711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1360.9643312111427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1327.1305413473517</c:v>
                </c:pt>
                <c:pt idx="84">
                  <c:v>1360.9643312111427</c:v>
                </c:pt>
                <c:pt idx="85">
                  <c:v>1327.1305413473517</c:v>
                </c:pt>
                <c:pt idx="86">
                  <c:v>1360.9643312111427</c:v>
                </c:pt>
                <c:pt idx="87">
                  <c:v>1395.6606777721711</c:v>
                </c:pt>
                <c:pt idx="88">
                  <c:v>1360.9643312111427</c:v>
                </c:pt>
                <c:pt idx="89">
                  <c:v>1395.6606777721711</c:v>
                </c:pt>
                <c:pt idx="90">
                  <c:v>1431.2415710013781</c:v>
                </c:pt>
                <c:pt idx="91">
                  <c:v>1395.6606777721711</c:v>
                </c:pt>
                <c:pt idx="92">
                  <c:v>1360.9643312111427</c:v>
                </c:pt>
                <c:pt idx="93">
                  <c:v>1327.1305413473517</c:v>
                </c:pt>
                <c:pt idx="94">
                  <c:v>1360.9643312111427</c:v>
                </c:pt>
                <c:pt idx="95">
                  <c:v>1327.1305413473517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1360.9643312111427</c:v>
                </c:pt>
                <c:pt idx="99">
                  <c:v>1327.1305413473517</c:v>
                </c:pt>
                <c:pt idx="100">
                  <c:v>1294.1378648840334</c:v>
                </c:pt>
                <c:pt idx="101">
                  <c:v>1261.9653916081936</c:v>
                </c:pt>
              </c:numCache>
            </c:numRef>
          </c:yVal>
          <c:smooth val="1"/>
        </c:ser>
        <c:ser>
          <c:idx val="77"/>
          <c:order val="76"/>
          <c:yVal>
            <c:numRef>
              <c:f>MCarlo_ar!$CB$15:$CB$116</c:f>
              <c:numCache>
                <c:formatCode>General</c:formatCode>
                <c:ptCount val="102"/>
                <c:pt idx="0">
                  <c:v>77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1112.7098890109644</c:v>
                </c:pt>
                <c:pt idx="5">
                  <c:v>1085.0477440885795</c:v>
                </c:pt>
                <c:pt idx="6">
                  <c:v>1058.0732844912411</c:v>
                </c:pt>
                <c:pt idx="7">
                  <c:v>1031.7694142523274</c:v>
                </c:pt>
                <c:pt idx="8">
                  <c:v>1006.1194624136672</c:v>
                </c:pt>
                <c:pt idx="9">
                  <c:v>981.10717245976286</c:v>
                </c:pt>
                <c:pt idx="10">
                  <c:v>1006.1194624136671</c:v>
                </c:pt>
                <c:pt idx="11">
                  <c:v>1031.7694142523271</c:v>
                </c:pt>
                <c:pt idx="12">
                  <c:v>1006.119462413667</c:v>
                </c:pt>
                <c:pt idx="13">
                  <c:v>981.10717245976264</c:v>
                </c:pt>
                <c:pt idx="14">
                  <c:v>1006.1194624136668</c:v>
                </c:pt>
                <c:pt idx="15">
                  <c:v>1031.7694142523269</c:v>
                </c:pt>
                <c:pt idx="16">
                  <c:v>1006.1194624136668</c:v>
                </c:pt>
                <c:pt idx="17">
                  <c:v>1031.7694142523269</c:v>
                </c:pt>
                <c:pt idx="18">
                  <c:v>1058.0732844912407</c:v>
                </c:pt>
                <c:pt idx="19">
                  <c:v>1085.0477440885791</c:v>
                </c:pt>
                <c:pt idx="20">
                  <c:v>1058.0732844912407</c:v>
                </c:pt>
                <c:pt idx="21">
                  <c:v>1085.0477440885791</c:v>
                </c:pt>
                <c:pt idx="22">
                  <c:v>1112.7098890109639</c:v>
                </c:pt>
                <c:pt idx="23">
                  <c:v>1141.0772510686093</c:v>
                </c:pt>
                <c:pt idx="24">
                  <c:v>1170.1678090266926</c:v>
                </c:pt>
                <c:pt idx="25">
                  <c:v>1199.9999999999991</c:v>
                </c:pt>
                <c:pt idx="26">
                  <c:v>1230.5927311380603</c:v>
                </c:pt>
                <c:pt idx="27">
                  <c:v>1199.9999999999991</c:v>
                </c:pt>
                <c:pt idx="28">
                  <c:v>1230.5927311380603</c:v>
                </c:pt>
                <c:pt idx="29">
                  <c:v>1199.9999999999991</c:v>
                </c:pt>
                <c:pt idx="30">
                  <c:v>1230.5927311380603</c:v>
                </c:pt>
                <c:pt idx="31">
                  <c:v>1261.9653916081932</c:v>
                </c:pt>
                <c:pt idx="32">
                  <c:v>1230.5927311380603</c:v>
                </c:pt>
                <c:pt idx="33">
                  <c:v>1199.9999999999991</c:v>
                </c:pt>
                <c:pt idx="34">
                  <c:v>1230.5927311380603</c:v>
                </c:pt>
                <c:pt idx="35">
                  <c:v>1261.9653916081932</c:v>
                </c:pt>
                <c:pt idx="36">
                  <c:v>1230.5927311380603</c:v>
                </c:pt>
                <c:pt idx="37">
                  <c:v>1199.9999999999991</c:v>
                </c:pt>
                <c:pt idx="38">
                  <c:v>1230.5927311380603</c:v>
                </c:pt>
                <c:pt idx="39">
                  <c:v>1261.9653916081932</c:v>
                </c:pt>
                <c:pt idx="40">
                  <c:v>1294.137864884033</c:v>
                </c:pt>
                <c:pt idx="41">
                  <c:v>1327.1305413473513</c:v>
                </c:pt>
                <c:pt idx="42">
                  <c:v>1294.137864884033</c:v>
                </c:pt>
                <c:pt idx="43">
                  <c:v>1261.9653916081932</c:v>
                </c:pt>
                <c:pt idx="44">
                  <c:v>1230.5927311380603</c:v>
                </c:pt>
                <c:pt idx="45">
                  <c:v>1199.9999999999991</c:v>
                </c:pt>
                <c:pt idx="46">
                  <c:v>1170.1678090266926</c:v>
                </c:pt>
                <c:pt idx="47">
                  <c:v>1141.0772510686093</c:v>
                </c:pt>
                <c:pt idx="48">
                  <c:v>1112.7098890109639</c:v>
                </c:pt>
                <c:pt idx="49">
                  <c:v>1085.0477440885791</c:v>
                </c:pt>
                <c:pt idx="50">
                  <c:v>1058.0732844912407</c:v>
                </c:pt>
                <c:pt idx="51">
                  <c:v>1031.7694142523269</c:v>
                </c:pt>
                <c:pt idx="52">
                  <c:v>1058.0732844912407</c:v>
                </c:pt>
                <c:pt idx="53">
                  <c:v>1085.0477440885791</c:v>
                </c:pt>
                <c:pt idx="54">
                  <c:v>1058.0732844912407</c:v>
                </c:pt>
                <c:pt idx="55">
                  <c:v>1085.0477440885791</c:v>
                </c:pt>
                <c:pt idx="56">
                  <c:v>1058.0732844912407</c:v>
                </c:pt>
                <c:pt idx="57">
                  <c:v>1031.7694142523269</c:v>
                </c:pt>
                <c:pt idx="58">
                  <c:v>1058.0732844912407</c:v>
                </c:pt>
                <c:pt idx="59">
                  <c:v>1031.7694142523269</c:v>
                </c:pt>
                <c:pt idx="60">
                  <c:v>1058.0732844912407</c:v>
                </c:pt>
                <c:pt idx="61">
                  <c:v>1085.0477440885791</c:v>
                </c:pt>
                <c:pt idx="62">
                  <c:v>1112.7098890109639</c:v>
                </c:pt>
                <c:pt idx="63">
                  <c:v>1141.0772510686093</c:v>
                </c:pt>
                <c:pt idx="64">
                  <c:v>1112.7098890109639</c:v>
                </c:pt>
                <c:pt idx="65">
                  <c:v>1085.0477440885791</c:v>
                </c:pt>
                <c:pt idx="66">
                  <c:v>1112.7098890109639</c:v>
                </c:pt>
                <c:pt idx="67">
                  <c:v>1085.0477440885791</c:v>
                </c:pt>
                <c:pt idx="68">
                  <c:v>1058.0732844912407</c:v>
                </c:pt>
                <c:pt idx="69">
                  <c:v>1085.0477440885791</c:v>
                </c:pt>
                <c:pt idx="70">
                  <c:v>1058.0732844912407</c:v>
                </c:pt>
                <c:pt idx="71">
                  <c:v>1031.7694142523269</c:v>
                </c:pt>
                <c:pt idx="72">
                  <c:v>1006.1194624136668</c:v>
                </c:pt>
                <c:pt idx="73">
                  <c:v>1031.7694142523269</c:v>
                </c:pt>
                <c:pt idx="74">
                  <c:v>1058.0732844912407</c:v>
                </c:pt>
                <c:pt idx="75">
                  <c:v>1085.0477440885791</c:v>
                </c:pt>
                <c:pt idx="76">
                  <c:v>1112.7098890109639</c:v>
                </c:pt>
                <c:pt idx="77">
                  <c:v>1141.0772510686093</c:v>
                </c:pt>
                <c:pt idx="78">
                  <c:v>1170.1678090266926</c:v>
                </c:pt>
                <c:pt idx="79">
                  <c:v>1141.0772510686093</c:v>
                </c:pt>
                <c:pt idx="80">
                  <c:v>1170.1678090266926</c:v>
                </c:pt>
                <c:pt idx="81">
                  <c:v>1141.0772510686093</c:v>
                </c:pt>
                <c:pt idx="82">
                  <c:v>1170.1678090266926</c:v>
                </c:pt>
                <c:pt idx="83">
                  <c:v>1141.0772510686093</c:v>
                </c:pt>
                <c:pt idx="84">
                  <c:v>1170.1678090266926</c:v>
                </c:pt>
                <c:pt idx="85">
                  <c:v>1199.9999999999991</c:v>
                </c:pt>
                <c:pt idx="86">
                  <c:v>1170.1678090266926</c:v>
                </c:pt>
                <c:pt idx="87">
                  <c:v>1199.9999999999991</c:v>
                </c:pt>
                <c:pt idx="88">
                  <c:v>1170.1678090266926</c:v>
                </c:pt>
                <c:pt idx="89">
                  <c:v>1141.0772510686093</c:v>
                </c:pt>
                <c:pt idx="90">
                  <c:v>1112.7098890109639</c:v>
                </c:pt>
                <c:pt idx="91">
                  <c:v>1141.0772510686093</c:v>
                </c:pt>
                <c:pt idx="92">
                  <c:v>1112.7098890109639</c:v>
                </c:pt>
                <c:pt idx="93">
                  <c:v>1085.0477440885791</c:v>
                </c:pt>
                <c:pt idx="94">
                  <c:v>1058.0732844912407</c:v>
                </c:pt>
                <c:pt idx="95">
                  <c:v>1031.7694142523269</c:v>
                </c:pt>
                <c:pt idx="96">
                  <c:v>1058.0732844912407</c:v>
                </c:pt>
                <c:pt idx="97">
                  <c:v>1031.7694142523269</c:v>
                </c:pt>
                <c:pt idx="98">
                  <c:v>1006.1194624136668</c:v>
                </c:pt>
                <c:pt idx="99">
                  <c:v>1031.7694142523269</c:v>
                </c:pt>
                <c:pt idx="100">
                  <c:v>1006.1194624136668</c:v>
                </c:pt>
                <c:pt idx="101">
                  <c:v>1031.7694142523269</c:v>
                </c:pt>
              </c:numCache>
            </c:numRef>
          </c:yVal>
          <c:smooth val="1"/>
        </c:ser>
        <c:ser>
          <c:idx val="78"/>
          <c:order val="77"/>
          <c:yVal>
            <c:numRef>
              <c:f>MCarlo_ar!$CC$15:$CC$116</c:f>
              <c:numCache>
                <c:formatCode>General</c:formatCode>
                <c:ptCount val="102"/>
                <c:pt idx="0">
                  <c:v>78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1431.2415710013786</c:v>
                </c:pt>
                <c:pt idx="15">
                  <c:v>1395.6606777721715</c:v>
                </c:pt>
                <c:pt idx="16">
                  <c:v>1431.2415710013786</c:v>
                </c:pt>
                <c:pt idx="17">
                  <c:v>1395.6606777721715</c:v>
                </c:pt>
                <c:pt idx="18">
                  <c:v>1360.9643312111432</c:v>
                </c:pt>
                <c:pt idx="19">
                  <c:v>1395.6606777721715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1360.9643312111432</c:v>
                </c:pt>
                <c:pt idx="23">
                  <c:v>1327.1305413473522</c:v>
                </c:pt>
                <c:pt idx="24">
                  <c:v>1294.1378648840339</c:v>
                </c:pt>
                <c:pt idx="25">
                  <c:v>1327.1305413473522</c:v>
                </c:pt>
                <c:pt idx="26">
                  <c:v>1360.9643312111432</c:v>
                </c:pt>
                <c:pt idx="27">
                  <c:v>1395.6606777721715</c:v>
                </c:pt>
                <c:pt idx="28">
                  <c:v>1431.2415710013786</c:v>
                </c:pt>
                <c:pt idx="29">
                  <c:v>1467.7295614807633</c:v>
                </c:pt>
                <c:pt idx="30">
                  <c:v>1431.2415710013786</c:v>
                </c:pt>
                <c:pt idx="31">
                  <c:v>1467.7295614807633</c:v>
                </c:pt>
                <c:pt idx="32">
                  <c:v>1505.1477746955679</c:v>
                </c:pt>
                <c:pt idx="33">
                  <c:v>1467.7295614807631</c:v>
                </c:pt>
                <c:pt idx="34">
                  <c:v>1505.1477746955677</c:v>
                </c:pt>
                <c:pt idx="35">
                  <c:v>1467.7295614807629</c:v>
                </c:pt>
                <c:pt idx="36">
                  <c:v>1505.1477746955675</c:v>
                </c:pt>
                <c:pt idx="37">
                  <c:v>1543.5199256908281</c:v>
                </c:pt>
                <c:pt idx="38">
                  <c:v>1505.1477746955675</c:v>
                </c:pt>
                <c:pt idx="39">
                  <c:v>1467.7295614807629</c:v>
                </c:pt>
                <c:pt idx="40">
                  <c:v>1431.2415710013781</c:v>
                </c:pt>
                <c:pt idx="41">
                  <c:v>1467.7295614807629</c:v>
                </c:pt>
                <c:pt idx="42">
                  <c:v>1431.2415710013781</c:v>
                </c:pt>
                <c:pt idx="43">
                  <c:v>1395.6606777721711</c:v>
                </c:pt>
                <c:pt idx="44">
                  <c:v>1431.2415710013781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1327.1305413473517</c:v>
                </c:pt>
                <c:pt idx="48">
                  <c:v>1360.9643312111427</c:v>
                </c:pt>
                <c:pt idx="49">
                  <c:v>1395.6606777721711</c:v>
                </c:pt>
                <c:pt idx="50">
                  <c:v>1360.9643312111427</c:v>
                </c:pt>
                <c:pt idx="51">
                  <c:v>1395.6606777721711</c:v>
                </c:pt>
                <c:pt idx="52">
                  <c:v>1360.9643312111427</c:v>
                </c:pt>
                <c:pt idx="53">
                  <c:v>1395.6606777721711</c:v>
                </c:pt>
                <c:pt idx="54">
                  <c:v>1360.9643312111427</c:v>
                </c:pt>
                <c:pt idx="55">
                  <c:v>1395.6606777721711</c:v>
                </c:pt>
                <c:pt idx="56">
                  <c:v>1360.9643312111427</c:v>
                </c:pt>
                <c:pt idx="57">
                  <c:v>1327.1305413473517</c:v>
                </c:pt>
                <c:pt idx="58">
                  <c:v>1360.9643312111427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1327.1305413473517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1395.6606777721711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1360.9643312111427</c:v>
                </c:pt>
                <c:pt idx="69">
                  <c:v>1395.6606777721711</c:v>
                </c:pt>
                <c:pt idx="70">
                  <c:v>1360.9643312111427</c:v>
                </c:pt>
                <c:pt idx="71">
                  <c:v>1327.1305413473517</c:v>
                </c:pt>
                <c:pt idx="72">
                  <c:v>1360.9643312111427</c:v>
                </c:pt>
                <c:pt idx="73">
                  <c:v>1395.6606777721711</c:v>
                </c:pt>
                <c:pt idx="74">
                  <c:v>1431.2415710013781</c:v>
                </c:pt>
                <c:pt idx="75">
                  <c:v>1395.6606777721711</c:v>
                </c:pt>
                <c:pt idx="76">
                  <c:v>1431.2415710013781</c:v>
                </c:pt>
                <c:pt idx="77">
                  <c:v>1395.6606777721711</c:v>
                </c:pt>
                <c:pt idx="78">
                  <c:v>1431.2415710013781</c:v>
                </c:pt>
                <c:pt idx="79">
                  <c:v>1395.6606777721711</c:v>
                </c:pt>
                <c:pt idx="80">
                  <c:v>1431.2415710013781</c:v>
                </c:pt>
                <c:pt idx="81">
                  <c:v>1467.7295614807629</c:v>
                </c:pt>
                <c:pt idx="82">
                  <c:v>1505.1477746955675</c:v>
                </c:pt>
                <c:pt idx="83">
                  <c:v>1467.7295614807629</c:v>
                </c:pt>
                <c:pt idx="84">
                  <c:v>1505.1477746955675</c:v>
                </c:pt>
                <c:pt idx="85">
                  <c:v>1543.5199256908281</c:v>
                </c:pt>
                <c:pt idx="86">
                  <c:v>1582.870334101578</c:v>
                </c:pt>
                <c:pt idx="87">
                  <c:v>1543.5199256908281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1582.870334101578</c:v>
                </c:pt>
                <c:pt idx="91">
                  <c:v>1543.5199256908281</c:v>
                </c:pt>
                <c:pt idx="92">
                  <c:v>1582.870334101578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1623.2239395662305</c:v>
                </c:pt>
                <c:pt idx="96">
                  <c:v>1582.870334101578</c:v>
                </c:pt>
                <c:pt idx="97">
                  <c:v>1543.5199256908281</c:v>
                </c:pt>
                <c:pt idx="98">
                  <c:v>1582.870334101578</c:v>
                </c:pt>
                <c:pt idx="99">
                  <c:v>1543.5199256908281</c:v>
                </c:pt>
                <c:pt idx="100">
                  <c:v>1505.1477746955675</c:v>
                </c:pt>
                <c:pt idx="101">
                  <c:v>1543.5199256908281</c:v>
                </c:pt>
              </c:numCache>
            </c:numRef>
          </c:yVal>
          <c:smooth val="1"/>
        </c:ser>
        <c:ser>
          <c:idx val="79"/>
          <c:order val="78"/>
          <c:yVal>
            <c:numRef>
              <c:f>MCarlo_ar!$CD$15:$CD$116</c:f>
              <c:numCache>
                <c:formatCode>General</c:formatCode>
                <c:ptCount val="102"/>
                <c:pt idx="0">
                  <c:v>79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1112.7098890109644</c:v>
                </c:pt>
                <c:pt idx="21">
                  <c:v>1141.0772510686097</c:v>
                </c:pt>
                <c:pt idx="22">
                  <c:v>1170.167809026693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1170.167809026693</c:v>
                </c:pt>
                <c:pt idx="29">
                  <c:v>1141.0772510686097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981.10717245976286</c:v>
                </c:pt>
                <c:pt idx="38">
                  <c:v>1006.1194624136671</c:v>
                </c:pt>
                <c:pt idx="39">
                  <c:v>981.10717245976275</c:v>
                </c:pt>
                <c:pt idx="40">
                  <c:v>1006.119462413667</c:v>
                </c:pt>
                <c:pt idx="41">
                  <c:v>981.10717245976264</c:v>
                </c:pt>
                <c:pt idx="42">
                  <c:v>1006.1194624136668</c:v>
                </c:pt>
                <c:pt idx="43">
                  <c:v>981.10717245976264</c:v>
                </c:pt>
                <c:pt idx="44">
                  <c:v>956.71669201467887</c:v>
                </c:pt>
                <c:pt idx="45">
                  <c:v>981.10717245976264</c:v>
                </c:pt>
                <c:pt idx="46">
                  <c:v>956.71669201467887</c:v>
                </c:pt>
                <c:pt idx="47">
                  <c:v>981.10717245976264</c:v>
                </c:pt>
                <c:pt idx="48">
                  <c:v>1006.1194624136668</c:v>
                </c:pt>
                <c:pt idx="49">
                  <c:v>1031.7694142523269</c:v>
                </c:pt>
                <c:pt idx="50">
                  <c:v>1006.1194624136668</c:v>
                </c:pt>
                <c:pt idx="51">
                  <c:v>1031.7694142523269</c:v>
                </c:pt>
                <c:pt idx="52">
                  <c:v>1006.1194624136668</c:v>
                </c:pt>
                <c:pt idx="53">
                  <c:v>1031.7694142523269</c:v>
                </c:pt>
                <c:pt idx="54">
                  <c:v>1058.0732844912407</c:v>
                </c:pt>
                <c:pt idx="55">
                  <c:v>1085.0477440885791</c:v>
                </c:pt>
                <c:pt idx="56">
                  <c:v>1112.7098890109639</c:v>
                </c:pt>
                <c:pt idx="57">
                  <c:v>1141.0772510686093</c:v>
                </c:pt>
                <c:pt idx="58">
                  <c:v>1112.7098890109639</c:v>
                </c:pt>
                <c:pt idx="59">
                  <c:v>1141.0772510686093</c:v>
                </c:pt>
                <c:pt idx="60">
                  <c:v>1112.7098890109639</c:v>
                </c:pt>
                <c:pt idx="61">
                  <c:v>1085.0477440885791</c:v>
                </c:pt>
                <c:pt idx="62">
                  <c:v>1058.0732844912407</c:v>
                </c:pt>
                <c:pt idx="63">
                  <c:v>1085.0477440885791</c:v>
                </c:pt>
                <c:pt idx="64">
                  <c:v>1112.7098890109639</c:v>
                </c:pt>
                <c:pt idx="65">
                  <c:v>1085.0477440885791</c:v>
                </c:pt>
                <c:pt idx="66">
                  <c:v>1058.0732844912407</c:v>
                </c:pt>
                <c:pt idx="67">
                  <c:v>1085.0477440885791</c:v>
                </c:pt>
                <c:pt idx="68">
                  <c:v>1112.7098890109639</c:v>
                </c:pt>
                <c:pt idx="69">
                  <c:v>1085.0477440885791</c:v>
                </c:pt>
                <c:pt idx="70">
                  <c:v>1112.7098890109639</c:v>
                </c:pt>
                <c:pt idx="71">
                  <c:v>1085.0477440885791</c:v>
                </c:pt>
                <c:pt idx="72">
                  <c:v>1058.0732844912407</c:v>
                </c:pt>
                <c:pt idx="73">
                  <c:v>1085.0477440885791</c:v>
                </c:pt>
                <c:pt idx="74">
                  <c:v>1058.0732844912407</c:v>
                </c:pt>
                <c:pt idx="75">
                  <c:v>1085.0477440885791</c:v>
                </c:pt>
                <c:pt idx="76">
                  <c:v>1058.0732844912407</c:v>
                </c:pt>
                <c:pt idx="77">
                  <c:v>1031.7694142523269</c:v>
                </c:pt>
                <c:pt idx="78">
                  <c:v>1058.0732844912407</c:v>
                </c:pt>
                <c:pt idx="79">
                  <c:v>1031.7694142523269</c:v>
                </c:pt>
                <c:pt idx="80">
                  <c:v>1006.1194624136668</c:v>
                </c:pt>
                <c:pt idx="81">
                  <c:v>981.10717245976264</c:v>
                </c:pt>
                <c:pt idx="82">
                  <c:v>1006.1194624136668</c:v>
                </c:pt>
                <c:pt idx="83">
                  <c:v>1031.7694142523269</c:v>
                </c:pt>
                <c:pt idx="84">
                  <c:v>1058.0732844912407</c:v>
                </c:pt>
                <c:pt idx="85">
                  <c:v>1085.0477440885791</c:v>
                </c:pt>
                <c:pt idx="86">
                  <c:v>1112.7098890109639</c:v>
                </c:pt>
                <c:pt idx="87">
                  <c:v>1141.0772510686093</c:v>
                </c:pt>
                <c:pt idx="88">
                  <c:v>1170.1678090266926</c:v>
                </c:pt>
                <c:pt idx="89">
                  <c:v>1141.0772510686093</c:v>
                </c:pt>
                <c:pt idx="90">
                  <c:v>1170.1678090266926</c:v>
                </c:pt>
                <c:pt idx="91">
                  <c:v>1199.9999999999991</c:v>
                </c:pt>
                <c:pt idx="92">
                  <c:v>1230.5927311380603</c:v>
                </c:pt>
                <c:pt idx="93">
                  <c:v>1199.9999999999991</c:v>
                </c:pt>
                <c:pt idx="94">
                  <c:v>1170.1678090266926</c:v>
                </c:pt>
                <c:pt idx="95">
                  <c:v>1199.9999999999991</c:v>
                </c:pt>
                <c:pt idx="96">
                  <c:v>1230.5927311380603</c:v>
                </c:pt>
                <c:pt idx="97">
                  <c:v>1199.9999999999991</c:v>
                </c:pt>
                <c:pt idx="98">
                  <c:v>1230.5927311380603</c:v>
                </c:pt>
                <c:pt idx="99">
                  <c:v>1261.9653916081932</c:v>
                </c:pt>
                <c:pt idx="100">
                  <c:v>1230.5927311380603</c:v>
                </c:pt>
                <c:pt idx="101">
                  <c:v>1199.9999999999991</c:v>
                </c:pt>
              </c:numCache>
            </c:numRef>
          </c:yVal>
          <c:smooth val="1"/>
        </c:ser>
        <c:ser>
          <c:idx val="80"/>
          <c:order val="79"/>
          <c:yVal>
            <c:numRef>
              <c:f>MCarlo_ar!$CE$15:$CE$116</c:f>
              <c:numCache>
                <c:formatCode>General</c:formatCode>
                <c:ptCount val="102"/>
                <c:pt idx="0">
                  <c:v>80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1199.9999999999998</c:v>
                </c:pt>
                <c:pt idx="6">
                  <c:v>1230.592731138061</c:v>
                </c:pt>
                <c:pt idx="7">
                  <c:v>1261.9653916081938</c:v>
                </c:pt>
                <c:pt idx="8">
                  <c:v>1230.592731138061</c:v>
                </c:pt>
                <c:pt idx="9">
                  <c:v>1261.9653916081938</c:v>
                </c:pt>
                <c:pt idx="10">
                  <c:v>1294.1378648840337</c:v>
                </c:pt>
                <c:pt idx="11">
                  <c:v>1327.1305413473519</c:v>
                </c:pt>
                <c:pt idx="12">
                  <c:v>1360.964331211143</c:v>
                </c:pt>
                <c:pt idx="13">
                  <c:v>1395.6606777721713</c:v>
                </c:pt>
                <c:pt idx="14">
                  <c:v>1360.964331211143</c:v>
                </c:pt>
                <c:pt idx="15">
                  <c:v>1395.6606777721713</c:v>
                </c:pt>
                <c:pt idx="16">
                  <c:v>1431.2415710013784</c:v>
                </c:pt>
                <c:pt idx="17">
                  <c:v>1467.7295614807631</c:v>
                </c:pt>
                <c:pt idx="18">
                  <c:v>1431.2415710013784</c:v>
                </c:pt>
                <c:pt idx="19">
                  <c:v>1395.6606777721713</c:v>
                </c:pt>
                <c:pt idx="20">
                  <c:v>1431.2415710013784</c:v>
                </c:pt>
                <c:pt idx="21">
                  <c:v>1467.7295614807631</c:v>
                </c:pt>
                <c:pt idx="22">
                  <c:v>1505.1477746955677</c:v>
                </c:pt>
                <c:pt idx="23">
                  <c:v>1467.7295614807629</c:v>
                </c:pt>
                <c:pt idx="24">
                  <c:v>1505.1477746955675</c:v>
                </c:pt>
                <c:pt idx="25">
                  <c:v>1467.7295614807629</c:v>
                </c:pt>
                <c:pt idx="26">
                  <c:v>1505.1477746955675</c:v>
                </c:pt>
                <c:pt idx="27">
                  <c:v>1543.5199256908281</c:v>
                </c:pt>
                <c:pt idx="28">
                  <c:v>1505.1477746955675</c:v>
                </c:pt>
                <c:pt idx="29">
                  <c:v>1467.7295614807629</c:v>
                </c:pt>
                <c:pt idx="30">
                  <c:v>1505.1477746955675</c:v>
                </c:pt>
                <c:pt idx="31">
                  <c:v>1467.7295614807629</c:v>
                </c:pt>
                <c:pt idx="32">
                  <c:v>1431.2415710013781</c:v>
                </c:pt>
                <c:pt idx="33">
                  <c:v>1395.6606777721711</c:v>
                </c:pt>
                <c:pt idx="34">
                  <c:v>1431.2415710013781</c:v>
                </c:pt>
                <c:pt idx="35">
                  <c:v>1395.6606777721711</c:v>
                </c:pt>
                <c:pt idx="36">
                  <c:v>1360.9643312111427</c:v>
                </c:pt>
                <c:pt idx="37">
                  <c:v>1327.1305413473517</c:v>
                </c:pt>
                <c:pt idx="38">
                  <c:v>1360.9643312111427</c:v>
                </c:pt>
                <c:pt idx="39">
                  <c:v>1395.6606777721711</c:v>
                </c:pt>
                <c:pt idx="40">
                  <c:v>1360.9643312111427</c:v>
                </c:pt>
                <c:pt idx="41">
                  <c:v>1327.1305413473517</c:v>
                </c:pt>
                <c:pt idx="42">
                  <c:v>1360.9643312111427</c:v>
                </c:pt>
                <c:pt idx="43">
                  <c:v>1395.6606777721711</c:v>
                </c:pt>
                <c:pt idx="44">
                  <c:v>1360.9643312111427</c:v>
                </c:pt>
                <c:pt idx="45">
                  <c:v>1327.1305413473517</c:v>
                </c:pt>
                <c:pt idx="46">
                  <c:v>1294.1378648840334</c:v>
                </c:pt>
                <c:pt idx="47">
                  <c:v>1261.9653916081936</c:v>
                </c:pt>
                <c:pt idx="48">
                  <c:v>1230.5927311380608</c:v>
                </c:pt>
                <c:pt idx="49">
                  <c:v>1199.9999999999995</c:v>
                </c:pt>
                <c:pt idx="50">
                  <c:v>1170.167809026693</c:v>
                </c:pt>
                <c:pt idx="51">
                  <c:v>1199.9999999999995</c:v>
                </c:pt>
                <c:pt idx="52">
                  <c:v>1230.5927311380608</c:v>
                </c:pt>
                <c:pt idx="53">
                  <c:v>1261.9653916081936</c:v>
                </c:pt>
                <c:pt idx="54">
                  <c:v>1294.1378648840334</c:v>
                </c:pt>
                <c:pt idx="55">
                  <c:v>1261.9653916081936</c:v>
                </c:pt>
                <c:pt idx="56">
                  <c:v>1294.1378648840334</c:v>
                </c:pt>
                <c:pt idx="57">
                  <c:v>1261.9653916081936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1294.1378648840334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1261.9653916081936</c:v>
                </c:pt>
                <c:pt idx="64">
                  <c:v>1230.5927311380608</c:v>
                </c:pt>
                <c:pt idx="65">
                  <c:v>1199.9999999999995</c:v>
                </c:pt>
                <c:pt idx="66">
                  <c:v>1170.167809026693</c:v>
                </c:pt>
                <c:pt idx="67">
                  <c:v>1199.9999999999995</c:v>
                </c:pt>
                <c:pt idx="68">
                  <c:v>1230.5927311380608</c:v>
                </c:pt>
                <c:pt idx="69">
                  <c:v>1199.9999999999995</c:v>
                </c:pt>
                <c:pt idx="70">
                  <c:v>1170.167809026693</c:v>
                </c:pt>
                <c:pt idx="71">
                  <c:v>1199.9999999999995</c:v>
                </c:pt>
                <c:pt idx="72">
                  <c:v>1230.5927311380608</c:v>
                </c:pt>
                <c:pt idx="73">
                  <c:v>1261.9653916081936</c:v>
                </c:pt>
                <c:pt idx="74">
                  <c:v>1230.5927311380608</c:v>
                </c:pt>
                <c:pt idx="75">
                  <c:v>1261.9653916081936</c:v>
                </c:pt>
                <c:pt idx="76">
                  <c:v>1230.5927311380608</c:v>
                </c:pt>
                <c:pt idx="77">
                  <c:v>1199.9999999999995</c:v>
                </c:pt>
                <c:pt idx="78">
                  <c:v>1230.5927311380608</c:v>
                </c:pt>
                <c:pt idx="79">
                  <c:v>1199.9999999999995</c:v>
                </c:pt>
                <c:pt idx="80">
                  <c:v>1230.5927311380608</c:v>
                </c:pt>
                <c:pt idx="81">
                  <c:v>1261.9653916081936</c:v>
                </c:pt>
                <c:pt idx="82">
                  <c:v>1230.5927311380608</c:v>
                </c:pt>
                <c:pt idx="83">
                  <c:v>1261.9653916081936</c:v>
                </c:pt>
                <c:pt idx="84">
                  <c:v>1230.5927311380608</c:v>
                </c:pt>
                <c:pt idx="85">
                  <c:v>1199.9999999999995</c:v>
                </c:pt>
                <c:pt idx="86">
                  <c:v>1170.167809026693</c:v>
                </c:pt>
                <c:pt idx="87">
                  <c:v>1199.9999999999995</c:v>
                </c:pt>
                <c:pt idx="88">
                  <c:v>1170.167809026693</c:v>
                </c:pt>
                <c:pt idx="89">
                  <c:v>1141.0772510686097</c:v>
                </c:pt>
                <c:pt idx="90">
                  <c:v>1170.167809026693</c:v>
                </c:pt>
                <c:pt idx="91">
                  <c:v>1199.9999999999995</c:v>
                </c:pt>
                <c:pt idx="92">
                  <c:v>1170.167809026693</c:v>
                </c:pt>
                <c:pt idx="93">
                  <c:v>1141.0772510686097</c:v>
                </c:pt>
                <c:pt idx="94">
                  <c:v>1170.167809026693</c:v>
                </c:pt>
                <c:pt idx="95">
                  <c:v>1141.0772510686097</c:v>
                </c:pt>
                <c:pt idx="96">
                  <c:v>1170.167809026693</c:v>
                </c:pt>
                <c:pt idx="97">
                  <c:v>1141.0772510686097</c:v>
                </c:pt>
                <c:pt idx="98">
                  <c:v>1170.167809026693</c:v>
                </c:pt>
                <c:pt idx="99">
                  <c:v>1199.9999999999995</c:v>
                </c:pt>
                <c:pt idx="100">
                  <c:v>1170.167809026693</c:v>
                </c:pt>
                <c:pt idx="101">
                  <c:v>1141.0772510686097</c:v>
                </c:pt>
              </c:numCache>
            </c:numRef>
          </c:yVal>
          <c:smooth val="1"/>
        </c:ser>
        <c:ser>
          <c:idx val="81"/>
          <c:order val="80"/>
          <c:yVal>
            <c:numRef>
              <c:f>MCarlo_ar!$CF$15:$CF$116</c:f>
              <c:numCache>
                <c:formatCode>General</c:formatCode>
                <c:ptCount val="102"/>
                <c:pt idx="0">
                  <c:v>81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1141.0772510686097</c:v>
                </c:pt>
                <c:pt idx="6">
                  <c:v>1112.7098890109644</c:v>
                </c:pt>
                <c:pt idx="7">
                  <c:v>1141.0772510686097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1058.0732844912411</c:v>
                </c:pt>
                <c:pt idx="11">
                  <c:v>1085.0477440885795</c:v>
                </c:pt>
                <c:pt idx="12">
                  <c:v>1112.7098890109644</c:v>
                </c:pt>
                <c:pt idx="13">
                  <c:v>1085.0477440885795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1170.167809026693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1085.0477440885795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1058.0732844912411</c:v>
                </c:pt>
                <c:pt idx="27">
                  <c:v>1085.0477440885795</c:v>
                </c:pt>
                <c:pt idx="28">
                  <c:v>1058.0732844912411</c:v>
                </c:pt>
                <c:pt idx="29">
                  <c:v>1085.0477440885795</c:v>
                </c:pt>
                <c:pt idx="30">
                  <c:v>1058.0732844912411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1006.1194624136672</c:v>
                </c:pt>
                <c:pt idx="37">
                  <c:v>1031.7694142523274</c:v>
                </c:pt>
                <c:pt idx="38">
                  <c:v>1058.0732844912411</c:v>
                </c:pt>
                <c:pt idx="39">
                  <c:v>1031.7694142523274</c:v>
                </c:pt>
                <c:pt idx="40">
                  <c:v>1006.1194624136672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1031.7694142523274</c:v>
                </c:pt>
                <c:pt idx="44">
                  <c:v>1006.1194624136672</c:v>
                </c:pt>
                <c:pt idx="45">
                  <c:v>981.10717245976286</c:v>
                </c:pt>
                <c:pt idx="46">
                  <c:v>956.7166920146791</c:v>
                </c:pt>
                <c:pt idx="47">
                  <c:v>981.10717245976286</c:v>
                </c:pt>
                <c:pt idx="48">
                  <c:v>1006.1194624136671</c:v>
                </c:pt>
                <c:pt idx="49">
                  <c:v>981.10717245976275</c:v>
                </c:pt>
                <c:pt idx="50">
                  <c:v>956.71669201467898</c:v>
                </c:pt>
                <c:pt idx="51">
                  <c:v>932.93256279506886</c:v>
                </c:pt>
                <c:pt idx="52">
                  <c:v>956.71669201467887</c:v>
                </c:pt>
                <c:pt idx="53">
                  <c:v>932.93256279506875</c:v>
                </c:pt>
                <c:pt idx="54">
                  <c:v>909.73971081296975</c:v>
                </c:pt>
                <c:pt idx="55">
                  <c:v>887.12343682215874</c:v>
                </c:pt>
                <c:pt idx="56">
                  <c:v>909.73971081296975</c:v>
                </c:pt>
                <c:pt idx="57">
                  <c:v>932.93256279506875</c:v>
                </c:pt>
                <c:pt idx="58">
                  <c:v>909.73971081296975</c:v>
                </c:pt>
                <c:pt idx="59">
                  <c:v>887.12343682215874</c:v>
                </c:pt>
                <c:pt idx="60">
                  <c:v>909.73971081296975</c:v>
                </c:pt>
                <c:pt idx="61">
                  <c:v>932.93256279506875</c:v>
                </c:pt>
                <c:pt idx="62">
                  <c:v>956.71669201467876</c:v>
                </c:pt>
                <c:pt idx="63">
                  <c:v>981.10717245976252</c:v>
                </c:pt>
                <c:pt idx="64">
                  <c:v>956.71669201467876</c:v>
                </c:pt>
                <c:pt idx="65">
                  <c:v>981.10717245976252</c:v>
                </c:pt>
                <c:pt idx="66">
                  <c:v>1006.1194624136667</c:v>
                </c:pt>
                <c:pt idx="67">
                  <c:v>981.10717245976252</c:v>
                </c:pt>
                <c:pt idx="68">
                  <c:v>956.71669201467876</c:v>
                </c:pt>
                <c:pt idx="69">
                  <c:v>932.93256279506875</c:v>
                </c:pt>
                <c:pt idx="70">
                  <c:v>956.71669201467876</c:v>
                </c:pt>
                <c:pt idx="71">
                  <c:v>932.93256279506875</c:v>
                </c:pt>
                <c:pt idx="72">
                  <c:v>956.71669201467876</c:v>
                </c:pt>
                <c:pt idx="73">
                  <c:v>981.10717245976252</c:v>
                </c:pt>
                <c:pt idx="74">
                  <c:v>1006.1194624136667</c:v>
                </c:pt>
                <c:pt idx="75">
                  <c:v>1031.7694142523269</c:v>
                </c:pt>
                <c:pt idx="76">
                  <c:v>1006.1194624136668</c:v>
                </c:pt>
                <c:pt idx="77">
                  <c:v>1031.7694142523269</c:v>
                </c:pt>
                <c:pt idx="78">
                  <c:v>1058.0732844912407</c:v>
                </c:pt>
                <c:pt idx="79">
                  <c:v>1031.7694142523269</c:v>
                </c:pt>
                <c:pt idx="80">
                  <c:v>1006.1194624136668</c:v>
                </c:pt>
                <c:pt idx="81">
                  <c:v>981.10717245976264</c:v>
                </c:pt>
                <c:pt idx="82">
                  <c:v>956.71669201467887</c:v>
                </c:pt>
                <c:pt idx="83">
                  <c:v>981.10717245976264</c:v>
                </c:pt>
                <c:pt idx="84">
                  <c:v>1006.1194624136668</c:v>
                </c:pt>
                <c:pt idx="85">
                  <c:v>1031.7694142523269</c:v>
                </c:pt>
                <c:pt idx="86">
                  <c:v>1058.0732844912407</c:v>
                </c:pt>
                <c:pt idx="87">
                  <c:v>1085.0477440885791</c:v>
                </c:pt>
                <c:pt idx="88">
                  <c:v>1058.0732844912407</c:v>
                </c:pt>
                <c:pt idx="89">
                  <c:v>1085.0477440885791</c:v>
                </c:pt>
                <c:pt idx="90">
                  <c:v>1058.0732844912407</c:v>
                </c:pt>
                <c:pt idx="91">
                  <c:v>1085.0477440885791</c:v>
                </c:pt>
                <c:pt idx="92">
                  <c:v>1112.7098890109639</c:v>
                </c:pt>
                <c:pt idx="93">
                  <c:v>1141.0772510686093</c:v>
                </c:pt>
                <c:pt idx="94">
                  <c:v>1112.7098890109639</c:v>
                </c:pt>
                <c:pt idx="95">
                  <c:v>1141.0772510686093</c:v>
                </c:pt>
                <c:pt idx="96">
                  <c:v>1170.1678090266926</c:v>
                </c:pt>
                <c:pt idx="97">
                  <c:v>1141.0772510686093</c:v>
                </c:pt>
                <c:pt idx="98">
                  <c:v>1170.1678090266926</c:v>
                </c:pt>
                <c:pt idx="99">
                  <c:v>1141.0772510686093</c:v>
                </c:pt>
                <c:pt idx="100">
                  <c:v>1170.1678090266926</c:v>
                </c:pt>
                <c:pt idx="101">
                  <c:v>1199.9999999999991</c:v>
                </c:pt>
              </c:numCache>
            </c:numRef>
          </c:yVal>
          <c:smooth val="1"/>
        </c:ser>
        <c:ser>
          <c:idx val="82"/>
          <c:order val="81"/>
          <c:yVal>
            <c:numRef>
              <c:f>MCarlo_ar!$CG$15:$CG$116</c:f>
              <c:numCache>
                <c:formatCode>General</c:formatCode>
                <c:ptCount val="102"/>
                <c:pt idx="0">
                  <c:v>82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1141.0772510686099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1085.0477440885795</c:v>
                </c:pt>
                <c:pt idx="20">
                  <c:v>1058.0732844912411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1085.0477440885795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1170.167809026693</c:v>
                </c:pt>
                <c:pt idx="31">
                  <c:v>1141.0772510686097</c:v>
                </c:pt>
                <c:pt idx="32">
                  <c:v>1112.7098890109644</c:v>
                </c:pt>
                <c:pt idx="33">
                  <c:v>1141.0772510686097</c:v>
                </c:pt>
                <c:pt idx="34">
                  <c:v>1112.7098890109644</c:v>
                </c:pt>
                <c:pt idx="35">
                  <c:v>1141.0772510686097</c:v>
                </c:pt>
                <c:pt idx="36">
                  <c:v>1112.7098890109644</c:v>
                </c:pt>
                <c:pt idx="37">
                  <c:v>1085.0477440885795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1112.7098890109644</c:v>
                </c:pt>
                <c:pt idx="45">
                  <c:v>1085.0477440885795</c:v>
                </c:pt>
                <c:pt idx="46">
                  <c:v>1058.0732844912411</c:v>
                </c:pt>
                <c:pt idx="47">
                  <c:v>1085.0477440885795</c:v>
                </c:pt>
                <c:pt idx="48">
                  <c:v>1112.7098890109644</c:v>
                </c:pt>
                <c:pt idx="49">
                  <c:v>1085.0477440885795</c:v>
                </c:pt>
                <c:pt idx="50">
                  <c:v>1112.7098890109644</c:v>
                </c:pt>
                <c:pt idx="51">
                  <c:v>1141.0772510686097</c:v>
                </c:pt>
                <c:pt idx="52">
                  <c:v>1112.7098890109644</c:v>
                </c:pt>
                <c:pt idx="53">
                  <c:v>1141.0772510686097</c:v>
                </c:pt>
                <c:pt idx="54">
                  <c:v>1112.7098890109644</c:v>
                </c:pt>
                <c:pt idx="55">
                  <c:v>1141.0772510686097</c:v>
                </c:pt>
                <c:pt idx="56">
                  <c:v>1170.167809026693</c:v>
                </c:pt>
                <c:pt idx="57">
                  <c:v>1199.9999999999995</c:v>
                </c:pt>
                <c:pt idx="58">
                  <c:v>1170.167809026693</c:v>
                </c:pt>
                <c:pt idx="59">
                  <c:v>1141.0772510686097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1058.0732844912411</c:v>
                </c:pt>
                <c:pt idx="63">
                  <c:v>1031.7694142523274</c:v>
                </c:pt>
                <c:pt idx="64">
                  <c:v>1006.1194624136672</c:v>
                </c:pt>
                <c:pt idx="65">
                  <c:v>981.10717245976286</c:v>
                </c:pt>
                <c:pt idx="66">
                  <c:v>1006.1194624136671</c:v>
                </c:pt>
                <c:pt idx="67">
                  <c:v>981.10717245976275</c:v>
                </c:pt>
                <c:pt idx="68">
                  <c:v>956.71669201467898</c:v>
                </c:pt>
                <c:pt idx="69">
                  <c:v>932.93256279506886</c:v>
                </c:pt>
                <c:pt idx="70">
                  <c:v>956.71669201467887</c:v>
                </c:pt>
                <c:pt idx="71">
                  <c:v>932.93256279506875</c:v>
                </c:pt>
                <c:pt idx="72">
                  <c:v>956.71669201467876</c:v>
                </c:pt>
                <c:pt idx="73">
                  <c:v>932.93256279506875</c:v>
                </c:pt>
                <c:pt idx="74">
                  <c:v>909.73971081296975</c:v>
                </c:pt>
                <c:pt idx="75">
                  <c:v>932.93256279506875</c:v>
                </c:pt>
                <c:pt idx="76">
                  <c:v>956.71669201467876</c:v>
                </c:pt>
                <c:pt idx="77">
                  <c:v>932.93256279506875</c:v>
                </c:pt>
                <c:pt idx="78">
                  <c:v>909.73971081296975</c:v>
                </c:pt>
                <c:pt idx="79">
                  <c:v>887.12343682215874</c:v>
                </c:pt>
                <c:pt idx="80">
                  <c:v>865.06940700201312</c:v>
                </c:pt>
                <c:pt idx="81">
                  <c:v>843.56364387297219</c:v>
                </c:pt>
                <c:pt idx="82">
                  <c:v>865.06940700201312</c:v>
                </c:pt>
                <c:pt idx="83">
                  <c:v>843.56364387297219</c:v>
                </c:pt>
                <c:pt idx="84">
                  <c:v>822.59251743784137</c:v>
                </c:pt>
                <c:pt idx="85">
                  <c:v>843.56364387297208</c:v>
                </c:pt>
                <c:pt idx="86">
                  <c:v>865.06940700201301</c:v>
                </c:pt>
                <c:pt idx="87">
                  <c:v>843.56364387297208</c:v>
                </c:pt>
                <c:pt idx="88">
                  <c:v>865.06940700201301</c:v>
                </c:pt>
                <c:pt idx="89">
                  <c:v>843.56364387297208</c:v>
                </c:pt>
                <c:pt idx="90">
                  <c:v>822.59251743784137</c:v>
                </c:pt>
                <c:pt idx="91">
                  <c:v>802.14273654332578</c:v>
                </c:pt>
                <c:pt idx="92">
                  <c:v>782.20134045631642</c:v>
                </c:pt>
                <c:pt idx="93">
                  <c:v>762.755690649592</c:v>
                </c:pt>
                <c:pt idx="94">
                  <c:v>743.79346279172944</c:v>
                </c:pt>
                <c:pt idx="95">
                  <c:v>725.3026389361462</c:v>
                </c:pt>
                <c:pt idx="96">
                  <c:v>743.79346279172944</c:v>
                </c:pt>
                <c:pt idx="97">
                  <c:v>725.3026389361462</c:v>
                </c:pt>
                <c:pt idx="98">
                  <c:v>707.27149990432417</c:v>
                </c:pt>
                <c:pt idx="99">
                  <c:v>725.3026389361462</c:v>
                </c:pt>
                <c:pt idx="100">
                  <c:v>743.79346279172944</c:v>
                </c:pt>
                <c:pt idx="101">
                  <c:v>725.3026389361462</c:v>
                </c:pt>
              </c:numCache>
            </c:numRef>
          </c:yVal>
          <c:smooth val="1"/>
        </c:ser>
        <c:ser>
          <c:idx val="83"/>
          <c:order val="82"/>
          <c:yVal>
            <c:numRef>
              <c:f>MCarlo_ar!$CH$15:$CH$116</c:f>
              <c:numCache>
                <c:formatCode>General</c:formatCode>
                <c:ptCount val="102"/>
                <c:pt idx="0">
                  <c:v>83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1360.9643312111432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1395.6606777721715</c:v>
                </c:pt>
                <c:pt idx="10">
                  <c:v>1431.2415710013786</c:v>
                </c:pt>
                <c:pt idx="11">
                  <c:v>1467.7295614807633</c:v>
                </c:pt>
                <c:pt idx="12">
                  <c:v>1431.2415710013786</c:v>
                </c:pt>
                <c:pt idx="13">
                  <c:v>1467.7295614807633</c:v>
                </c:pt>
                <c:pt idx="14">
                  <c:v>1431.2415710013786</c:v>
                </c:pt>
                <c:pt idx="15">
                  <c:v>1467.7295614807633</c:v>
                </c:pt>
                <c:pt idx="16">
                  <c:v>1505.1477746955679</c:v>
                </c:pt>
                <c:pt idx="17">
                  <c:v>1467.7295614807631</c:v>
                </c:pt>
                <c:pt idx="18">
                  <c:v>1505.1477746955677</c:v>
                </c:pt>
                <c:pt idx="19">
                  <c:v>1543.5199256908284</c:v>
                </c:pt>
                <c:pt idx="20">
                  <c:v>1505.1477746955677</c:v>
                </c:pt>
                <c:pt idx="21">
                  <c:v>1543.5199256908284</c:v>
                </c:pt>
                <c:pt idx="22">
                  <c:v>1505.1477746955677</c:v>
                </c:pt>
                <c:pt idx="23">
                  <c:v>1467.7295614807629</c:v>
                </c:pt>
                <c:pt idx="24">
                  <c:v>1431.2415710013781</c:v>
                </c:pt>
                <c:pt idx="25">
                  <c:v>1467.7295614807629</c:v>
                </c:pt>
                <c:pt idx="26">
                  <c:v>1431.2415710013781</c:v>
                </c:pt>
                <c:pt idx="27">
                  <c:v>1395.6606777721711</c:v>
                </c:pt>
                <c:pt idx="28">
                  <c:v>1360.9643312111427</c:v>
                </c:pt>
                <c:pt idx="29">
                  <c:v>1327.1305413473517</c:v>
                </c:pt>
                <c:pt idx="30">
                  <c:v>1294.1378648840334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1199.9999999999995</c:v>
                </c:pt>
                <c:pt idx="34">
                  <c:v>1170.167809026693</c:v>
                </c:pt>
                <c:pt idx="35">
                  <c:v>1199.9999999999995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1199.9999999999995</c:v>
                </c:pt>
                <c:pt idx="40">
                  <c:v>1230.5927311380608</c:v>
                </c:pt>
                <c:pt idx="41">
                  <c:v>1261.9653916081936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1294.1378648840334</c:v>
                </c:pt>
                <c:pt idx="45">
                  <c:v>1261.9653916081936</c:v>
                </c:pt>
                <c:pt idx="46">
                  <c:v>1230.5927311380608</c:v>
                </c:pt>
                <c:pt idx="47">
                  <c:v>1261.9653916081936</c:v>
                </c:pt>
                <c:pt idx="48">
                  <c:v>1294.1378648840334</c:v>
                </c:pt>
                <c:pt idx="49">
                  <c:v>1261.9653916081936</c:v>
                </c:pt>
                <c:pt idx="50">
                  <c:v>1294.1378648840334</c:v>
                </c:pt>
                <c:pt idx="51">
                  <c:v>1261.9653916081936</c:v>
                </c:pt>
                <c:pt idx="52">
                  <c:v>1294.1378648840334</c:v>
                </c:pt>
                <c:pt idx="53">
                  <c:v>1261.9653916081936</c:v>
                </c:pt>
                <c:pt idx="54">
                  <c:v>1294.1378648840334</c:v>
                </c:pt>
                <c:pt idx="55">
                  <c:v>1327.1305413473517</c:v>
                </c:pt>
                <c:pt idx="56">
                  <c:v>1360.9643312111427</c:v>
                </c:pt>
                <c:pt idx="57">
                  <c:v>1395.6606777721711</c:v>
                </c:pt>
                <c:pt idx="58">
                  <c:v>1360.9643312111427</c:v>
                </c:pt>
                <c:pt idx="59">
                  <c:v>1327.1305413473517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1294.1378648840334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1431.2415710013781</c:v>
                </c:pt>
                <c:pt idx="71">
                  <c:v>1467.7295614807629</c:v>
                </c:pt>
                <c:pt idx="72">
                  <c:v>1505.1477746955675</c:v>
                </c:pt>
                <c:pt idx="73">
                  <c:v>1543.5199256908281</c:v>
                </c:pt>
                <c:pt idx="74">
                  <c:v>1505.1477746955675</c:v>
                </c:pt>
                <c:pt idx="75">
                  <c:v>1467.7295614807629</c:v>
                </c:pt>
                <c:pt idx="76">
                  <c:v>1431.2415710013781</c:v>
                </c:pt>
                <c:pt idx="77">
                  <c:v>1395.6606777721711</c:v>
                </c:pt>
                <c:pt idx="78">
                  <c:v>1360.9643312111427</c:v>
                </c:pt>
                <c:pt idx="79">
                  <c:v>1327.1305413473517</c:v>
                </c:pt>
                <c:pt idx="80">
                  <c:v>1360.9643312111427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1431.2415710013781</c:v>
                </c:pt>
                <c:pt idx="87">
                  <c:v>1467.7295614807629</c:v>
                </c:pt>
                <c:pt idx="88">
                  <c:v>1505.1477746955675</c:v>
                </c:pt>
                <c:pt idx="89">
                  <c:v>1467.7295614807629</c:v>
                </c:pt>
                <c:pt idx="90">
                  <c:v>1431.2415710013781</c:v>
                </c:pt>
                <c:pt idx="91">
                  <c:v>1467.7295614807629</c:v>
                </c:pt>
                <c:pt idx="92">
                  <c:v>1505.1477746955675</c:v>
                </c:pt>
                <c:pt idx="93">
                  <c:v>1467.7295614807629</c:v>
                </c:pt>
                <c:pt idx="94">
                  <c:v>1431.2415710013781</c:v>
                </c:pt>
                <c:pt idx="95">
                  <c:v>1467.7295614807629</c:v>
                </c:pt>
                <c:pt idx="96">
                  <c:v>1505.1477746955675</c:v>
                </c:pt>
                <c:pt idx="97">
                  <c:v>1543.5199256908281</c:v>
                </c:pt>
                <c:pt idx="98">
                  <c:v>1505.1477746955675</c:v>
                </c:pt>
                <c:pt idx="99">
                  <c:v>1543.5199256908281</c:v>
                </c:pt>
                <c:pt idx="100">
                  <c:v>1582.870334101578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84"/>
          <c:order val="83"/>
          <c:yVal>
            <c:numRef>
              <c:f>MCarlo_ar!$CI$15:$CI$116</c:f>
              <c:numCache>
                <c:formatCode>General</c:formatCode>
                <c:ptCount val="102"/>
                <c:pt idx="0">
                  <c:v>84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1141.0772510686099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1294.1378648840334</c:v>
                </c:pt>
                <c:pt idx="33">
                  <c:v>1327.1305413473517</c:v>
                </c:pt>
                <c:pt idx="34">
                  <c:v>1360.9643312111427</c:v>
                </c:pt>
                <c:pt idx="35">
                  <c:v>1395.6606777721711</c:v>
                </c:pt>
                <c:pt idx="36">
                  <c:v>1431.2415710013781</c:v>
                </c:pt>
                <c:pt idx="37">
                  <c:v>1467.7295614807629</c:v>
                </c:pt>
                <c:pt idx="38">
                  <c:v>1505.1477746955675</c:v>
                </c:pt>
                <c:pt idx="39">
                  <c:v>1467.7295614807629</c:v>
                </c:pt>
                <c:pt idx="40">
                  <c:v>1431.2415710013781</c:v>
                </c:pt>
                <c:pt idx="41">
                  <c:v>1395.6606777721711</c:v>
                </c:pt>
                <c:pt idx="42">
                  <c:v>1360.9643312111427</c:v>
                </c:pt>
                <c:pt idx="43">
                  <c:v>1395.6606777721711</c:v>
                </c:pt>
                <c:pt idx="44">
                  <c:v>1431.2415710013781</c:v>
                </c:pt>
                <c:pt idx="45">
                  <c:v>1395.6606777721711</c:v>
                </c:pt>
                <c:pt idx="46">
                  <c:v>1360.9643312111427</c:v>
                </c:pt>
                <c:pt idx="47">
                  <c:v>1327.1305413473517</c:v>
                </c:pt>
                <c:pt idx="48">
                  <c:v>1360.9643312111427</c:v>
                </c:pt>
                <c:pt idx="49">
                  <c:v>1395.6606777721711</c:v>
                </c:pt>
                <c:pt idx="50">
                  <c:v>1431.2415710013781</c:v>
                </c:pt>
                <c:pt idx="51">
                  <c:v>1395.6606777721711</c:v>
                </c:pt>
                <c:pt idx="52">
                  <c:v>1360.9643312111427</c:v>
                </c:pt>
                <c:pt idx="53">
                  <c:v>1395.6606777721711</c:v>
                </c:pt>
                <c:pt idx="54">
                  <c:v>1431.2415710013781</c:v>
                </c:pt>
                <c:pt idx="55">
                  <c:v>1467.7295614807629</c:v>
                </c:pt>
                <c:pt idx="56">
                  <c:v>1505.1477746955675</c:v>
                </c:pt>
                <c:pt idx="57">
                  <c:v>1467.7295614807629</c:v>
                </c:pt>
                <c:pt idx="58">
                  <c:v>1431.2415710013781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1360.9643312111427</c:v>
                </c:pt>
                <c:pt idx="63">
                  <c:v>1327.1305413473517</c:v>
                </c:pt>
                <c:pt idx="64">
                  <c:v>1294.1378648840334</c:v>
                </c:pt>
                <c:pt idx="65">
                  <c:v>1327.1305413473517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1230.5927311380608</c:v>
                </c:pt>
                <c:pt idx="71">
                  <c:v>1199.9999999999995</c:v>
                </c:pt>
                <c:pt idx="72">
                  <c:v>1170.167809026693</c:v>
                </c:pt>
                <c:pt idx="73">
                  <c:v>1199.9999999999995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1170.167809026693</c:v>
                </c:pt>
                <c:pt idx="77">
                  <c:v>1141.0772510686097</c:v>
                </c:pt>
                <c:pt idx="78">
                  <c:v>1170.167809026693</c:v>
                </c:pt>
                <c:pt idx="79">
                  <c:v>1141.0772510686097</c:v>
                </c:pt>
                <c:pt idx="80">
                  <c:v>1170.167809026693</c:v>
                </c:pt>
                <c:pt idx="81">
                  <c:v>1141.0772510686097</c:v>
                </c:pt>
                <c:pt idx="82">
                  <c:v>1170.167809026693</c:v>
                </c:pt>
                <c:pt idx="83">
                  <c:v>1141.0772510686097</c:v>
                </c:pt>
                <c:pt idx="84">
                  <c:v>1112.7098890109644</c:v>
                </c:pt>
                <c:pt idx="85">
                  <c:v>1085.0477440885795</c:v>
                </c:pt>
                <c:pt idx="86">
                  <c:v>1112.7098890109644</c:v>
                </c:pt>
                <c:pt idx="87">
                  <c:v>1141.0772510686097</c:v>
                </c:pt>
                <c:pt idx="88">
                  <c:v>1170.167809026693</c:v>
                </c:pt>
                <c:pt idx="89">
                  <c:v>1199.9999999999995</c:v>
                </c:pt>
                <c:pt idx="90">
                  <c:v>1230.5927311380608</c:v>
                </c:pt>
                <c:pt idx="91">
                  <c:v>1261.9653916081936</c:v>
                </c:pt>
                <c:pt idx="92">
                  <c:v>1294.1378648840334</c:v>
                </c:pt>
                <c:pt idx="93">
                  <c:v>1261.9653916081936</c:v>
                </c:pt>
                <c:pt idx="94">
                  <c:v>1294.1378648840334</c:v>
                </c:pt>
                <c:pt idx="95">
                  <c:v>1327.1305413473517</c:v>
                </c:pt>
                <c:pt idx="96">
                  <c:v>1360.9643312111427</c:v>
                </c:pt>
                <c:pt idx="97">
                  <c:v>1327.1305413473517</c:v>
                </c:pt>
                <c:pt idx="98">
                  <c:v>1294.1378648840334</c:v>
                </c:pt>
                <c:pt idx="99">
                  <c:v>1261.9653916081936</c:v>
                </c:pt>
                <c:pt idx="100">
                  <c:v>1294.1378648840334</c:v>
                </c:pt>
                <c:pt idx="101">
                  <c:v>1261.9653916081936</c:v>
                </c:pt>
              </c:numCache>
            </c:numRef>
          </c:yVal>
          <c:smooth val="1"/>
        </c:ser>
        <c:ser>
          <c:idx val="85"/>
          <c:order val="84"/>
          <c:yVal>
            <c:numRef>
              <c:f>MCarlo_ar!$CJ$15:$CJ$116</c:f>
              <c:numCache>
                <c:formatCode>General</c:formatCode>
                <c:ptCount val="102"/>
                <c:pt idx="0">
                  <c:v>85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1230.5927311380613</c:v>
                </c:pt>
                <c:pt idx="15">
                  <c:v>1200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1141.0772510686099</c:v>
                </c:pt>
                <c:pt idx="20">
                  <c:v>1170.1678090266932</c:v>
                </c:pt>
                <c:pt idx="21">
                  <c:v>1199.9999999999998</c:v>
                </c:pt>
                <c:pt idx="22">
                  <c:v>1170.1678090266932</c:v>
                </c:pt>
                <c:pt idx="23">
                  <c:v>1199.9999999999998</c:v>
                </c:pt>
                <c:pt idx="24">
                  <c:v>1230.592731138061</c:v>
                </c:pt>
                <c:pt idx="25">
                  <c:v>1261.9653916081938</c:v>
                </c:pt>
                <c:pt idx="26">
                  <c:v>1294.1378648840337</c:v>
                </c:pt>
                <c:pt idx="27">
                  <c:v>1261.9653916081938</c:v>
                </c:pt>
                <c:pt idx="28">
                  <c:v>1294.1378648840337</c:v>
                </c:pt>
                <c:pt idx="29">
                  <c:v>1327.1305413473519</c:v>
                </c:pt>
                <c:pt idx="30">
                  <c:v>1294.1378648840337</c:v>
                </c:pt>
                <c:pt idx="31">
                  <c:v>1261.9653916081938</c:v>
                </c:pt>
                <c:pt idx="32">
                  <c:v>1294.1378648840337</c:v>
                </c:pt>
                <c:pt idx="33">
                  <c:v>1261.9653916081938</c:v>
                </c:pt>
                <c:pt idx="34">
                  <c:v>1230.592731138061</c:v>
                </c:pt>
                <c:pt idx="35">
                  <c:v>1261.9653916081938</c:v>
                </c:pt>
                <c:pt idx="36">
                  <c:v>1230.592731138061</c:v>
                </c:pt>
                <c:pt idx="37">
                  <c:v>1261.9653916081938</c:v>
                </c:pt>
                <c:pt idx="38">
                  <c:v>1294.1378648840337</c:v>
                </c:pt>
                <c:pt idx="39">
                  <c:v>1261.9653916081938</c:v>
                </c:pt>
                <c:pt idx="40">
                  <c:v>1230.592731138061</c:v>
                </c:pt>
                <c:pt idx="41">
                  <c:v>1199.9999999999998</c:v>
                </c:pt>
                <c:pt idx="42">
                  <c:v>1170.1678090266932</c:v>
                </c:pt>
                <c:pt idx="43">
                  <c:v>1141.0772510686097</c:v>
                </c:pt>
                <c:pt idx="44">
                  <c:v>1170.167809026693</c:v>
                </c:pt>
                <c:pt idx="45">
                  <c:v>1199.9999999999995</c:v>
                </c:pt>
                <c:pt idx="46">
                  <c:v>1170.167809026693</c:v>
                </c:pt>
                <c:pt idx="47">
                  <c:v>1199.9999999999995</c:v>
                </c:pt>
                <c:pt idx="48">
                  <c:v>1170.167809026693</c:v>
                </c:pt>
                <c:pt idx="49">
                  <c:v>1141.0772510686097</c:v>
                </c:pt>
                <c:pt idx="50">
                  <c:v>1112.7098890109644</c:v>
                </c:pt>
                <c:pt idx="51">
                  <c:v>1085.0477440885795</c:v>
                </c:pt>
                <c:pt idx="52">
                  <c:v>1058.0732844912411</c:v>
                </c:pt>
                <c:pt idx="53">
                  <c:v>1085.0477440885795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1058.0732844912411</c:v>
                </c:pt>
                <c:pt idx="57">
                  <c:v>1085.0477440885795</c:v>
                </c:pt>
                <c:pt idx="58">
                  <c:v>1058.0732844912411</c:v>
                </c:pt>
                <c:pt idx="59">
                  <c:v>1031.7694142523274</c:v>
                </c:pt>
                <c:pt idx="60">
                  <c:v>1058.0732844912411</c:v>
                </c:pt>
                <c:pt idx="61">
                  <c:v>1031.7694142523274</c:v>
                </c:pt>
                <c:pt idx="62">
                  <c:v>1006.1194624136672</c:v>
                </c:pt>
                <c:pt idx="63">
                  <c:v>1031.7694142523274</c:v>
                </c:pt>
                <c:pt idx="64">
                  <c:v>1058.0732844912411</c:v>
                </c:pt>
                <c:pt idx="65">
                  <c:v>1031.7694142523274</c:v>
                </c:pt>
                <c:pt idx="66">
                  <c:v>1058.0732844912411</c:v>
                </c:pt>
                <c:pt idx="67">
                  <c:v>1031.7694142523274</c:v>
                </c:pt>
                <c:pt idx="68">
                  <c:v>1058.0732844912411</c:v>
                </c:pt>
                <c:pt idx="69">
                  <c:v>1031.7694142523274</c:v>
                </c:pt>
                <c:pt idx="70">
                  <c:v>1058.0732844912411</c:v>
                </c:pt>
                <c:pt idx="71">
                  <c:v>1031.7694142523274</c:v>
                </c:pt>
                <c:pt idx="72">
                  <c:v>1058.0732844912411</c:v>
                </c:pt>
                <c:pt idx="73">
                  <c:v>1031.7694142523274</c:v>
                </c:pt>
                <c:pt idx="74">
                  <c:v>1006.1194624136672</c:v>
                </c:pt>
                <c:pt idx="75">
                  <c:v>981.10717245976286</c:v>
                </c:pt>
                <c:pt idx="76">
                  <c:v>956.7166920146791</c:v>
                </c:pt>
                <c:pt idx="77">
                  <c:v>932.93256279506897</c:v>
                </c:pt>
                <c:pt idx="78">
                  <c:v>956.71669201467898</c:v>
                </c:pt>
                <c:pt idx="79">
                  <c:v>932.93256279506886</c:v>
                </c:pt>
                <c:pt idx="80">
                  <c:v>909.73971081296975</c:v>
                </c:pt>
                <c:pt idx="81">
                  <c:v>932.93256279506875</c:v>
                </c:pt>
                <c:pt idx="82">
                  <c:v>909.73971081296975</c:v>
                </c:pt>
                <c:pt idx="83">
                  <c:v>887.12343682215874</c:v>
                </c:pt>
                <c:pt idx="84">
                  <c:v>865.06940700201312</c:v>
                </c:pt>
                <c:pt idx="85">
                  <c:v>843.56364387297219</c:v>
                </c:pt>
                <c:pt idx="86">
                  <c:v>865.06940700201312</c:v>
                </c:pt>
                <c:pt idx="87">
                  <c:v>843.56364387297219</c:v>
                </c:pt>
                <c:pt idx="88">
                  <c:v>822.59251743784137</c:v>
                </c:pt>
                <c:pt idx="89">
                  <c:v>802.14273654332578</c:v>
                </c:pt>
                <c:pt idx="90">
                  <c:v>822.59251743784137</c:v>
                </c:pt>
                <c:pt idx="91">
                  <c:v>843.56364387297208</c:v>
                </c:pt>
                <c:pt idx="92">
                  <c:v>865.06940700201301</c:v>
                </c:pt>
                <c:pt idx="93">
                  <c:v>843.56364387297208</c:v>
                </c:pt>
                <c:pt idx="94">
                  <c:v>865.06940700201301</c:v>
                </c:pt>
                <c:pt idx="95">
                  <c:v>843.56364387297208</c:v>
                </c:pt>
                <c:pt idx="96">
                  <c:v>822.59251743784137</c:v>
                </c:pt>
                <c:pt idx="97">
                  <c:v>802.14273654332578</c:v>
                </c:pt>
                <c:pt idx="98">
                  <c:v>822.59251743784137</c:v>
                </c:pt>
                <c:pt idx="99">
                  <c:v>802.14273654332578</c:v>
                </c:pt>
                <c:pt idx="100">
                  <c:v>822.59251743784137</c:v>
                </c:pt>
                <c:pt idx="101">
                  <c:v>843.56364387297208</c:v>
                </c:pt>
              </c:numCache>
            </c:numRef>
          </c:yVal>
          <c:smooth val="1"/>
        </c:ser>
        <c:ser>
          <c:idx val="86"/>
          <c:order val="85"/>
          <c:yVal>
            <c:numRef>
              <c:f>MCarlo_ar!$CK$15:$CK$116</c:f>
              <c:numCache>
                <c:formatCode>General</c:formatCode>
                <c:ptCount val="102"/>
                <c:pt idx="0">
                  <c:v>86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1230.5927311380613</c:v>
                </c:pt>
                <c:pt idx="9">
                  <c:v>1261.9653916081941</c:v>
                </c:pt>
                <c:pt idx="10">
                  <c:v>1230.5927311380613</c:v>
                </c:pt>
                <c:pt idx="11">
                  <c:v>1261.9653916081941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1294.1378648840339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1327.1305413473522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1327.1305413473522</c:v>
                </c:pt>
                <c:pt idx="28">
                  <c:v>1360.9643312111432</c:v>
                </c:pt>
                <c:pt idx="29">
                  <c:v>1327.1305413473522</c:v>
                </c:pt>
                <c:pt idx="30">
                  <c:v>1360.9643312111432</c:v>
                </c:pt>
                <c:pt idx="31">
                  <c:v>1395.6606777721715</c:v>
                </c:pt>
                <c:pt idx="32">
                  <c:v>1360.9643312111432</c:v>
                </c:pt>
                <c:pt idx="33">
                  <c:v>1395.6606777721715</c:v>
                </c:pt>
                <c:pt idx="34">
                  <c:v>1360.9643312111432</c:v>
                </c:pt>
                <c:pt idx="35">
                  <c:v>1327.1305413473522</c:v>
                </c:pt>
                <c:pt idx="36">
                  <c:v>1294.1378648840339</c:v>
                </c:pt>
                <c:pt idx="37">
                  <c:v>1327.1305413473522</c:v>
                </c:pt>
                <c:pt idx="38">
                  <c:v>1360.9643312111432</c:v>
                </c:pt>
                <c:pt idx="39">
                  <c:v>1327.1305413473522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1294.1378648840339</c:v>
                </c:pt>
                <c:pt idx="43">
                  <c:v>1327.1305413473522</c:v>
                </c:pt>
                <c:pt idx="44">
                  <c:v>1294.1378648840339</c:v>
                </c:pt>
                <c:pt idx="45">
                  <c:v>1327.1305413473522</c:v>
                </c:pt>
                <c:pt idx="46">
                  <c:v>1294.1378648840339</c:v>
                </c:pt>
                <c:pt idx="47">
                  <c:v>1261.9653916081941</c:v>
                </c:pt>
                <c:pt idx="48">
                  <c:v>1230.5927311380613</c:v>
                </c:pt>
                <c:pt idx="49">
                  <c:v>1261.9653916081941</c:v>
                </c:pt>
                <c:pt idx="50">
                  <c:v>1294.1378648840339</c:v>
                </c:pt>
                <c:pt idx="51">
                  <c:v>1327.1305413473522</c:v>
                </c:pt>
                <c:pt idx="52">
                  <c:v>1360.9643312111432</c:v>
                </c:pt>
                <c:pt idx="53">
                  <c:v>1395.6606777721715</c:v>
                </c:pt>
                <c:pt idx="54">
                  <c:v>1360.9643312111432</c:v>
                </c:pt>
                <c:pt idx="55">
                  <c:v>1327.1305413473522</c:v>
                </c:pt>
                <c:pt idx="56">
                  <c:v>1294.1378648840339</c:v>
                </c:pt>
                <c:pt idx="57">
                  <c:v>1261.9653916081941</c:v>
                </c:pt>
                <c:pt idx="58">
                  <c:v>1294.1378648840339</c:v>
                </c:pt>
                <c:pt idx="59">
                  <c:v>1327.1305413473522</c:v>
                </c:pt>
                <c:pt idx="60">
                  <c:v>1360.9643312111432</c:v>
                </c:pt>
                <c:pt idx="61">
                  <c:v>1395.6606777721715</c:v>
                </c:pt>
                <c:pt idx="62">
                  <c:v>1431.2415710013786</c:v>
                </c:pt>
                <c:pt idx="63">
                  <c:v>1395.6606777721715</c:v>
                </c:pt>
                <c:pt idx="64">
                  <c:v>1360.9643312111432</c:v>
                </c:pt>
                <c:pt idx="65">
                  <c:v>1395.6606777721715</c:v>
                </c:pt>
                <c:pt idx="66">
                  <c:v>1360.9643312111432</c:v>
                </c:pt>
                <c:pt idx="67">
                  <c:v>1395.6606777721715</c:v>
                </c:pt>
                <c:pt idx="68">
                  <c:v>1360.9643312111432</c:v>
                </c:pt>
                <c:pt idx="69">
                  <c:v>1395.6606777721715</c:v>
                </c:pt>
                <c:pt idx="70">
                  <c:v>1360.9643312111432</c:v>
                </c:pt>
                <c:pt idx="71">
                  <c:v>1395.6606777721715</c:v>
                </c:pt>
                <c:pt idx="72">
                  <c:v>1360.9643312111432</c:v>
                </c:pt>
                <c:pt idx="73">
                  <c:v>1395.6606777721715</c:v>
                </c:pt>
                <c:pt idx="74">
                  <c:v>1431.2415710013786</c:v>
                </c:pt>
                <c:pt idx="75">
                  <c:v>1395.6606777721715</c:v>
                </c:pt>
                <c:pt idx="76">
                  <c:v>1431.2415710013786</c:v>
                </c:pt>
                <c:pt idx="77">
                  <c:v>1395.6606777721715</c:v>
                </c:pt>
                <c:pt idx="78">
                  <c:v>1431.2415710013786</c:v>
                </c:pt>
                <c:pt idx="79">
                  <c:v>1395.6606777721715</c:v>
                </c:pt>
                <c:pt idx="80">
                  <c:v>1360.9643312111432</c:v>
                </c:pt>
                <c:pt idx="81">
                  <c:v>1395.6606777721715</c:v>
                </c:pt>
                <c:pt idx="82">
                  <c:v>1431.2415710013786</c:v>
                </c:pt>
                <c:pt idx="83">
                  <c:v>1395.6606777721715</c:v>
                </c:pt>
                <c:pt idx="84">
                  <c:v>1360.9643312111432</c:v>
                </c:pt>
                <c:pt idx="85">
                  <c:v>1327.1305413473522</c:v>
                </c:pt>
                <c:pt idx="86">
                  <c:v>1360.9643312111432</c:v>
                </c:pt>
                <c:pt idx="87">
                  <c:v>1327.1305413473522</c:v>
                </c:pt>
                <c:pt idx="88">
                  <c:v>1294.1378648840339</c:v>
                </c:pt>
                <c:pt idx="89">
                  <c:v>1327.1305413473522</c:v>
                </c:pt>
                <c:pt idx="90">
                  <c:v>1294.1378648840339</c:v>
                </c:pt>
                <c:pt idx="91">
                  <c:v>1327.1305413473522</c:v>
                </c:pt>
                <c:pt idx="92">
                  <c:v>1294.1378648840339</c:v>
                </c:pt>
                <c:pt idx="93">
                  <c:v>1327.1305413473522</c:v>
                </c:pt>
                <c:pt idx="94">
                  <c:v>1294.1378648840339</c:v>
                </c:pt>
                <c:pt idx="95">
                  <c:v>1327.1305413473522</c:v>
                </c:pt>
                <c:pt idx="96">
                  <c:v>1360.9643312111432</c:v>
                </c:pt>
                <c:pt idx="97">
                  <c:v>1395.6606777721715</c:v>
                </c:pt>
                <c:pt idx="98">
                  <c:v>1431.2415710013786</c:v>
                </c:pt>
                <c:pt idx="99">
                  <c:v>1395.6606777721715</c:v>
                </c:pt>
                <c:pt idx="100">
                  <c:v>1431.2415710013786</c:v>
                </c:pt>
                <c:pt idx="101">
                  <c:v>1467.7295614807633</c:v>
                </c:pt>
              </c:numCache>
            </c:numRef>
          </c:yVal>
          <c:smooth val="1"/>
        </c:ser>
        <c:ser>
          <c:idx val="87"/>
          <c:order val="86"/>
          <c:yVal>
            <c:numRef>
              <c:f>MCarlo_ar!$CL$15:$CL$116</c:f>
              <c:numCache>
                <c:formatCode>General</c:formatCode>
                <c:ptCount val="102"/>
                <c:pt idx="0">
                  <c:v>87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1230.5927311380613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1141.0772510686099</c:v>
                </c:pt>
                <c:pt idx="16">
                  <c:v>1112.7098890109644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1006.1194624136672</c:v>
                </c:pt>
                <c:pt idx="21">
                  <c:v>1031.7694142523274</c:v>
                </c:pt>
                <c:pt idx="22">
                  <c:v>1058.0732844912411</c:v>
                </c:pt>
                <c:pt idx="23">
                  <c:v>1031.7694142523274</c:v>
                </c:pt>
                <c:pt idx="24">
                  <c:v>1058.0732844912411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1085.0477440885795</c:v>
                </c:pt>
                <c:pt idx="28">
                  <c:v>1112.7098890109644</c:v>
                </c:pt>
                <c:pt idx="29">
                  <c:v>1085.0477440885795</c:v>
                </c:pt>
                <c:pt idx="30">
                  <c:v>1112.7098890109644</c:v>
                </c:pt>
                <c:pt idx="31">
                  <c:v>1141.0772510686097</c:v>
                </c:pt>
                <c:pt idx="32">
                  <c:v>1112.7098890109644</c:v>
                </c:pt>
                <c:pt idx="33">
                  <c:v>1141.0772510686097</c:v>
                </c:pt>
                <c:pt idx="34">
                  <c:v>1170.167809026693</c:v>
                </c:pt>
                <c:pt idx="35">
                  <c:v>1141.0772510686097</c:v>
                </c:pt>
                <c:pt idx="36">
                  <c:v>1112.7098890109644</c:v>
                </c:pt>
                <c:pt idx="37">
                  <c:v>1141.0772510686097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1031.7694142523274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1006.1194624136672</c:v>
                </c:pt>
                <c:pt idx="47">
                  <c:v>981.10717245976286</c:v>
                </c:pt>
                <c:pt idx="48">
                  <c:v>1006.1194624136671</c:v>
                </c:pt>
                <c:pt idx="49">
                  <c:v>981.10717245976275</c:v>
                </c:pt>
                <c:pt idx="50">
                  <c:v>956.71669201467898</c:v>
                </c:pt>
                <c:pt idx="51">
                  <c:v>932.93256279506886</c:v>
                </c:pt>
                <c:pt idx="52">
                  <c:v>909.73971081296975</c:v>
                </c:pt>
                <c:pt idx="53">
                  <c:v>932.93256279506875</c:v>
                </c:pt>
                <c:pt idx="54">
                  <c:v>956.71669201467876</c:v>
                </c:pt>
                <c:pt idx="55">
                  <c:v>981.10717245976252</c:v>
                </c:pt>
                <c:pt idx="56">
                  <c:v>956.71669201467876</c:v>
                </c:pt>
                <c:pt idx="57">
                  <c:v>981.10717245976252</c:v>
                </c:pt>
                <c:pt idx="58">
                  <c:v>956.71669201467876</c:v>
                </c:pt>
                <c:pt idx="59">
                  <c:v>981.10717245976252</c:v>
                </c:pt>
                <c:pt idx="60">
                  <c:v>956.71669201467876</c:v>
                </c:pt>
                <c:pt idx="61">
                  <c:v>981.10717245976252</c:v>
                </c:pt>
                <c:pt idx="62">
                  <c:v>1006.1194624136667</c:v>
                </c:pt>
                <c:pt idx="63">
                  <c:v>981.10717245976252</c:v>
                </c:pt>
                <c:pt idx="64">
                  <c:v>1006.1194624136667</c:v>
                </c:pt>
                <c:pt idx="65">
                  <c:v>981.10717245976252</c:v>
                </c:pt>
                <c:pt idx="66">
                  <c:v>1006.1194624136667</c:v>
                </c:pt>
                <c:pt idx="67">
                  <c:v>1031.7694142523269</c:v>
                </c:pt>
                <c:pt idx="68">
                  <c:v>1006.1194624136668</c:v>
                </c:pt>
                <c:pt idx="69">
                  <c:v>1031.7694142523269</c:v>
                </c:pt>
                <c:pt idx="70">
                  <c:v>1058.0732844912407</c:v>
                </c:pt>
                <c:pt idx="71">
                  <c:v>1031.7694142523269</c:v>
                </c:pt>
                <c:pt idx="72">
                  <c:v>1006.1194624136668</c:v>
                </c:pt>
                <c:pt idx="73">
                  <c:v>1031.7694142523269</c:v>
                </c:pt>
                <c:pt idx="74">
                  <c:v>1006.1194624136668</c:v>
                </c:pt>
                <c:pt idx="75">
                  <c:v>981.10717245976264</c:v>
                </c:pt>
                <c:pt idx="76">
                  <c:v>956.71669201467887</c:v>
                </c:pt>
                <c:pt idx="77">
                  <c:v>981.10717245976264</c:v>
                </c:pt>
                <c:pt idx="78">
                  <c:v>1006.1194624136668</c:v>
                </c:pt>
                <c:pt idx="79">
                  <c:v>1031.7694142523269</c:v>
                </c:pt>
                <c:pt idx="80">
                  <c:v>1006.1194624136668</c:v>
                </c:pt>
                <c:pt idx="81">
                  <c:v>1031.7694142523269</c:v>
                </c:pt>
                <c:pt idx="82">
                  <c:v>1006.1194624136668</c:v>
                </c:pt>
                <c:pt idx="83">
                  <c:v>1031.7694142523269</c:v>
                </c:pt>
                <c:pt idx="84">
                  <c:v>1006.1194624136668</c:v>
                </c:pt>
                <c:pt idx="85">
                  <c:v>981.10717245976264</c:v>
                </c:pt>
                <c:pt idx="86">
                  <c:v>956.71669201467887</c:v>
                </c:pt>
                <c:pt idx="87">
                  <c:v>932.93256279506875</c:v>
                </c:pt>
                <c:pt idx="88">
                  <c:v>956.71669201467876</c:v>
                </c:pt>
                <c:pt idx="89">
                  <c:v>932.93256279506875</c:v>
                </c:pt>
                <c:pt idx="90">
                  <c:v>909.73971081296975</c:v>
                </c:pt>
                <c:pt idx="91">
                  <c:v>887.12343682215874</c:v>
                </c:pt>
                <c:pt idx="92">
                  <c:v>909.73971081296975</c:v>
                </c:pt>
                <c:pt idx="93">
                  <c:v>887.12343682215874</c:v>
                </c:pt>
                <c:pt idx="94">
                  <c:v>865.06940700201312</c:v>
                </c:pt>
                <c:pt idx="95">
                  <c:v>887.12343682215874</c:v>
                </c:pt>
                <c:pt idx="96">
                  <c:v>865.06940700201312</c:v>
                </c:pt>
                <c:pt idx="97">
                  <c:v>887.12343682215874</c:v>
                </c:pt>
                <c:pt idx="98">
                  <c:v>909.73971081296975</c:v>
                </c:pt>
                <c:pt idx="99">
                  <c:v>932.93256279506875</c:v>
                </c:pt>
                <c:pt idx="100">
                  <c:v>956.71669201467876</c:v>
                </c:pt>
                <c:pt idx="101">
                  <c:v>932.93256279506875</c:v>
                </c:pt>
              </c:numCache>
            </c:numRef>
          </c:yVal>
          <c:smooth val="1"/>
        </c:ser>
        <c:ser>
          <c:idx val="88"/>
          <c:order val="87"/>
          <c:yVal>
            <c:numRef>
              <c:f>MCarlo_ar!$CM$15:$CM$116</c:f>
              <c:numCache>
                <c:formatCode>General</c:formatCode>
                <c:ptCount val="102"/>
                <c:pt idx="0">
                  <c:v>88</c:v>
                </c:pt>
                <c:pt idx="1">
                  <c:v>1200</c:v>
                </c:pt>
                <c:pt idx="2">
                  <c:v>1170.1678090266935</c:v>
                </c:pt>
                <c:pt idx="3">
                  <c:v>1141.0772510686099</c:v>
                </c:pt>
                <c:pt idx="4">
                  <c:v>1170.1678090266932</c:v>
                </c:pt>
                <c:pt idx="5">
                  <c:v>1199.9999999999998</c:v>
                </c:pt>
                <c:pt idx="6">
                  <c:v>1230.592731138061</c:v>
                </c:pt>
                <c:pt idx="7">
                  <c:v>1199.9999999999998</c:v>
                </c:pt>
                <c:pt idx="8">
                  <c:v>1170.1678090266932</c:v>
                </c:pt>
                <c:pt idx="9">
                  <c:v>1199.9999999999998</c:v>
                </c:pt>
                <c:pt idx="10">
                  <c:v>1230.592731138061</c:v>
                </c:pt>
                <c:pt idx="11">
                  <c:v>1261.9653916081938</c:v>
                </c:pt>
                <c:pt idx="12">
                  <c:v>1294.1378648840337</c:v>
                </c:pt>
                <c:pt idx="13">
                  <c:v>1261.9653916081938</c:v>
                </c:pt>
                <c:pt idx="14">
                  <c:v>1230.592731138061</c:v>
                </c:pt>
                <c:pt idx="15">
                  <c:v>1261.9653916081938</c:v>
                </c:pt>
                <c:pt idx="16">
                  <c:v>1294.1378648840337</c:v>
                </c:pt>
                <c:pt idx="17">
                  <c:v>1261.9653916081938</c:v>
                </c:pt>
                <c:pt idx="18">
                  <c:v>1230.592731138061</c:v>
                </c:pt>
                <c:pt idx="19">
                  <c:v>1199.9999999999998</c:v>
                </c:pt>
                <c:pt idx="20">
                  <c:v>1230.592731138061</c:v>
                </c:pt>
                <c:pt idx="21">
                  <c:v>1261.9653916081938</c:v>
                </c:pt>
                <c:pt idx="22">
                  <c:v>1230.592731138061</c:v>
                </c:pt>
                <c:pt idx="23">
                  <c:v>1199.9999999999998</c:v>
                </c:pt>
                <c:pt idx="24">
                  <c:v>1230.592731138061</c:v>
                </c:pt>
                <c:pt idx="25">
                  <c:v>1199.9999999999998</c:v>
                </c:pt>
                <c:pt idx="26">
                  <c:v>1230.592731138061</c:v>
                </c:pt>
                <c:pt idx="27">
                  <c:v>1199.9999999999998</c:v>
                </c:pt>
                <c:pt idx="28">
                  <c:v>1230.592731138061</c:v>
                </c:pt>
                <c:pt idx="29">
                  <c:v>1261.9653916081938</c:v>
                </c:pt>
                <c:pt idx="30">
                  <c:v>1230.592731138061</c:v>
                </c:pt>
                <c:pt idx="31">
                  <c:v>1261.9653916081938</c:v>
                </c:pt>
                <c:pt idx="32">
                  <c:v>1230.592731138061</c:v>
                </c:pt>
                <c:pt idx="33">
                  <c:v>1261.9653916081938</c:v>
                </c:pt>
                <c:pt idx="34">
                  <c:v>1230.592731138061</c:v>
                </c:pt>
                <c:pt idx="35">
                  <c:v>1199.9999999999998</c:v>
                </c:pt>
                <c:pt idx="36">
                  <c:v>1170.1678090266932</c:v>
                </c:pt>
                <c:pt idx="37">
                  <c:v>1199.9999999999998</c:v>
                </c:pt>
                <c:pt idx="38">
                  <c:v>1230.592731138061</c:v>
                </c:pt>
                <c:pt idx="39">
                  <c:v>1199.9999999999998</c:v>
                </c:pt>
                <c:pt idx="40">
                  <c:v>1230.592731138061</c:v>
                </c:pt>
                <c:pt idx="41">
                  <c:v>1261.9653916081938</c:v>
                </c:pt>
                <c:pt idx="42">
                  <c:v>1294.1378648840337</c:v>
                </c:pt>
                <c:pt idx="43">
                  <c:v>1327.1305413473519</c:v>
                </c:pt>
                <c:pt idx="44">
                  <c:v>1360.964331211143</c:v>
                </c:pt>
                <c:pt idx="45">
                  <c:v>1395.6606777721713</c:v>
                </c:pt>
                <c:pt idx="46">
                  <c:v>1431.2415710013784</c:v>
                </c:pt>
                <c:pt idx="47">
                  <c:v>1467.7295614807631</c:v>
                </c:pt>
                <c:pt idx="48">
                  <c:v>1505.1477746955677</c:v>
                </c:pt>
                <c:pt idx="49">
                  <c:v>1467.7295614807629</c:v>
                </c:pt>
                <c:pt idx="50">
                  <c:v>1431.2415710013781</c:v>
                </c:pt>
                <c:pt idx="51">
                  <c:v>1467.7295614807629</c:v>
                </c:pt>
                <c:pt idx="52">
                  <c:v>1505.1477746955675</c:v>
                </c:pt>
                <c:pt idx="53">
                  <c:v>1467.7295614807629</c:v>
                </c:pt>
                <c:pt idx="54">
                  <c:v>1431.2415710013781</c:v>
                </c:pt>
                <c:pt idx="55">
                  <c:v>1395.6606777721711</c:v>
                </c:pt>
                <c:pt idx="56">
                  <c:v>1360.9643312111427</c:v>
                </c:pt>
                <c:pt idx="57">
                  <c:v>1327.1305413473517</c:v>
                </c:pt>
                <c:pt idx="58">
                  <c:v>1294.1378648840334</c:v>
                </c:pt>
                <c:pt idx="59">
                  <c:v>1261.9653916081936</c:v>
                </c:pt>
                <c:pt idx="60">
                  <c:v>1230.5927311380608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1327.1305413473517</c:v>
                </c:pt>
                <c:pt idx="64">
                  <c:v>1294.1378648840334</c:v>
                </c:pt>
                <c:pt idx="65">
                  <c:v>1327.1305413473517</c:v>
                </c:pt>
                <c:pt idx="66">
                  <c:v>1294.1378648840334</c:v>
                </c:pt>
                <c:pt idx="67">
                  <c:v>1327.1305413473517</c:v>
                </c:pt>
                <c:pt idx="68">
                  <c:v>1294.1378648840334</c:v>
                </c:pt>
                <c:pt idx="69">
                  <c:v>1261.9653916081936</c:v>
                </c:pt>
                <c:pt idx="70">
                  <c:v>1230.5927311380608</c:v>
                </c:pt>
                <c:pt idx="71">
                  <c:v>1261.9653916081936</c:v>
                </c:pt>
                <c:pt idx="72">
                  <c:v>1294.1378648840334</c:v>
                </c:pt>
                <c:pt idx="73">
                  <c:v>1327.1305413473517</c:v>
                </c:pt>
                <c:pt idx="74">
                  <c:v>1360.9643312111427</c:v>
                </c:pt>
                <c:pt idx="75">
                  <c:v>1327.1305413473517</c:v>
                </c:pt>
                <c:pt idx="76">
                  <c:v>1294.1378648840334</c:v>
                </c:pt>
                <c:pt idx="77">
                  <c:v>1327.1305413473517</c:v>
                </c:pt>
                <c:pt idx="78">
                  <c:v>1360.9643312111427</c:v>
                </c:pt>
                <c:pt idx="79">
                  <c:v>1395.6606777721711</c:v>
                </c:pt>
                <c:pt idx="80">
                  <c:v>1431.2415710013781</c:v>
                </c:pt>
                <c:pt idx="81">
                  <c:v>1395.6606777721711</c:v>
                </c:pt>
                <c:pt idx="82">
                  <c:v>1431.2415710013781</c:v>
                </c:pt>
                <c:pt idx="83">
                  <c:v>1395.6606777721711</c:v>
                </c:pt>
                <c:pt idx="84">
                  <c:v>1360.9643312111427</c:v>
                </c:pt>
                <c:pt idx="85">
                  <c:v>1395.6606777721711</c:v>
                </c:pt>
                <c:pt idx="86">
                  <c:v>1360.9643312111427</c:v>
                </c:pt>
                <c:pt idx="87">
                  <c:v>1327.1305413473517</c:v>
                </c:pt>
                <c:pt idx="88">
                  <c:v>1294.1378648840334</c:v>
                </c:pt>
                <c:pt idx="89">
                  <c:v>1261.9653916081936</c:v>
                </c:pt>
                <c:pt idx="90">
                  <c:v>1230.5927311380608</c:v>
                </c:pt>
                <c:pt idx="91">
                  <c:v>1199.9999999999995</c:v>
                </c:pt>
                <c:pt idx="92">
                  <c:v>1170.167809026693</c:v>
                </c:pt>
                <c:pt idx="93">
                  <c:v>1199.9999999999995</c:v>
                </c:pt>
                <c:pt idx="94">
                  <c:v>1170.167809026693</c:v>
                </c:pt>
                <c:pt idx="95">
                  <c:v>1199.9999999999995</c:v>
                </c:pt>
                <c:pt idx="96">
                  <c:v>1230.5927311380608</c:v>
                </c:pt>
                <c:pt idx="97">
                  <c:v>1261.9653916081936</c:v>
                </c:pt>
                <c:pt idx="98">
                  <c:v>1230.5927311380608</c:v>
                </c:pt>
                <c:pt idx="99">
                  <c:v>1261.9653916081936</c:v>
                </c:pt>
                <c:pt idx="100">
                  <c:v>1294.1378648840334</c:v>
                </c:pt>
                <c:pt idx="101">
                  <c:v>1327.1305413473517</c:v>
                </c:pt>
              </c:numCache>
            </c:numRef>
          </c:yVal>
          <c:smooth val="1"/>
        </c:ser>
        <c:ser>
          <c:idx val="89"/>
          <c:order val="88"/>
          <c:yVal>
            <c:numRef>
              <c:f>MCarlo_ar!$CN$15:$CN$116</c:f>
              <c:numCache>
                <c:formatCode>General</c:formatCode>
                <c:ptCount val="102"/>
                <c:pt idx="0">
                  <c:v>89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1261.9653916081941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1327.1305413473522</c:v>
                </c:pt>
                <c:pt idx="14">
                  <c:v>1294.1378648840339</c:v>
                </c:pt>
                <c:pt idx="15">
                  <c:v>1327.1305413473522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1360.9643312111432</c:v>
                </c:pt>
                <c:pt idx="19">
                  <c:v>1395.6606777721715</c:v>
                </c:pt>
                <c:pt idx="20">
                  <c:v>1431.2415710013786</c:v>
                </c:pt>
                <c:pt idx="21">
                  <c:v>1395.6606777721715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1431.2415710013786</c:v>
                </c:pt>
                <c:pt idx="25">
                  <c:v>1395.6606777721715</c:v>
                </c:pt>
                <c:pt idx="26">
                  <c:v>1431.2415710013786</c:v>
                </c:pt>
                <c:pt idx="27">
                  <c:v>1395.6606777721715</c:v>
                </c:pt>
                <c:pt idx="28">
                  <c:v>1360.9643312111432</c:v>
                </c:pt>
                <c:pt idx="29">
                  <c:v>1395.6606777721715</c:v>
                </c:pt>
                <c:pt idx="30">
                  <c:v>1431.2415710013786</c:v>
                </c:pt>
                <c:pt idx="31">
                  <c:v>1467.7295614807633</c:v>
                </c:pt>
                <c:pt idx="32">
                  <c:v>1505.1477746955679</c:v>
                </c:pt>
                <c:pt idx="33">
                  <c:v>1467.7295614807631</c:v>
                </c:pt>
                <c:pt idx="34">
                  <c:v>1431.2415710013784</c:v>
                </c:pt>
                <c:pt idx="35">
                  <c:v>1467.7295614807631</c:v>
                </c:pt>
                <c:pt idx="36">
                  <c:v>1431.2415710013784</c:v>
                </c:pt>
                <c:pt idx="37">
                  <c:v>1467.7295614807631</c:v>
                </c:pt>
                <c:pt idx="38">
                  <c:v>1505.1477746955677</c:v>
                </c:pt>
                <c:pt idx="39">
                  <c:v>1543.5199256908284</c:v>
                </c:pt>
                <c:pt idx="40">
                  <c:v>1582.8703341015782</c:v>
                </c:pt>
                <c:pt idx="41">
                  <c:v>1623.2239395662307</c:v>
                </c:pt>
                <c:pt idx="42">
                  <c:v>1664.6063175329093</c:v>
                </c:pt>
                <c:pt idx="43">
                  <c:v>1707.0436954687448</c:v>
                </c:pt>
                <c:pt idx="44">
                  <c:v>1750.5629694824097</c:v>
                </c:pt>
                <c:pt idx="45">
                  <c:v>1707.0436954687448</c:v>
                </c:pt>
                <c:pt idx="46">
                  <c:v>1750.5629694824097</c:v>
                </c:pt>
                <c:pt idx="47">
                  <c:v>1707.0436954687448</c:v>
                </c:pt>
                <c:pt idx="48">
                  <c:v>1664.6063175329093</c:v>
                </c:pt>
                <c:pt idx="49">
                  <c:v>1623.2239395662307</c:v>
                </c:pt>
                <c:pt idx="50">
                  <c:v>1664.6063175329093</c:v>
                </c:pt>
                <c:pt idx="51">
                  <c:v>1707.0436954687448</c:v>
                </c:pt>
                <c:pt idx="52">
                  <c:v>1664.6063175329093</c:v>
                </c:pt>
                <c:pt idx="53">
                  <c:v>1623.2239395662307</c:v>
                </c:pt>
                <c:pt idx="54">
                  <c:v>1582.8703341015782</c:v>
                </c:pt>
                <c:pt idx="55">
                  <c:v>1543.5199256908284</c:v>
                </c:pt>
                <c:pt idx="56">
                  <c:v>1505.1477746955677</c:v>
                </c:pt>
                <c:pt idx="57">
                  <c:v>1467.7295614807629</c:v>
                </c:pt>
                <c:pt idx="58">
                  <c:v>1431.2415710013781</c:v>
                </c:pt>
                <c:pt idx="59">
                  <c:v>1395.6606777721711</c:v>
                </c:pt>
                <c:pt idx="60">
                  <c:v>1360.9643312111427</c:v>
                </c:pt>
                <c:pt idx="61">
                  <c:v>1395.6606777721711</c:v>
                </c:pt>
                <c:pt idx="62">
                  <c:v>1360.9643312111427</c:v>
                </c:pt>
                <c:pt idx="63">
                  <c:v>1395.6606777721711</c:v>
                </c:pt>
                <c:pt idx="64">
                  <c:v>1431.2415710013781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1467.7295614807629</c:v>
                </c:pt>
                <c:pt idx="68">
                  <c:v>1505.1477746955675</c:v>
                </c:pt>
                <c:pt idx="69">
                  <c:v>1543.5199256908281</c:v>
                </c:pt>
                <c:pt idx="70">
                  <c:v>1582.870334101578</c:v>
                </c:pt>
                <c:pt idx="71">
                  <c:v>1543.5199256908281</c:v>
                </c:pt>
                <c:pt idx="72">
                  <c:v>1582.870334101578</c:v>
                </c:pt>
                <c:pt idx="73">
                  <c:v>1623.2239395662305</c:v>
                </c:pt>
                <c:pt idx="74">
                  <c:v>1582.870334101578</c:v>
                </c:pt>
                <c:pt idx="75">
                  <c:v>1623.2239395662305</c:v>
                </c:pt>
                <c:pt idx="76">
                  <c:v>1582.870334101578</c:v>
                </c:pt>
                <c:pt idx="77">
                  <c:v>1623.2239395662305</c:v>
                </c:pt>
                <c:pt idx="78">
                  <c:v>1664.6063175329091</c:v>
                </c:pt>
                <c:pt idx="79">
                  <c:v>1623.2239395662305</c:v>
                </c:pt>
                <c:pt idx="80">
                  <c:v>1664.6063175329091</c:v>
                </c:pt>
                <c:pt idx="81">
                  <c:v>1707.0436954687445</c:v>
                </c:pt>
                <c:pt idx="82">
                  <c:v>1664.6063175329091</c:v>
                </c:pt>
                <c:pt idx="83">
                  <c:v>1707.0436954687445</c:v>
                </c:pt>
                <c:pt idx="84">
                  <c:v>1750.5629694824095</c:v>
                </c:pt>
                <c:pt idx="85">
                  <c:v>1707.0436954687445</c:v>
                </c:pt>
                <c:pt idx="86">
                  <c:v>1750.5629694824095</c:v>
                </c:pt>
                <c:pt idx="87">
                  <c:v>1707.0436954687445</c:v>
                </c:pt>
                <c:pt idx="88">
                  <c:v>1664.6063175329091</c:v>
                </c:pt>
                <c:pt idx="89">
                  <c:v>1623.2239395662305</c:v>
                </c:pt>
                <c:pt idx="90">
                  <c:v>1664.6063175329091</c:v>
                </c:pt>
                <c:pt idx="91">
                  <c:v>1707.0436954687445</c:v>
                </c:pt>
                <c:pt idx="92">
                  <c:v>1750.5629694824095</c:v>
                </c:pt>
                <c:pt idx="93">
                  <c:v>1795.1917213704276</c:v>
                </c:pt>
                <c:pt idx="94">
                  <c:v>1750.5629694824095</c:v>
                </c:pt>
                <c:pt idx="95">
                  <c:v>1707.0436954687445</c:v>
                </c:pt>
                <c:pt idx="96">
                  <c:v>1750.5629694824095</c:v>
                </c:pt>
                <c:pt idx="97">
                  <c:v>1795.1917213704276</c:v>
                </c:pt>
                <c:pt idx="98">
                  <c:v>1840.9582360980601</c:v>
                </c:pt>
                <c:pt idx="99">
                  <c:v>1795.1917213704276</c:v>
                </c:pt>
                <c:pt idx="100">
                  <c:v>1750.5629694824095</c:v>
                </c:pt>
                <c:pt idx="101">
                  <c:v>1795.1917213704276</c:v>
                </c:pt>
              </c:numCache>
            </c:numRef>
          </c:yVal>
          <c:smooth val="1"/>
        </c:ser>
        <c:ser>
          <c:idx val="90"/>
          <c:order val="89"/>
          <c:yVal>
            <c:numRef>
              <c:f>MCarlo_ar!$CO$15:$CO$116</c:f>
              <c:numCache>
                <c:formatCode>General</c:formatCode>
                <c:ptCount val="102"/>
                <c:pt idx="0">
                  <c:v>90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1360.9643312111432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1395.6606777721715</c:v>
                </c:pt>
                <c:pt idx="16">
                  <c:v>1360.9643312111432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1327.1305413473522</c:v>
                </c:pt>
                <c:pt idx="24">
                  <c:v>1294.1378648840339</c:v>
                </c:pt>
                <c:pt idx="25">
                  <c:v>1327.1305413473522</c:v>
                </c:pt>
                <c:pt idx="26">
                  <c:v>1360.9643312111432</c:v>
                </c:pt>
                <c:pt idx="27">
                  <c:v>1395.6606777721715</c:v>
                </c:pt>
                <c:pt idx="28">
                  <c:v>1431.2415710013786</c:v>
                </c:pt>
                <c:pt idx="29">
                  <c:v>1395.6606777721715</c:v>
                </c:pt>
                <c:pt idx="30">
                  <c:v>1360.9643312111432</c:v>
                </c:pt>
                <c:pt idx="31">
                  <c:v>1327.1305413473522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1294.1378648840339</c:v>
                </c:pt>
                <c:pt idx="35">
                  <c:v>1261.9653916081941</c:v>
                </c:pt>
                <c:pt idx="36">
                  <c:v>1294.1378648840339</c:v>
                </c:pt>
                <c:pt idx="37">
                  <c:v>1261.9653916081941</c:v>
                </c:pt>
                <c:pt idx="38">
                  <c:v>1230.5927311380613</c:v>
                </c:pt>
                <c:pt idx="39">
                  <c:v>1261.9653916081941</c:v>
                </c:pt>
                <c:pt idx="40">
                  <c:v>1294.1378648840339</c:v>
                </c:pt>
                <c:pt idx="41">
                  <c:v>1327.1305413473522</c:v>
                </c:pt>
                <c:pt idx="42">
                  <c:v>1360.9643312111432</c:v>
                </c:pt>
                <c:pt idx="43">
                  <c:v>1327.1305413473522</c:v>
                </c:pt>
                <c:pt idx="44">
                  <c:v>1360.9643312111432</c:v>
                </c:pt>
                <c:pt idx="45">
                  <c:v>1327.1305413473522</c:v>
                </c:pt>
                <c:pt idx="46">
                  <c:v>1360.9643312111432</c:v>
                </c:pt>
                <c:pt idx="47">
                  <c:v>1395.6606777721715</c:v>
                </c:pt>
                <c:pt idx="48">
                  <c:v>1431.2415710013786</c:v>
                </c:pt>
                <c:pt idx="49">
                  <c:v>1395.6606777721715</c:v>
                </c:pt>
                <c:pt idx="50">
                  <c:v>1431.2415710013786</c:v>
                </c:pt>
                <c:pt idx="51">
                  <c:v>1467.7295614807633</c:v>
                </c:pt>
                <c:pt idx="52">
                  <c:v>1505.1477746955679</c:v>
                </c:pt>
                <c:pt idx="53">
                  <c:v>1543.5199256908286</c:v>
                </c:pt>
                <c:pt idx="54">
                  <c:v>1505.1477746955679</c:v>
                </c:pt>
                <c:pt idx="55">
                  <c:v>1467.7295614807631</c:v>
                </c:pt>
                <c:pt idx="56">
                  <c:v>1505.1477746955677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1467.7295614807629</c:v>
                </c:pt>
                <c:pt idx="60">
                  <c:v>1505.1477746955675</c:v>
                </c:pt>
                <c:pt idx="61">
                  <c:v>1467.7295614807629</c:v>
                </c:pt>
                <c:pt idx="62">
                  <c:v>1505.1477746955675</c:v>
                </c:pt>
                <c:pt idx="63">
                  <c:v>1543.5199256908281</c:v>
                </c:pt>
                <c:pt idx="64">
                  <c:v>1582.870334101578</c:v>
                </c:pt>
                <c:pt idx="65">
                  <c:v>1623.2239395662305</c:v>
                </c:pt>
                <c:pt idx="66">
                  <c:v>1664.6063175329091</c:v>
                </c:pt>
                <c:pt idx="67">
                  <c:v>1707.0436954687445</c:v>
                </c:pt>
                <c:pt idx="68">
                  <c:v>1664.6063175329091</c:v>
                </c:pt>
                <c:pt idx="69">
                  <c:v>1623.2239395662305</c:v>
                </c:pt>
                <c:pt idx="70">
                  <c:v>1664.6063175329091</c:v>
                </c:pt>
                <c:pt idx="71">
                  <c:v>1623.2239395662305</c:v>
                </c:pt>
                <c:pt idx="72">
                  <c:v>1582.870334101578</c:v>
                </c:pt>
                <c:pt idx="73">
                  <c:v>1623.2239395662305</c:v>
                </c:pt>
                <c:pt idx="74">
                  <c:v>1582.870334101578</c:v>
                </c:pt>
                <c:pt idx="75">
                  <c:v>1623.2239395662305</c:v>
                </c:pt>
                <c:pt idx="76">
                  <c:v>1664.6063175329091</c:v>
                </c:pt>
                <c:pt idx="77">
                  <c:v>1623.2239395662305</c:v>
                </c:pt>
                <c:pt idx="78">
                  <c:v>1582.870334101578</c:v>
                </c:pt>
                <c:pt idx="79">
                  <c:v>1543.5199256908281</c:v>
                </c:pt>
                <c:pt idx="80">
                  <c:v>1582.870334101578</c:v>
                </c:pt>
                <c:pt idx="81">
                  <c:v>1623.2239395662305</c:v>
                </c:pt>
                <c:pt idx="82">
                  <c:v>1664.6063175329091</c:v>
                </c:pt>
                <c:pt idx="83">
                  <c:v>1707.0436954687445</c:v>
                </c:pt>
                <c:pt idx="84">
                  <c:v>1664.6063175329091</c:v>
                </c:pt>
                <c:pt idx="85">
                  <c:v>1707.0436954687445</c:v>
                </c:pt>
                <c:pt idx="86">
                  <c:v>1750.5629694824095</c:v>
                </c:pt>
                <c:pt idx="87">
                  <c:v>1707.0436954687445</c:v>
                </c:pt>
                <c:pt idx="88">
                  <c:v>1664.6063175329091</c:v>
                </c:pt>
                <c:pt idx="89">
                  <c:v>1707.0436954687445</c:v>
                </c:pt>
                <c:pt idx="90">
                  <c:v>1664.6063175329091</c:v>
                </c:pt>
                <c:pt idx="91">
                  <c:v>1623.2239395662305</c:v>
                </c:pt>
                <c:pt idx="92">
                  <c:v>1582.870334101578</c:v>
                </c:pt>
                <c:pt idx="93">
                  <c:v>1543.5199256908281</c:v>
                </c:pt>
                <c:pt idx="94">
                  <c:v>1582.870334101578</c:v>
                </c:pt>
                <c:pt idx="95">
                  <c:v>1623.2239395662305</c:v>
                </c:pt>
                <c:pt idx="96">
                  <c:v>1582.870334101578</c:v>
                </c:pt>
                <c:pt idx="97">
                  <c:v>1543.5199256908281</c:v>
                </c:pt>
                <c:pt idx="98">
                  <c:v>1582.870334101578</c:v>
                </c:pt>
                <c:pt idx="99">
                  <c:v>1623.2239395662305</c:v>
                </c:pt>
                <c:pt idx="100">
                  <c:v>1582.870334101578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91"/>
          <c:order val="90"/>
          <c:yVal>
            <c:numRef>
              <c:f>MCarlo_ar!$CP$15:$CP$116</c:f>
              <c:numCache>
                <c:formatCode>General</c:formatCode>
                <c:ptCount val="102"/>
                <c:pt idx="0">
                  <c:v>91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1327.1305413473522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1431.2415710013786</c:v>
                </c:pt>
                <c:pt idx="13">
                  <c:v>1395.6606777721715</c:v>
                </c:pt>
                <c:pt idx="14">
                  <c:v>1360.9643312111432</c:v>
                </c:pt>
                <c:pt idx="15">
                  <c:v>1395.6606777721715</c:v>
                </c:pt>
                <c:pt idx="16">
                  <c:v>1431.2415710013786</c:v>
                </c:pt>
                <c:pt idx="17">
                  <c:v>1467.7295614807633</c:v>
                </c:pt>
                <c:pt idx="18">
                  <c:v>1431.2415710013786</c:v>
                </c:pt>
                <c:pt idx="19">
                  <c:v>1395.6606777721715</c:v>
                </c:pt>
                <c:pt idx="20">
                  <c:v>1360.9643312111432</c:v>
                </c:pt>
                <c:pt idx="21">
                  <c:v>1395.6606777721715</c:v>
                </c:pt>
                <c:pt idx="22">
                  <c:v>1360.9643312111432</c:v>
                </c:pt>
                <c:pt idx="23">
                  <c:v>1395.6606777721715</c:v>
                </c:pt>
                <c:pt idx="24">
                  <c:v>1360.9643312111432</c:v>
                </c:pt>
                <c:pt idx="25">
                  <c:v>1327.1305413473522</c:v>
                </c:pt>
                <c:pt idx="26">
                  <c:v>1294.1378648840339</c:v>
                </c:pt>
                <c:pt idx="27">
                  <c:v>1261.9653916081941</c:v>
                </c:pt>
                <c:pt idx="28">
                  <c:v>1294.1378648840339</c:v>
                </c:pt>
                <c:pt idx="29">
                  <c:v>1261.9653916081941</c:v>
                </c:pt>
                <c:pt idx="30">
                  <c:v>1294.1378648840339</c:v>
                </c:pt>
                <c:pt idx="31">
                  <c:v>1327.1305413473522</c:v>
                </c:pt>
                <c:pt idx="32">
                  <c:v>1360.9643312111432</c:v>
                </c:pt>
                <c:pt idx="33">
                  <c:v>1395.6606777721715</c:v>
                </c:pt>
                <c:pt idx="34">
                  <c:v>1431.2415710013786</c:v>
                </c:pt>
                <c:pt idx="35">
                  <c:v>1467.7295614807633</c:v>
                </c:pt>
                <c:pt idx="36">
                  <c:v>1505.1477746955679</c:v>
                </c:pt>
                <c:pt idx="37">
                  <c:v>1467.7295614807631</c:v>
                </c:pt>
                <c:pt idx="38">
                  <c:v>1505.1477746955677</c:v>
                </c:pt>
                <c:pt idx="39">
                  <c:v>1467.7295614807629</c:v>
                </c:pt>
                <c:pt idx="40">
                  <c:v>1505.1477746955675</c:v>
                </c:pt>
                <c:pt idx="41">
                  <c:v>1467.7295614807629</c:v>
                </c:pt>
                <c:pt idx="42">
                  <c:v>1505.1477746955675</c:v>
                </c:pt>
                <c:pt idx="43">
                  <c:v>1543.5199256908281</c:v>
                </c:pt>
                <c:pt idx="44">
                  <c:v>1582.870334101578</c:v>
                </c:pt>
                <c:pt idx="45">
                  <c:v>1543.5199256908281</c:v>
                </c:pt>
                <c:pt idx="46">
                  <c:v>1582.870334101578</c:v>
                </c:pt>
                <c:pt idx="47">
                  <c:v>1543.5199256908281</c:v>
                </c:pt>
                <c:pt idx="48">
                  <c:v>1582.870334101578</c:v>
                </c:pt>
                <c:pt idx="49">
                  <c:v>1543.5199256908281</c:v>
                </c:pt>
                <c:pt idx="50">
                  <c:v>1582.870334101578</c:v>
                </c:pt>
                <c:pt idx="51">
                  <c:v>1543.5199256908281</c:v>
                </c:pt>
                <c:pt idx="52">
                  <c:v>1582.870334101578</c:v>
                </c:pt>
                <c:pt idx="53">
                  <c:v>1623.2239395662305</c:v>
                </c:pt>
                <c:pt idx="54">
                  <c:v>1664.6063175329091</c:v>
                </c:pt>
                <c:pt idx="55">
                  <c:v>1707.0436954687445</c:v>
                </c:pt>
                <c:pt idx="56">
                  <c:v>1750.5629694824095</c:v>
                </c:pt>
                <c:pt idx="57">
                  <c:v>1795.1917213704276</c:v>
                </c:pt>
                <c:pt idx="58">
                  <c:v>1750.5629694824095</c:v>
                </c:pt>
                <c:pt idx="59">
                  <c:v>1707.0436954687445</c:v>
                </c:pt>
                <c:pt idx="60">
                  <c:v>1664.6063175329091</c:v>
                </c:pt>
                <c:pt idx="61">
                  <c:v>1623.2239395662305</c:v>
                </c:pt>
                <c:pt idx="62">
                  <c:v>1582.870334101578</c:v>
                </c:pt>
                <c:pt idx="63">
                  <c:v>1623.2239395662305</c:v>
                </c:pt>
                <c:pt idx="64">
                  <c:v>1664.6063175329091</c:v>
                </c:pt>
                <c:pt idx="65">
                  <c:v>1623.2239395662305</c:v>
                </c:pt>
                <c:pt idx="66">
                  <c:v>1664.6063175329091</c:v>
                </c:pt>
                <c:pt idx="67">
                  <c:v>1707.0436954687445</c:v>
                </c:pt>
                <c:pt idx="68">
                  <c:v>1664.6063175329091</c:v>
                </c:pt>
                <c:pt idx="69">
                  <c:v>1623.2239395662305</c:v>
                </c:pt>
                <c:pt idx="70">
                  <c:v>1582.870334101578</c:v>
                </c:pt>
                <c:pt idx="71">
                  <c:v>1623.2239395662305</c:v>
                </c:pt>
                <c:pt idx="72">
                  <c:v>1664.6063175329091</c:v>
                </c:pt>
                <c:pt idx="73">
                  <c:v>1707.0436954687445</c:v>
                </c:pt>
                <c:pt idx="74">
                  <c:v>1750.5629694824095</c:v>
                </c:pt>
                <c:pt idx="75">
                  <c:v>1707.0436954687445</c:v>
                </c:pt>
                <c:pt idx="76">
                  <c:v>1750.5629694824095</c:v>
                </c:pt>
                <c:pt idx="77">
                  <c:v>1795.1917213704276</c:v>
                </c:pt>
                <c:pt idx="78">
                  <c:v>1750.5629694824095</c:v>
                </c:pt>
                <c:pt idx="79">
                  <c:v>1795.1917213704276</c:v>
                </c:pt>
                <c:pt idx="80">
                  <c:v>1840.9582360980601</c:v>
                </c:pt>
                <c:pt idx="81">
                  <c:v>1795.1917213704276</c:v>
                </c:pt>
                <c:pt idx="82">
                  <c:v>1840.9582360980601</c:v>
                </c:pt>
                <c:pt idx="83">
                  <c:v>1795.1917213704276</c:v>
                </c:pt>
                <c:pt idx="84">
                  <c:v>1840.9582360980601</c:v>
                </c:pt>
                <c:pt idx="85">
                  <c:v>1887.8915197258498</c:v>
                </c:pt>
                <c:pt idx="86">
                  <c:v>1840.9582360980601</c:v>
                </c:pt>
                <c:pt idx="87">
                  <c:v>1795.1917213704276</c:v>
                </c:pt>
                <c:pt idx="88">
                  <c:v>1840.9582360980601</c:v>
                </c:pt>
                <c:pt idx="89">
                  <c:v>1795.1917213704276</c:v>
                </c:pt>
                <c:pt idx="90">
                  <c:v>1840.9582360980601</c:v>
                </c:pt>
                <c:pt idx="91">
                  <c:v>1795.1917213704276</c:v>
                </c:pt>
                <c:pt idx="92">
                  <c:v>1750.5629694824095</c:v>
                </c:pt>
                <c:pt idx="93">
                  <c:v>1795.1917213704276</c:v>
                </c:pt>
                <c:pt idx="94">
                  <c:v>1750.5629694824095</c:v>
                </c:pt>
                <c:pt idx="95">
                  <c:v>1795.1917213704276</c:v>
                </c:pt>
                <c:pt idx="96">
                  <c:v>1750.5629694824095</c:v>
                </c:pt>
                <c:pt idx="97">
                  <c:v>1795.1917213704276</c:v>
                </c:pt>
                <c:pt idx="98">
                  <c:v>1750.5629694824095</c:v>
                </c:pt>
                <c:pt idx="99">
                  <c:v>1707.0436954687445</c:v>
                </c:pt>
                <c:pt idx="100">
                  <c:v>1664.6063175329091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92"/>
          <c:order val="91"/>
          <c:yVal>
            <c:numRef>
              <c:f>MCarlo_ar!$CQ$15:$CQ$116</c:f>
              <c:numCache>
                <c:formatCode>General</c:formatCode>
                <c:ptCount val="102"/>
                <c:pt idx="0">
                  <c:v>92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1294.1378648840339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1327.1305413473522</c:v>
                </c:pt>
                <c:pt idx="14">
                  <c:v>1360.9643312111432</c:v>
                </c:pt>
                <c:pt idx="15">
                  <c:v>1327.1305413473522</c:v>
                </c:pt>
                <c:pt idx="16">
                  <c:v>1294.1378648840339</c:v>
                </c:pt>
                <c:pt idx="17">
                  <c:v>1327.1305413473522</c:v>
                </c:pt>
                <c:pt idx="18">
                  <c:v>1294.1378648840339</c:v>
                </c:pt>
                <c:pt idx="19">
                  <c:v>1327.1305413473522</c:v>
                </c:pt>
                <c:pt idx="20">
                  <c:v>1360.9643312111432</c:v>
                </c:pt>
                <c:pt idx="21">
                  <c:v>1327.1305413473522</c:v>
                </c:pt>
                <c:pt idx="22">
                  <c:v>1294.1378648840339</c:v>
                </c:pt>
                <c:pt idx="23">
                  <c:v>1261.9653916081941</c:v>
                </c:pt>
                <c:pt idx="24">
                  <c:v>1294.1378648840339</c:v>
                </c:pt>
                <c:pt idx="25">
                  <c:v>1261.9653916081941</c:v>
                </c:pt>
                <c:pt idx="26">
                  <c:v>1230.5927311380613</c:v>
                </c:pt>
                <c:pt idx="27">
                  <c:v>1200</c:v>
                </c:pt>
                <c:pt idx="28">
                  <c:v>1230.5927311380613</c:v>
                </c:pt>
                <c:pt idx="29">
                  <c:v>1200</c:v>
                </c:pt>
                <c:pt idx="30">
                  <c:v>1230.5927311380613</c:v>
                </c:pt>
                <c:pt idx="31">
                  <c:v>1261.9653916081941</c:v>
                </c:pt>
                <c:pt idx="32">
                  <c:v>1294.1378648840339</c:v>
                </c:pt>
                <c:pt idx="33">
                  <c:v>1327.1305413473522</c:v>
                </c:pt>
                <c:pt idx="34">
                  <c:v>1360.9643312111432</c:v>
                </c:pt>
                <c:pt idx="35">
                  <c:v>1327.1305413473522</c:v>
                </c:pt>
                <c:pt idx="36">
                  <c:v>1294.1378648840339</c:v>
                </c:pt>
                <c:pt idx="37">
                  <c:v>1327.1305413473522</c:v>
                </c:pt>
                <c:pt idx="38">
                  <c:v>1294.1378648840339</c:v>
                </c:pt>
                <c:pt idx="39">
                  <c:v>1327.1305413473522</c:v>
                </c:pt>
                <c:pt idx="40">
                  <c:v>1294.1378648840339</c:v>
                </c:pt>
                <c:pt idx="41">
                  <c:v>1261.9653916081941</c:v>
                </c:pt>
                <c:pt idx="42">
                  <c:v>1230.5927311380613</c:v>
                </c:pt>
                <c:pt idx="43">
                  <c:v>1261.9653916081941</c:v>
                </c:pt>
                <c:pt idx="44">
                  <c:v>1230.5927311380613</c:v>
                </c:pt>
                <c:pt idx="45">
                  <c:v>1200</c:v>
                </c:pt>
                <c:pt idx="46">
                  <c:v>1170.1678090266935</c:v>
                </c:pt>
                <c:pt idx="47">
                  <c:v>1200</c:v>
                </c:pt>
                <c:pt idx="48">
                  <c:v>1230.5927311380613</c:v>
                </c:pt>
                <c:pt idx="49">
                  <c:v>1200</c:v>
                </c:pt>
                <c:pt idx="50">
                  <c:v>1170.1678090266935</c:v>
                </c:pt>
                <c:pt idx="51">
                  <c:v>1141.0772510686099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1112.7098890109644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1141.0772510686097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1058.0732844912411</c:v>
                </c:pt>
                <c:pt idx="63">
                  <c:v>1085.0477440885795</c:v>
                </c:pt>
                <c:pt idx="64">
                  <c:v>1058.0732844912411</c:v>
                </c:pt>
                <c:pt idx="65">
                  <c:v>1031.7694142523274</c:v>
                </c:pt>
                <c:pt idx="66">
                  <c:v>1058.0732844912411</c:v>
                </c:pt>
                <c:pt idx="67">
                  <c:v>1085.0477440885795</c:v>
                </c:pt>
                <c:pt idx="68">
                  <c:v>1112.7098890109644</c:v>
                </c:pt>
                <c:pt idx="69">
                  <c:v>1085.0477440885795</c:v>
                </c:pt>
                <c:pt idx="70">
                  <c:v>1058.0732844912411</c:v>
                </c:pt>
                <c:pt idx="71">
                  <c:v>1085.0477440885795</c:v>
                </c:pt>
                <c:pt idx="72">
                  <c:v>1058.0732844912411</c:v>
                </c:pt>
                <c:pt idx="73">
                  <c:v>1085.0477440885795</c:v>
                </c:pt>
                <c:pt idx="74">
                  <c:v>1058.0732844912411</c:v>
                </c:pt>
                <c:pt idx="75">
                  <c:v>1031.7694142523274</c:v>
                </c:pt>
                <c:pt idx="76">
                  <c:v>1006.1194624136672</c:v>
                </c:pt>
                <c:pt idx="77">
                  <c:v>1031.7694142523274</c:v>
                </c:pt>
                <c:pt idx="78">
                  <c:v>1006.1194624136672</c:v>
                </c:pt>
                <c:pt idx="79">
                  <c:v>1031.7694142523274</c:v>
                </c:pt>
                <c:pt idx="80">
                  <c:v>1006.1194624136672</c:v>
                </c:pt>
                <c:pt idx="81">
                  <c:v>981.10717245976286</c:v>
                </c:pt>
                <c:pt idx="82">
                  <c:v>956.7166920146791</c:v>
                </c:pt>
                <c:pt idx="83">
                  <c:v>981.10717245976286</c:v>
                </c:pt>
                <c:pt idx="84">
                  <c:v>1006.1194624136671</c:v>
                </c:pt>
                <c:pt idx="85">
                  <c:v>981.10717245976275</c:v>
                </c:pt>
                <c:pt idx="86">
                  <c:v>956.71669201467898</c:v>
                </c:pt>
                <c:pt idx="87">
                  <c:v>981.10717245976275</c:v>
                </c:pt>
                <c:pt idx="88">
                  <c:v>956.71669201467898</c:v>
                </c:pt>
                <c:pt idx="89">
                  <c:v>981.10717245976275</c:v>
                </c:pt>
                <c:pt idx="90">
                  <c:v>1006.119462413667</c:v>
                </c:pt>
                <c:pt idx="91">
                  <c:v>981.10717245976264</c:v>
                </c:pt>
                <c:pt idx="92">
                  <c:v>956.71669201467887</c:v>
                </c:pt>
                <c:pt idx="93">
                  <c:v>981.10717245976264</c:v>
                </c:pt>
                <c:pt idx="94">
                  <c:v>1006.1194624136668</c:v>
                </c:pt>
                <c:pt idx="95">
                  <c:v>981.10717245976264</c:v>
                </c:pt>
                <c:pt idx="96">
                  <c:v>1006.1194624136668</c:v>
                </c:pt>
                <c:pt idx="97">
                  <c:v>1031.7694142523269</c:v>
                </c:pt>
                <c:pt idx="98">
                  <c:v>1006.1194624136668</c:v>
                </c:pt>
                <c:pt idx="99">
                  <c:v>1031.7694142523269</c:v>
                </c:pt>
                <c:pt idx="100">
                  <c:v>1058.0732844912407</c:v>
                </c:pt>
                <c:pt idx="101">
                  <c:v>1085.0477440885791</c:v>
                </c:pt>
              </c:numCache>
            </c:numRef>
          </c:yVal>
          <c:smooth val="1"/>
        </c:ser>
        <c:ser>
          <c:idx val="93"/>
          <c:order val="92"/>
          <c:yVal>
            <c:numRef>
              <c:f>MCarlo_ar!$CR$15:$CR$116</c:f>
              <c:numCache>
                <c:formatCode>General</c:formatCode>
                <c:ptCount val="102"/>
                <c:pt idx="0">
                  <c:v>93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1112.7098890109644</c:v>
                </c:pt>
                <c:pt idx="7">
                  <c:v>1085.0477440885795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1170.167809026693</c:v>
                </c:pt>
                <c:pt idx="13">
                  <c:v>1199.9999999999995</c:v>
                </c:pt>
                <c:pt idx="14">
                  <c:v>1230.5927311380608</c:v>
                </c:pt>
                <c:pt idx="15">
                  <c:v>1261.9653916081936</c:v>
                </c:pt>
                <c:pt idx="16">
                  <c:v>1294.1378648840334</c:v>
                </c:pt>
                <c:pt idx="17">
                  <c:v>1327.1305413473517</c:v>
                </c:pt>
                <c:pt idx="18">
                  <c:v>1360.9643312111427</c:v>
                </c:pt>
                <c:pt idx="19">
                  <c:v>1395.6606777721711</c:v>
                </c:pt>
                <c:pt idx="20">
                  <c:v>1431.2415710013781</c:v>
                </c:pt>
                <c:pt idx="21">
                  <c:v>1467.7295614807629</c:v>
                </c:pt>
                <c:pt idx="22">
                  <c:v>1431.2415710013781</c:v>
                </c:pt>
                <c:pt idx="23">
                  <c:v>1395.6606777721711</c:v>
                </c:pt>
                <c:pt idx="24">
                  <c:v>1431.2415710013781</c:v>
                </c:pt>
                <c:pt idx="25">
                  <c:v>1467.7295614807629</c:v>
                </c:pt>
                <c:pt idx="26">
                  <c:v>1431.2415710013781</c:v>
                </c:pt>
                <c:pt idx="27">
                  <c:v>1395.6606777721711</c:v>
                </c:pt>
                <c:pt idx="28">
                  <c:v>1360.9643312111427</c:v>
                </c:pt>
                <c:pt idx="29">
                  <c:v>1327.1305413473517</c:v>
                </c:pt>
                <c:pt idx="30">
                  <c:v>1360.9643312111427</c:v>
                </c:pt>
                <c:pt idx="31">
                  <c:v>1395.6606777721711</c:v>
                </c:pt>
                <c:pt idx="32">
                  <c:v>1431.2415710013781</c:v>
                </c:pt>
                <c:pt idx="33">
                  <c:v>1395.6606777721711</c:v>
                </c:pt>
                <c:pt idx="34">
                  <c:v>1431.2415710013781</c:v>
                </c:pt>
                <c:pt idx="35">
                  <c:v>1467.7295614807629</c:v>
                </c:pt>
                <c:pt idx="36">
                  <c:v>1431.2415710013781</c:v>
                </c:pt>
                <c:pt idx="37">
                  <c:v>1467.7295614807629</c:v>
                </c:pt>
                <c:pt idx="38">
                  <c:v>1505.1477746955675</c:v>
                </c:pt>
                <c:pt idx="39">
                  <c:v>1467.7295614807629</c:v>
                </c:pt>
                <c:pt idx="40">
                  <c:v>1505.1477746955675</c:v>
                </c:pt>
                <c:pt idx="41">
                  <c:v>1467.7295614807629</c:v>
                </c:pt>
                <c:pt idx="42">
                  <c:v>1431.2415710013781</c:v>
                </c:pt>
                <c:pt idx="43">
                  <c:v>1395.6606777721711</c:v>
                </c:pt>
                <c:pt idx="44">
                  <c:v>1360.9643312111427</c:v>
                </c:pt>
                <c:pt idx="45">
                  <c:v>1395.6606777721711</c:v>
                </c:pt>
                <c:pt idx="46">
                  <c:v>1431.2415710013781</c:v>
                </c:pt>
                <c:pt idx="47">
                  <c:v>1395.6606777721711</c:v>
                </c:pt>
                <c:pt idx="48">
                  <c:v>1360.9643312111427</c:v>
                </c:pt>
                <c:pt idx="49">
                  <c:v>1327.1305413473517</c:v>
                </c:pt>
                <c:pt idx="50">
                  <c:v>1360.9643312111427</c:v>
                </c:pt>
                <c:pt idx="51">
                  <c:v>1327.1305413473517</c:v>
                </c:pt>
                <c:pt idx="52">
                  <c:v>1294.1378648840334</c:v>
                </c:pt>
                <c:pt idx="53">
                  <c:v>1261.9653916081936</c:v>
                </c:pt>
                <c:pt idx="54">
                  <c:v>1294.1378648840334</c:v>
                </c:pt>
                <c:pt idx="55">
                  <c:v>1327.1305413473517</c:v>
                </c:pt>
                <c:pt idx="56">
                  <c:v>1294.1378648840334</c:v>
                </c:pt>
                <c:pt idx="57">
                  <c:v>1261.9653916081936</c:v>
                </c:pt>
                <c:pt idx="58">
                  <c:v>1230.5927311380608</c:v>
                </c:pt>
                <c:pt idx="59">
                  <c:v>1261.9653916081936</c:v>
                </c:pt>
                <c:pt idx="60">
                  <c:v>1230.5927311380608</c:v>
                </c:pt>
                <c:pt idx="61">
                  <c:v>1261.9653916081936</c:v>
                </c:pt>
                <c:pt idx="62">
                  <c:v>1294.1378648840334</c:v>
                </c:pt>
                <c:pt idx="63">
                  <c:v>1327.1305413473517</c:v>
                </c:pt>
                <c:pt idx="64">
                  <c:v>1360.9643312111427</c:v>
                </c:pt>
                <c:pt idx="65">
                  <c:v>1327.1305413473517</c:v>
                </c:pt>
                <c:pt idx="66">
                  <c:v>1360.9643312111427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1467.7295614807629</c:v>
                </c:pt>
                <c:pt idx="70">
                  <c:v>1505.1477746955675</c:v>
                </c:pt>
                <c:pt idx="71">
                  <c:v>1543.5199256908281</c:v>
                </c:pt>
                <c:pt idx="72">
                  <c:v>1582.870334101578</c:v>
                </c:pt>
                <c:pt idx="73">
                  <c:v>1623.2239395662305</c:v>
                </c:pt>
                <c:pt idx="74">
                  <c:v>1664.6063175329091</c:v>
                </c:pt>
                <c:pt idx="75">
                  <c:v>1707.0436954687445</c:v>
                </c:pt>
                <c:pt idx="76">
                  <c:v>1750.5629694824095</c:v>
                </c:pt>
                <c:pt idx="77">
                  <c:v>1795.1917213704276</c:v>
                </c:pt>
                <c:pt idx="78">
                  <c:v>1750.5629694824095</c:v>
                </c:pt>
                <c:pt idx="79">
                  <c:v>1795.1917213704276</c:v>
                </c:pt>
                <c:pt idx="80">
                  <c:v>1750.5629694824095</c:v>
                </c:pt>
                <c:pt idx="81">
                  <c:v>1795.1917213704276</c:v>
                </c:pt>
                <c:pt idx="82">
                  <c:v>1750.5629694824095</c:v>
                </c:pt>
                <c:pt idx="83">
                  <c:v>1707.0436954687445</c:v>
                </c:pt>
                <c:pt idx="84">
                  <c:v>1664.6063175329091</c:v>
                </c:pt>
                <c:pt idx="85">
                  <c:v>1707.0436954687445</c:v>
                </c:pt>
                <c:pt idx="86">
                  <c:v>1664.6063175329091</c:v>
                </c:pt>
                <c:pt idx="87">
                  <c:v>1623.2239395662305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1664.6063175329091</c:v>
                </c:pt>
                <c:pt idx="91">
                  <c:v>1623.2239395662305</c:v>
                </c:pt>
                <c:pt idx="92">
                  <c:v>1664.6063175329091</c:v>
                </c:pt>
                <c:pt idx="93">
                  <c:v>1623.2239395662305</c:v>
                </c:pt>
                <c:pt idx="94">
                  <c:v>1582.870334101578</c:v>
                </c:pt>
                <c:pt idx="95">
                  <c:v>1543.5199256908281</c:v>
                </c:pt>
                <c:pt idx="96">
                  <c:v>1505.1477746955675</c:v>
                </c:pt>
                <c:pt idx="97">
                  <c:v>1543.5199256908281</c:v>
                </c:pt>
                <c:pt idx="98">
                  <c:v>1582.870334101578</c:v>
                </c:pt>
                <c:pt idx="99">
                  <c:v>1623.2239395662305</c:v>
                </c:pt>
                <c:pt idx="100">
                  <c:v>1664.6063175329091</c:v>
                </c:pt>
                <c:pt idx="101">
                  <c:v>1707.0436954687445</c:v>
                </c:pt>
              </c:numCache>
            </c:numRef>
          </c:yVal>
          <c:smooth val="1"/>
        </c:ser>
        <c:ser>
          <c:idx val="94"/>
          <c:order val="93"/>
          <c:yVal>
            <c:numRef>
              <c:f>MCarlo_ar!$CS$15:$CS$116</c:f>
              <c:numCache>
                <c:formatCode>General</c:formatCode>
                <c:ptCount val="102"/>
                <c:pt idx="0">
                  <c:v>94</c:v>
                </c:pt>
                <c:pt idx="1">
                  <c:v>1200</c:v>
                </c:pt>
                <c:pt idx="2">
                  <c:v>1170.1678090266935</c:v>
                </c:pt>
                <c:pt idx="3">
                  <c:v>1200</c:v>
                </c:pt>
                <c:pt idx="4">
                  <c:v>1170.1678090266935</c:v>
                </c:pt>
                <c:pt idx="5">
                  <c:v>1141.0772510686099</c:v>
                </c:pt>
                <c:pt idx="6">
                  <c:v>1170.1678090266932</c:v>
                </c:pt>
                <c:pt idx="7">
                  <c:v>1141.0772510686097</c:v>
                </c:pt>
                <c:pt idx="8">
                  <c:v>1112.7098890109644</c:v>
                </c:pt>
                <c:pt idx="9">
                  <c:v>1085.0477440885795</c:v>
                </c:pt>
                <c:pt idx="10">
                  <c:v>1112.7098890109644</c:v>
                </c:pt>
                <c:pt idx="11">
                  <c:v>1141.0772510686097</c:v>
                </c:pt>
                <c:pt idx="12">
                  <c:v>1112.7098890109644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1085.0477440885795</c:v>
                </c:pt>
                <c:pt idx="16">
                  <c:v>1058.0732844912411</c:v>
                </c:pt>
                <c:pt idx="17">
                  <c:v>1085.0477440885795</c:v>
                </c:pt>
                <c:pt idx="18">
                  <c:v>1058.0732844912411</c:v>
                </c:pt>
                <c:pt idx="19">
                  <c:v>1031.7694142523274</c:v>
                </c:pt>
                <c:pt idx="20">
                  <c:v>1006.1194624136672</c:v>
                </c:pt>
                <c:pt idx="21">
                  <c:v>1031.7694142523274</c:v>
                </c:pt>
                <c:pt idx="22">
                  <c:v>1006.1194624136672</c:v>
                </c:pt>
                <c:pt idx="23">
                  <c:v>981.10717245976286</c:v>
                </c:pt>
                <c:pt idx="24">
                  <c:v>1006.1194624136671</c:v>
                </c:pt>
                <c:pt idx="25">
                  <c:v>981.10717245976275</c:v>
                </c:pt>
                <c:pt idx="26">
                  <c:v>956.71669201467898</c:v>
                </c:pt>
                <c:pt idx="27">
                  <c:v>932.93256279506886</c:v>
                </c:pt>
                <c:pt idx="28">
                  <c:v>956.71669201467887</c:v>
                </c:pt>
                <c:pt idx="29">
                  <c:v>932.93256279506875</c:v>
                </c:pt>
                <c:pt idx="30">
                  <c:v>956.71669201467876</c:v>
                </c:pt>
                <c:pt idx="31">
                  <c:v>981.10717245976252</c:v>
                </c:pt>
                <c:pt idx="32">
                  <c:v>1006.1194624136667</c:v>
                </c:pt>
                <c:pt idx="33">
                  <c:v>981.10717245976252</c:v>
                </c:pt>
                <c:pt idx="34">
                  <c:v>956.71669201467876</c:v>
                </c:pt>
                <c:pt idx="35">
                  <c:v>981.10717245976252</c:v>
                </c:pt>
                <c:pt idx="36">
                  <c:v>956.71669201467876</c:v>
                </c:pt>
                <c:pt idx="37">
                  <c:v>932.93256279506875</c:v>
                </c:pt>
                <c:pt idx="38">
                  <c:v>956.71669201467876</c:v>
                </c:pt>
                <c:pt idx="39">
                  <c:v>981.10717245976252</c:v>
                </c:pt>
                <c:pt idx="40">
                  <c:v>956.71669201467876</c:v>
                </c:pt>
                <c:pt idx="41">
                  <c:v>932.93256279506875</c:v>
                </c:pt>
                <c:pt idx="42">
                  <c:v>956.71669201467876</c:v>
                </c:pt>
                <c:pt idx="43">
                  <c:v>932.93256279506875</c:v>
                </c:pt>
                <c:pt idx="44">
                  <c:v>956.71669201467876</c:v>
                </c:pt>
                <c:pt idx="45">
                  <c:v>932.93256279506875</c:v>
                </c:pt>
                <c:pt idx="46">
                  <c:v>909.73971081296975</c:v>
                </c:pt>
                <c:pt idx="47">
                  <c:v>887.12343682215874</c:v>
                </c:pt>
                <c:pt idx="48">
                  <c:v>865.06940700201312</c:v>
                </c:pt>
                <c:pt idx="49">
                  <c:v>887.12343682215874</c:v>
                </c:pt>
                <c:pt idx="50">
                  <c:v>909.73971081296975</c:v>
                </c:pt>
                <c:pt idx="51">
                  <c:v>887.12343682215874</c:v>
                </c:pt>
                <c:pt idx="52">
                  <c:v>909.73971081296975</c:v>
                </c:pt>
                <c:pt idx="53">
                  <c:v>932.93256279506875</c:v>
                </c:pt>
                <c:pt idx="54">
                  <c:v>909.73971081296975</c:v>
                </c:pt>
                <c:pt idx="55">
                  <c:v>932.93256279506875</c:v>
                </c:pt>
                <c:pt idx="56">
                  <c:v>956.71669201467876</c:v>
                </c:pt>
                <c:pt idx="57">
                  <c:v>932.93256279506875</c:v>
                </c:pt>
                <c:pt idx="58">
                  <c:v>956.71669201467876</c:v>
                </c:pt>
                <c:pt idx="59">
                  <c:v>981.10717245976252</c:v>
                </c:pt>
                <c:pt idx="60">
                  <c:v>956.71669201467876</c:v>
                </c:pt>
                <c:pt idx="61">
                  <c:v>932.93256279506875</c:v>
                </c:pt>
                <c:pt idx="62">
                  <c:v>956.71669201467876</c:v>
                </c:pt>
                <c:pt idx="63">
                  <c:v>932.93256279506875</c:v>
                </c:pt>
                <c:pt idx="64">
                  <c:v>956.71669201467876</c:v>
                </c:pt>
                <c:pt idx="65">
                  <c:v>981.10717245976252</c:v>
                </c:pt>
                <c:pt idx="66">
                  <c:v>1006.1194624136667</c:v>
                </c:pt>
                <c:pt idx="67">
                  <c:v>981.10717245976252</c:v>
                </c:pt>
                <c:pt idx="68">
                  <c:v>956.71669201467876</c:v>
                </c:pt>
                <c:pt idx="69">
                  <c:v>932.93256279506875</c:v>
                </c:pt>
                <c:pt idx="70">
                  <c:v>956.71669201467876</c:v>
                </c:pt>
                <c:pt idx="71">
                  <c:v>981.10717245976252</c:v>
                </c:pt>
                <c:pt idx="72">
                  <c:v>1006.1194624136667</c:v>
                </c:pt>
                <c:pt idx="73">
                  <c:v>1031.7694142523269</c:v>
                </c:pt>
                <c:pt idx="74">
                  <c:v>1006.1194624136668</c:v>
                </c:pt>
                <c:pt idx="75">
                  <c:v>981.10717245976264</c:v>
                </c:pt>
                <c:pt idx="76">
                  <c:v>956.71669201467887</c:v>
                </c:pt>
                <c:pt idx="77">
                  <c:v>932.93256279506875</c:v>
                </c:pt>
                <c:pt idx="78">
                  <c:v>909.73971081296975</c:v>
                </c:pt>
                <c:pt idx="79">
                  <c:v>887.12343682215874</c:v>
                </c:pt>
                <c:pt idx="80">
                  <c:v>865.06940700201312</c:v>
                </c:pt>
                <c:pt idx="81">
                  <c:v>843.56364387297219</c:v>
                </c:pt>
                <c:pt idx="82">
                  <c:v>822.59251743784137</c:v>
                </c:pt>
                <c:pt idx="83">
                  <c:v>843.56364387297208</c:v>
                </c:pt>
                <c:pt idx="84">
                  <c:v>822.59251743784137</c:v>
                </c:pt>
                <c:pt idx="85">
                  <c:v>843.56364387297208</c:v>
                </c:pt>
                <c:pt idx="86">
                  <c:v>865.06940700201301</c:v>
                </c:pt>
                <c:pt idx="87">
                  <c:v>843.56364387297208</c:v>
                </c:pt>
                <c:pt idx="88">
                  <c:v>865.06940700201301</c:v>
                </c:pt>
                <c:pt idx="89">
                  <c:v>887.12343682215862</c:v>
                </c:pt>
                <c:pt idx="90">
                  <c:v>909.73971081296963</c:v>
                </c:pt>
                <c:pt idx="91">
                  <c:v>932.93256279506863</c:v>
                </c:pt>
                <c:pt idx="92">
                  <c:v>909.73971081296963</c:v>
                </c:pt>
                <c:pt idx="93">
                  <c:v>932.93256279506863</c:v>
                </c:pt>
                <c:pt idx="94">
                  <c:v>909.73971081296963</c:v>
                </c:pt>
                <c:pt idx="95">
                  <c:v>887.12343682215862</c:v>
                </c:pt>
                <c:pt idx="96">
                  <c:v>865.06940700201301</c:v>
                </c:pt>
                <c:pt idx="97">
                  <c:v>887.12343682215862</c:v>
                </c:pt>
                <c:pt idx="98">
                  <c:v>909.73971081296963</c:v>
                </c:pt>
                <c:pt idx="99">
                  <c:v>932.93256279506863</c:v>
                </c:pt>
                <c:pt idx="100">
                  <c:v>909.73971081296963</c:v>
                </c:pt>
                <c:pt idx="101">
                  <c:v>887.12343682215862</c:v>
                </c:pt>
              </c:numCache>
            </c:numRef>
          </c:yVal>
          <c:smooth val="1"/>
        </c:ser>
        <c:ser>
          <c:idx val="95"/>
          <c:order val="94"/>
          <c:yVal>
            <c:numRef>
              <c:f>MCarlo_ar!$CT$15:$CT$116</c:f>
              <c:numCache>
                <c:formatCode>General</c:formatCode>
                <c:ptCount val="102"/>
                <c:pt idx="0">
                  <c:v>95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1261.9653916081941</c:v>
                </c:pt>
                <c:pt idx="6">
                  <c:v>1294.1378648840339</c:v>
                </c:pt>
                <c:pt idx="7">
                  <c:v>1327.1305413473522</c:v>
                </c:pt>
                <c:pt idx="8">
                  <c:v>1360.9643312111432</c:v>
                </c:pt>
                <c:pt idx="9">
                  <c:v>1327.1305413473522</c:v>
                </c:pt>
                <c:pt idx="10">
                  <c:v>1360.9643312111432</c:v>
                </c:pt>
                <c:pt idx="11">
                  <c:v>1395.6606777721715</c:v>
                </c:pt>
                <c:pt idx="12">
                  <c:v>1360.9643312111432</c:v>
                </c:pt>
                <c:pt idx="13">
                  <c:v>1395.6606777721715</c:v>
                </c:pt>
                <c:pt idx="14">
                  <c:v>1360.9643312111432</c:v>
                </c:pt>
                <c:pt idx="15">
                  <c:v>1395.6606777721715</c:v>
                </c:pt>
                <c:pt idx="16">
                  <c:v>1431.2415710013786</c:v>
                </c:pt>
                <c:pt idx="17">
                  <c:v>1467.7295614807633</c:v>
                </c:pt>
                <c:pt idx="18">
                  <c:v>1505.1477746955679</c:v>
                </c:pt>
                <c:pt idx="19">
                  <c:v>1467.7295614807631</c:v>
                </c:pt>
                <c:pt idx="20">
                  <c:v>1505.1477746955677</c:v>
                </c:pt>
                <c:pt idx="21">
                  <c:v>1467.7295614807629</c:v>
                </c:pt>
                <c:pt idx="22">
                  <c:v>1431.2415710013781</c:v>
                </c:pt>
                <c:pt idx="23">
                  <c:v>1467.7295614807629</c:v>
                </c:pt>
                <c:pt idx="24">
                  <c:v>1431.2415710013781</c:v>
                </c:pt>
                <c:pt idx="25">
                  <c:v>1395.6606777721711</c:v>
                </c:pt>
                <c:pt idx="26">
                  <c:v>1360.9643312111427</c:v>
                </c:pt>
                <c:pt idx="27">
                  <c:v>1327.1305413473517</c:v>
                </c:pt>
                <c:pt idx="28">
                  <c:v>1360.9643312111427</c:v>
                </c:pt>
                <c:pt idx="29">
                  <c:v>1395.6606777721711</c:v>
                </c:pt>
                <c:pt idx="30">
                  <c:v>1360.9643312111427</c:v>
                </c:pt>
                <c:pt idx="31">
                  <c:v>1395.6606777721711</c:v>
                </c:pt>
                <c:pt idx="32">
                  <c:v>1431.2415710013781</c:v>
                </c:pt>
                <c:pt idx="33">
                  <c:v>1395.6606777721711</c:v>
                </c:pt>
                <c:pt idx="34">
                  <c:v>1431.2415710013781</c:v>
                </c:pt>
                <c:pt idx="35">
                  <c:v>1395.6606777721711</c:v>
                </c:pt>
                <c:pt idx="36">
                  <c:v>1431.2415710013781</c:v>
                </c:pt>
                <c:pt idx="37">
                  <c:v>1467.7295614807629</c:v>
                </c:pt>
                <c:pt idx="38">
                  <c:v>1505.1477746955675</c:v>
                </c:pt>
                <c:pt idx="39">
                  <c:v>1467.7295614807629</c:v>
                </c:pt>
                <c:pt idx="40">
                  <c:v>1431.2415710013781</c:v>
                </c:pt>
                <c:pt idx="41">
                  <c:v>1467.7295614807629</c:v>
                </c:pt>
                <c:pt idx="42">
                  <c:v>1505.1477746955675</c:v>
                </c:pt>
                <c:pt idx="43">
                  <c:v>1543.5199256908281</c:v>
                </c:pt>
                <c:pt idx="44">
                  <c:v>1582.870334101578</c:v>
                </c:pt>
                <c:pt idx="45">
                  <c:v>1623.2239395662305</c:v>
                </c:pt>
                <c:pt idx="46">
                  <c:v>1582.870334101578</c:v>
                </c:pt>
                <c:pt idx="47">
                  <c:v>1543.5199256908281</c:v>
                </c:pt>
                <c:pt idx="48">
                  <c:v>1582.870334101578</c:v>
                </c:pt>
                <c:pt idx="49">
                  <c:v>1623.2239395662305</c:v>
                </c:pt>
                <c:pt idx="50">
                  <c:v>1582.870334101578</c:v>
                </c:pt>
                <c:pt idx="51">
                  <c:v>1543.5199256908281</c:v>
                </c:pt>
                <c:pt idx="52">
                  <c:v>1582.870334101578</c:v>
                </c:pt>
                <c:pt idx="53">
                  <c:v>1543.5199256908281</c:v>
                </c:pt>
                <c:pt idx="54">
                  <c:v>1505.1477746955675</c:v>
                </c:pt>
                <c:pt idx="55">
                  <c:v>1467.7295614807629</c:v>
                </c:pt>
                <c:pt idx="56">
                  <c:v>1431.2415710013781</c:v>
                </c:pt>
                <c:pt idx="57">
                  <c:v>1467.7295614807629</c:v>
                </c:pt>
                <c:pt idx="58">
                  <c:v>1505.1477746955675</c:v>
                </c:pt>
                <c:pt idx="59">
                  <c:v>1543.5199256908281</c:v>
                </c:pt>
                <c:pt idx="60">
                  <c:v>1505.1477746955675</c:v>
                </c:pt>
                <c:pt idx="61">
                  <c:v>1467.7295614807629</c:v>
                </c:pt>
                <c:pt idx="62">
                  <c:v>1431.2415710013781</c:v>
                </c:pt>
                <c:pt idx="63">
                  <c:v>1467.7295614807629</c:v>
                </c:pt>
                <c:pt idx="64">
                  <c:v>1431.2415710013781</c:v>
                </c:pt>
                <c:pt idx="65">
                  <c:v>1467.7295614807629</c:v>
                </c:pt>
                <c:pt idx="66">
                  <c:v>1431.2415710013781</c:v>
                </c:pt>
                <c:pt idx="67">
                  <c:v>1395.6606777721711</c:v>
                </c:pt>
                <c:pt idx="68">
                  <c:v>1431.2415710013781</c:v>
                </c:pt>
                <c:pt idx="69">
                  <c:v>1395.6606777721711</c:v>
                </c:pt>
                <c:pt idx="70">
                  <c:v>1360.9643312111427</c:v>
                </c:pt>
                <c:pt idx="71">
                  <c:v>1327.1305413473517</c:v>
                </c:pt>
                <c:pt idx="72">
                  <c:v>1360.9643312111427</c:v>
                </c:pt>
                <c:pt idx="73">
                  <c:v>1395.6606777721711</c:v>
                </c:pt>
                <c:pt idx="74">
                  <c:v>1431.2415710013781</c:v>
                </c:pt>
                <c:pt idx="75">
                  <c:v>1467.7295614807629</c:v>
                </c:pt>
                <c:pt idx="76">
                  <c:v>1505.1477746955675</c:v>
                </c:pt>
                <c:pt idx="77">
                  <c:v>1543.5199256908281</c:v>
                </c:pt>
                <c:pt idx="78">
                  <c:v>1505.1477746955675</c:v>
                </c:pt>
                <c:pt idx="79">
                  <c:v>1467.7295614807629</c:v>
                </c:pt>
                <c:pt idx="80">
                  <c:v>1431.2415710013781</c:v>
                </c:pt>
                <c:pt idx="81">
                  <c:v>1395.6606777721711</c:v>
                </c:pt>
                <c:pt idx="82">
                  <c:v>1360.9643312111427</c:v>
                </c:pt>
                <c:pt idx="83">
                  <c:v>1395.6606777721711</c:v>
                </c:pt>
                <c:pt idx="84">
                  <c:v>1431.2415710013781</c:v>
                </c:pt>
                <c:pt idx="85">
                  <c:v>1467.7295614807629</c:v>
                </c:pt>
                <c:pt idx="86">
                  <c:v>1505.1477746955675</c:v>
                </c:pt>
                <c:pt idx="87">
                  <c:v>1543.5199256908281</c:v>
                </c:pt>
                <c:pt idx="88">
                  <c:v>1582.870334101578</c:v>
                </c:pt>
                <c:pt idx="89">
                  <c:v>1623.2239395662305</c:v>
                </c:pt>
                <c:pt idx="90">
                  <c:v>1664.6063175329091</c:v>
                </c:pt>
                <c:pt idx="91">
                  <c:v>1707.0436954687445</c:v>
                </c:pt>
                <c:pt idx="92">
                  <c:v>1664.6063175329091</c:v>
                </c:pt>
                <c:pt idx="93">
                  <c:v>1623.2239395662305</c:v>
                </c:pt>
                <c:pt idx="94">
                  <c:v>1664.6063175329091</c:v>
                </c:pt>
                <c:pt idx="95">
                  <c:v>1707.0436954687445</c:v>
                </c:pt>
                <c:pt idx="96">
                  <c:v>1750.5629694824095</c:v>
                </c:pt>
                <c:pt idx="97">
                  <c:v>1707.0436954687445</c:v>
                </c:pt>
                <c:pt idx="98">
                  <c:v>1750.5629694824095</c:v>
                </c:pt>
                <c:pt idx="99">
                  <c:v>1707.0436954687445</c:v>
                </c:pt>
                <c:pt idx="100">
                  <c:v>1664.6063175329091</c:v>
                </c:pt>
                <c:pt idx="101">
                  <c:v>1623.2239395662305</c:v>
                </c:pt>
              </c:numCache>
            </c:numRef>
          </c:yVal>
          <c:smooth val="1"/>
        </c:ser>
        <c:ser>
          <c:idx val="96"/>
          <c:order val="95"/>
          <c:yVal>
            <c:numRef>
              <c:f>MCarlo_ar!$CU$15:$CU$116</c:f>
              <c:numCache>
                <c:formatCode>General</c:formatCode>
                <c:ptCount val="102"/>
                <c:pt idx="0">
                  <c:v>96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1230.5927311380613</c:v>
                </c:pt>
                <c:pt idx="13">
                  <c:v>1200</c:v>
                </c:pt>
                <c:pt idx="14">
                  <c:v>1170.1678090266935</c:v>
                </c:pt>
                <c:pt idx="15">
                  <c:v>1141.0772510686099</c:v>
                </c:pt>
                <c:pt idx="16">
                  <c:v>1112.7098890109644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1199.9999999999995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1199.9999999999995</c:v>
                </c:pt>
                <c:pt idx="24">
                  <c:v>1170.167809026693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1199.9999999999995</c:v>
                </c:pt>
                <c:pt idx="30">
                  <c:v>1170.167809026693</c:v>
                </c:pt>
                <c:pt idx="31">
                  <c:v>1199.9999999999995</c:v>
                </c:pt>
                <c:pt idx="32">
                  <c:v>1230.5927311380608</c:v>
                </c:pt>
                <c:pt idx="33">
                  <c:v>1199.9999999999995</c:v>
                </c:pt>
                <c:pt idx="34">
                  <c:v>1170.167809026693</c:v>
                </c:pt>
                <c:pt idx="35">
                  <c:v>1199.9999999999995</c:v>
                </c:pt>
                <c:pt idx="36">
                  <c:v>1170.167809026693</c:v>
                </c:pt>
                <c:pt idx="37">
                  <c:v>1141.0772510686097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1031.7694142523274</c:v>
                </c:pt>
                <c:pt idx="44">
                  <c:v>1006.1194624136672</c:v>
                </c:pt>
                <c:pt idx="45">
                  <c:v>1031.7694142523274</c:v>
                </c:pt>
                <c:pt idx="46">
                  <c:v>1058.0732844912411</c:v>
                </c:pt>
                <c:pt idx="47">
                  <c:v>1085.0477440885795</c:v>
                </c:pt>
                <c:pt idx="48">
                  <c:v>1112.7098890109644</c:v>
                </c:pt>
                <c:pt idx="49">
                  <c:v>1085.0477440885795</c:v>
                </c:pt>
                <c:pt idx="50">
                  <c:v>1112.7098890109644</c:v>
                </c:pt>
                <c:pt idx="51">
                  <c:v>1085.0477440885795</c:v>
                </c:pt>
                <c:pt idx="52">
                  <c:v>1112.7098890109644</c:v>
                </c:pt>
                <c:pt idx="53">
                  <c:v>1085.0477440885795</c:v>
                </c:pt>
                <c:pt idx="54">
                  <c:v>1058.0732844912411</c:v>
                </c:pt>
                <c:pt idx="55">
                  <c:v>1085.0477440885795</c:v>
                </c:pt>
                <c:pt idx="56">
                  <c:v>1112.7098890109644</c:v>
                </c:pt>
                <c:pt idx="57">
                  <c:v>1085.0477440885795</c:v>
                </c:pt>
                <c:pt idx="58">
                  <c:v>1112.7098890109644</c:v>
                </c:pt>
                <c:pt idx="59">
                  <c:v>1085.0477440885795</c:v>
                </c:pt>
                <c:pt idx="60">
                  <c:v>1112.7098890109644</c:v>
                </c:pt>
                <c:pt idx="61">
                  <c:v>1085.0477440885795</c:v>
                </c:pt>
                <c:pt idx="62">
                  <c:v>1112.7098890109644</c:v>
                </c:pt>
                <c:pt idx="63">
                  <c:v>1141.0772510686097</c:v>
                </c:pt>
                <c:pt idx="64">
                  <c:v>1112.7098890109644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1141.0772510686097</c:v>
                </c:pt>
                <c:pt idx="68">
                  <c:v>1170.167809026693</c:v>
                </c:pt>
                <c:pt idx="69">
                  <c:v>1199.9999999999995</c:v>
                </c:pt>
                <c:pt idx="70">
                  <c:v>1230.5927311380608</c:v>
                </c:pt>
                <c:pt idx="71">
                  <c:v>1199.9999999999995</c:v>
                </c:pt>
                <c:pt idx="72">
                  <c:v>1170.167809026693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1170.167809026693</c:v>
                </c:pt>
                <c:pt idx="77">
                  <c:v>1199.9999999999995</c:v>
                </c:pt>
                <c:pt idx="78">
                  <c:v>1230.5927311380608</c:v>
                </c:pt>
                <c:pt idx="79">
                  <c:v>1199.9999999999995</c:v>
                </c:pt>
                <c:pt idx="80">
                  <c:v>1230.5927311380608</c:v>
                </c:pt>
                <c:pt idx="81">
                  <c:v>1199.9999999999995</c:v>
                </c:pt>
                <c:pt idx="82">
                  <c:v>1170.167809026693</c:v>
                </c:pt>
                <c:pt idx="83">
                  <c:v>1141.0772510686097</c:v>
                </c:pt>
                <c:pt idx="84">
                  <c:v>1170.167809026693</c:v>
                </c:pt>
                <c:pt idx="85">
                  <c:v>1199.9999999999995</c:v>
                </c:pt>
                <c:pt idx="86">
                  <c:v>1170.167809026693</c:v>
                </c:pt>
                <c:pt idx="87">
                  <c:v>1199.9999999999995</c:v>
                </c:pt>
                <c:pt idx="88">
                  <c:v>1170.167809026693</c:v>
                </c:pt>
                <c:pt idx="89">
                  <c:v>1141.0772510686097</c:v>
                </c:pt>
                <c:pt idx="90">
                  <c:v>1170.167809026693</c:v>
                </c:pt>
                <c:pt idx="91">
                  <c:v>1199.9999999999995</c:v>
                </c:pt>
                <c:pt idx="92">
                  <c:v>1230.5927311380608</c:v>
                </c:pt>
                <c:pt idx="93">
                  <c:v>1199.9999999999995</c:v>
                </c:pt>
                <c:pt idx="94">
                  <c:v>1170.167809026693</c:v>
                </c:pt>
                <c:pt idx="95">
                  <c:v>1141.0772510686097</c:v>
                </c:pt>
                <c:pt idx="96">
                  <c:v>1170.167809026693</c:v>
                </c:pt>
                <c:pt idx="97">
                  <c:v>1141.0772510686097</c:v>
                </c:pt>
                <c:pt idx="98">
                  <c:v>1170.167809026693</c:v>
                </c:pt>
                <c:pt idx="99">
                  <c:v>1199.9999999999995</c:v>
                </c:pt>
                <c:pt idx="100">
                  <c:v>1230.5927311380608</c:v>
                </c:pt>
                <c:pt idx="101">
                  <c:v>1261.9653916081936</c:v>
                </c:pt>
              </c:numCache>
            </c:numRef>
          </c:yVal>
          <c:smooth val="1"/>
        </c:ser>
        <c:ser>
          <c:idx val="97"/>
          <c:order val="96"/>
          <c:yVal>
            <c:numRef>
              <c:f>MCarlo_ar!$CV$15:$CV$116</c:f>
              <c:numCache>
                <c:formatCode>General</c:formatCode>
                <c:ptCount val="102"/>
                <c:pt idx="0">
                  <c:v>97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1200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1200</c:v>
                </c:pt>
                <c:pt idx="12">
                  <c:v>1170.1678090266935</c:v>
                </c:pt>
                <c:pt idx="13">
                  <c:v>1141.0772510686099</c:v>
                </c:pt>
                <c:pt idx="14">
                  <c:v>1170.1678090266932</c:v>
                </c:pt>
                <c:pt idx="15">
                  <c:v>1199.9999999999998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1170.167809026693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1230.5927311380608</c:v>
                </c:pt>
                <c:pt idx="23">
                  <c:v>1199.9999999999995</c:v>
                </c:pt>
                <c:pt idx="24">
                  <c:v>1230.5927311380608</c:v>
                </c:pt>
                <c:pt idx="25">
                  <c:v>1199.9999999999995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1261.9653916081936</c:v>
                </c:pt>
                <c:pt idx="30">
                  <c:v>1294.1378648840334</c:v>
                </c:pt>
                <c:pt idx="31">
                  <c:v>1327.1305413473517</c:v>
                </c:pt>
                <c:pt idx="32">
                  <c:v>1294.1378648840334</c:v>
                </c:pt>
                <c:pt idx="33">
                  <c:v>1327.1305413473517</c:v>
                </c:pt>
                <c:pt idx="34">
                  <c:v>1294.1378648840334</c:v>
                </c:pt>
                <c:pt idx="35">
                  <c:v>1327.1305413473517</c:v>
                </c:pt>
                <c:pt idx="36">
                  <c:v>1294.1378648840334</c:v>
                </c:pt>
                <c:pt idx="37">
                  <c:v>1327.1305413473517</c:v>
                </c:pt>
                <c:pt idx="38">
                  <c:v>1294.1378648840334</c:v>
                </c:pt>
                <c:pt idx="39">
                  <c:v>1261.9653916081936</c:v>
                </c:pt>
                <c:pt idx="40">
                  <c:v>1230.5927311380608</c:v>
                </c:pt>
                <c:pt idx="41">
                  <c:v>1199.9999999999995</c:v>
                </c:pt>
                <c:pt idx="42">
                  <c:v>1230.5927311380608</c:v>
                </c:pt>
                <c:pt idx="43">
                  <c:v>1261.9653916081936</c:v>
                </c:pt>
                <c:pt idx="44">
                  <c:v>1230.5927311380608</c:v>
                </c:pt>
                <c:pt idx="45">
                  <c:v>1199.9999999999995</c:v>
                </c:pt>
                <c:pt idx="46">
                  <c:v>1170.167809026693</c:v>
                </c:pt>
                <c:pt idx="47">
                  <c:v>1199.9999999999995</c:v>
                </c:pt>
                <c:pt idx="48">
                  <c:v>1230.5927311380608</c:v>
                </c:pt>
                <c:pt idx="49">
                  <c:v>1261.9653916081936</c:v>
                </c:pt>
                <c:pt idx="50">
                  <c:v>1230.5927311380608</c:v>
                </c:pt>
                <c:pt idx="51">
                  <c:v>1261.9653916081936</c:v>
                </c:pt>
                <c:pt idx="52">
                  <c:v>1230.5927311380608</c:v>
                </c:pt>
                <c:pt idx="53">
                  <c:v>1199.9999999999995</c:v>
                </c:pt>
                <c:pt idx="54">
                  <c:v>1170.167809026693</c:v>
                </c:pt>
                <c:pt idx="55">
                  <c:v>1141.0772510686097</c:v>
                </c:pt>
                <c:pt idx="56">
                  <c:v>1112.7098890109644</c:v>
                </c:pt>
                <c:pt idx="57">
                  <c:v>1085.0477440885795</c:v>
                </c:pt>
                <c:pt idx="58">
                  <c:v>1058.0732844912411</c:v>
                </c:pt>
                <c:pt idx="59">
                  <c:v>1031.7694142523274</c:v>
                </c:pt>
                <c:pt idx="60">
                  <c:v>1006.1194624136672</c:v>
                </c:pt>
                <c:pt idx="61">
                  <c:v>1031.7694142523274</c:v>
                </c:pt>
                <c:pt idx="62">
                  <c:v>1058.0732844912411</c:v>
                </c:pt>
                <c:pt idx="63">
                  <c:v>1085.0477440885795</c:v>
                </c:pt>
                <c:pt idx="64">
                  <c:v>1112.7098890109644</c:v>
                </c:pt>
                <c:pt idx="65">
                  <c:v>1141.0772510686097</c:v>
                </c:pt>
                <c:pt idx="66">
                  <c:v>1170.167809026693</c:v>
                </c:pt>
                <c:pt idx="67">
                  <c:v>1141.0772510686097</c:v>
                </c:pt>
                <c:pt idx="68">
                  <c:v>1112.7098890109644</c:v>
                </c:pt>
                <c:pt idx="69">
                  <c:v>1085.0477440885795</c:v>
                </c:pt>
                <c:pt idx="70">
                  <c:v>1112.7098890109644</c:v>
                </c:pt>
                <c:pt idx="71">
                  <c:v>1085.0477440885795</c:v>
                </c:pt>
                <c:pt idx="72">
                  <c:v>1058.0732844912411</c:v>
                </c:pt>
                <c:pt idx="73">
                  <c:v>1085.0477440885795</c:v>
                </c:pt>
                <c:pt idx="74">
                  <c:v>1058.0732844912411</c:v>
                </c:pt>
                <c:pt idx="75">
                  <c:v>1031.7694142523274</c:v>
                </c:pt>
                <c:pt idx="76">
                  <c:v>1058.0732844912411</c:v>
                </c:pt>
                <c:pt idx="77">
                  <c:v>1031.7694142523274</c:v>
                </c:pt>
                <c:pt idx="78">
                  <c:v>1058.0732844912411</c:v>
                </c:pt>
                <c:pt idx="79">
                  <c:v>1031.7694142523274</c:v>
                </c:pt>
                <c:pt idx="80">
                  <c:v>1058.0732844912411</c:v>
                </c:pt>
                <c:pt idx="81">
                  <c:v>1031.7694142523274</c:v>
                </c:pt>
                <c:pt idx="82">
                  <c:v>1006.1194624136672</c:v>
                </c:pt>
                <c:pt idx="83">
                  <c:v>981.10717245976286</c:v>
                </c:pt>
                <c:pt idx="84">
                  <c:v>1006.1194624136671</c:v>
                </c:pt>
                <c:pt idx="85">
                  <c:v>1031.7694142523271</c:v>
                </c:pt>
                <c:pt idx="86">
                  <c:v>1058.0732844912409</c:v>
                </c:pt>
                <c:pt idx="87">
                  <c:v>1031.7694142523271</c:v>
                </c:pt>
                <c:pt idx="88">
                  <c:v>1006.119462413667</c:v>
                </c:pt>
                <c:pt idx="89">
                  <c:v>981.10717245976264</c:v>
                </c:pt>
                <c:pt idx="90">
                  <c:v>956.71669201467887</c:v>
                </c:pt>
                <c:pt idx="91">
                  <c:v>981.10717245976264</c:v>
                </c:pt>
                <c:pt idx="92">
                  <c:v>956.71669201467887</c:v>
                </c:pt>
                <c:pt idx="93">
                  <c:v>932.93256279506875</c:v>
                </c:pt>
                <c:pt idx="94">
                  <c:v>956.71669201467876</c:v>
                </c:pt>
                <c:pt idx="95">
                  <c:v>932.93256279506875</c:v>
                </c:pt>
                <c:pt idx="96">
                  <c:v>956.71669201467876</c:v>
                </c:pt>
                <c:pt idx="97">
                  <c:v>981.10717245976252</c:v>
                </c:pt>
                <c:pt idx="98">
                  <c:v>956.71669201467876</c:v>
                </c:pt>
                <c:pt idx="99">
                  <c:v>932.93256279506875</c:v>
                </c:pt>
                <c:pt idx="100">
                  <c:v>909.73971081296975</c:v>
                </c:pt>
                <c:pt idx="101">
                  <c:v>887.12343682215874</c:v>
                </c:pt>
              </c:numCache>
            </c:numRef>
          </c:yVal>
          <c:smooth val="1"/>
        </c:ser>
        <c:ser>
          <c:idx val="98"/>
          <c:order val="97"/>
          <c:yVal>
            <c:numRef>
              <c:f>MCarlo_ar!$CW$15:$CW$116</c:f>
              <c:numCache>
                <c:formatCode>General</c:formatCode>
                <c:ptCount val="102"/>
                <c:pt idx="0">
                  <c:v>98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1294.1378648840339</c:v>
                </c:pt>
                <c:pt idx="9">
                  <c:v>1327.1305413473522</c:v>
                </c:pt>
                <c:pt idx="10">
                  <c:v>1294.1378648840339</c:v>
                </c:pt>
                <c:pt idx="11">
                  <c:v>1327.1305413473522</c:v>
                </c:pt>
                <c:pt idx="12">
                  <c:v>1294.1378648840339</c:v>
                </c:pt>
                <c:pt idx="13">
                  <c:v>1261.9653916081941</c:v>
                </c:pt>
                <c:pt idx="14">
                  <c:v>1294.1378648840339</c:v>
                </c:pt>
                <c:pt idx="15">
                  <c:v>1261.9653916081941</c:v>
                </c:pt>
                <c:pt idx="16">
                  <c:v>1230.5927311380613</c:v>
                </c:pt>
                <c:pt idx="17">
                  <c:v>1200</c:v>
                </c:pt>
                <c:pt idx="18">
                  <c:v>1170.1678090266935</c:v>
                </c:pt>
                <c:pt idx="19">
                  <c:v>1200</c:v>
                </c:pt>
                <c:pt idx="20">
                  <c:v>1170.1678090266935</c:v>
                </c:pt>
                <c:pt idx="21">
                  <c:v>1141.0772510686099</c:v>
                </c:pt>
                <c:pt idx="22">
                  <c:v>1170.1678090266932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1112.7098890109644</c:v>
                </c:pt>
                <c:pt idx="29">
                  <c:v>1141.0772510686097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1112.7098890109644</c:v>
                </c:pt>
                <c:pt idx="33">
                  <c:v>1085.0477440885795</c:v>
                </c:pt>
                <c:pt idx="34">
                  <c:v>1058.0732844912411</c:v>
                </c:pt>
                <c:pt idx="35">
                  <c:v>1085.0477440885795</c:v>
                </c:pt>
                <c:pt idx="36">
                  <c:v>1058.0732844912411</c:v>
                </c:pt>
                <c:pt idx="37">
                  <c:v>1085.0477440885795</c:v>
                </c:pt>
                <c:pt idx="38">
                  <c:v>1112.7098890109644</c:v>
                </c:pt>
                <c:pt idx="39">
                  <c:v>1085.0477440885795</c:v>
                </c:pt>
                <c:pt idx="40">
                  <c:v>1058.0732844912411</c:v>
                </c:pt>
                <c:pt idx="41">
                  <c:v>1031.7694142523274</c:v>
                </c:pt>
                <c:pt idx="42">
                  <c:v>1006.1194624136672</c:v>
                </c:pt>
                <c:pt idx="43">
                  <c:v>1031.7694142523274</c:v>
                </c:pt>
                <c:pt idx="44">
                  <c:v>1058.0732844912411</c:v>
                </c:pt>
                <c:pt idx="45">
                  <c:v>1031.7694142523274</c:v>
                </c:pt>
                <c:pt idx="46">
                  <c:v>1006.1194624136672</c:v>
                </c:pt>
                <c:pt idx="47">
                  <c:v>981.10717245976286</c:v>
                </c:pt>
                <c:pt idx="48">
                  <c:v>956.7166920146791</c:v>
                </c:pt>
                <c:pt idx="49">
                  <c:v>981.10717245976286</c:v>
                </c:pt>
                <c:pt idx="50">
                  <c:v>956.7166920146791</c:v>
                </c:pt>
                <c:pt idx="51">
                  <c:v>981.10717245976286</c:v>
                </c:pt>
                <c:pt idx="52">
                  <c:v>956.7166920146791</c:v>
                </c:pt>
                <c:pt idx="53">
                  <c:v>932.93256279506897</c:v>
                </c:pt>
                <c:pt idx="54">
                  <c:v>909.73971081296986</c:v>
                </c:pt>
                <c:pt idx="55">
                  <c:v>887.12343682215885</c:v>
                </c:pt>
                <c:pt idx="56">
                  <c:v>909.73971081296986</c:v>
                </c:pt>
                <c:pt idx="57">
                  <c:v>887.12343682215885</c:v>
                </c:pt>
                <c:pt idx="58">
                  <c:v>865.06940700201324</c:v>
                </c:pt>
                <c:pt idx="59">
                  <c:v>887.12343682215885</c:v>
                </c:pt>
                <c:pt idx="60">
                  <c:v>865.06940700201324</c:v>
                </c:pt>
                <c:pt idx="61">
                  <c:v>887.12343682215885</c:v>
                </c:pt>
                <c:pt idx="62">
                  <c:v>865.06940700201324</c:v>
                </c:pt>
                <c:pt idx="63">
                  <c:v>887.12343682215885</c:v>
                </c:pt>
                <c:pt idx="64">
                  <c:v>909.73971081296986</c:v>
                </c:pt>
                <c:pt idx="65">
                  <c:v>932.93256279506886</c:v>
                </c:pt>
                <c:pt idx="66">
                  <c:v>956.71669201467887</c:v>
                </c:pt>
                <c:pt idx="67">
                  <c:v>981.10717245976264</c:v>
                </c:pt>
                <c:pt idx="68">
                  <c:v>1006.1194624136668</c:v>
                </c:pt>
                <c:pt idx="69">
                  <c:v>1031.7694142523269</c:v>
                </c:pt>
                <c:pt idx="70">
                  <c:v>1058.0732844912407</c:v>
                </c:pt>
                <c:pt idx="71">
                  <c:v>1031.7694142523269</c:v>
                </c:pt>
                <c:pt idx="72">
                  <c:v>1006.1194624136668</c:v>
                </c:pt>
                <c:pt idx="73">
                  <c:v>1031.7694142523269</c:v>
                </c:pt>
                <c:pt idx="74">
                  <c:v>1006.1194624136668</c:v>
                </c:pt>
                <c:pt idx="75">
                  <c:v>981.10717245976264</c:v>
                </c:pt>
                <c:pt idx="76">
                  <c:v>1006.1194624136668</c:v>
                </c:pt>
                <c:pt idx="77">
                  <c:v>981.10717245976264</c:v>
                </c:pt>
                <c:pt idx="78">
                  <c:v>1006.1194624136668</c:v>
                </c:pt>
                <c:pt idx="79">
                  <c:v>981.10717245976264</c:v>
                </c:pt>
                <c:pt idx="80">
                  <c:v>956.71669201467887</c:v>
                </c:pt>
                <c:pt idx="81">
                  <c:v>932.93256279506875</c:v>
                </c:pt>
                <c:pt idx="82">
                  <c:v>956.71669201467876</c:v>
                </c:pt>
                <c:pt idx="83">
                  <c:v>981.10717245976252</c:v>
                </c:pt>
                <c:pt idx="84">
                  <c:v>1006.1194624136667</c:v>
                </c:pt>
                <c:pt idx="85">
                  <c:v>1031.7694142523269</c:v>
                </c:pt>
                <c:pt idx="86">
                  <c:v>1006.1194624136668</c:v>
                </c:pt>
                <c:pt idx="87">
                  <c:v>1031.7694142523269</c:v>
                </c:pt>
                <c:pt idx="88">
                  <c:v>1006.1194624136668</c:v>
                </c:pt>
                <c:pt idx="89">
                  <c:v>981.10717245976264</c:v>
                </c:pt>
                <c:pt idx="90">
                  <c:v>1006.1194624136668</c:v>
                </c:pt>
                <c:pt idx="91">
                  <c:v>1031.7694142523269</c:v>
                </c:pt>
                <c:pt idx="92">
                  <c:v>1058.0732844912407</c:v>
                </c:pt>
                <c:pt idx="93">
                  <c:v>1085.0477440885791</c:v>
                </c:pt>
                <c:pt idx="94">
                  <c:v>1058.0732844912407</c:v>
                </c:pt>
                <c:pt idx="95">
                  <c:v>1031.7694142523269</c:v>
                </c:pt>
                <c:pt idx="96">
                  <c:v>1006.1194624136668</c:v>
                </c:pt>
                <c:pt idx="97">
                  <c:v>981.10717245976264</c:v>
                </c:pt>
                <c:pt idx="98">
                  <c:v>1006.1194624136668</c:v>
                </c:pt>
                <c:pt idx="99">
                  <c:v>1031.7694142523269</c:v>
                </c:pt>
                <c:pt idx="100">
                  <c:v>1058.0732844912407</c:v>
                </c:pt>
                <c:pt idx="101">
                  <c:v>1031.7694142523269</c:v>
                </c:pt>
              </c:numCache>
            </c:numRef>
          </c:yVal>
          <c:smooth val="1"/>
        </c:ser>
        <c:ser>
          <c:idx val="99"/>
          <c:order val="98"/>
          <c:yVal>
            <c:numRef>
              <c:f>MCarlo_ar!$CX$15:$CX$116</c:f>
              <c:numCache>
                <c:formatCode>General</c:formatCode>
                <c:ptCount val="102"/>
                <c:pt idx="0">
                  <c:v>99</c:v>
                </c:pt>
                <c:pt idx="1">
                  <c:v>1200</c:v>
                </c:pt>
                <c:pt idx="2">
                  <c:v>1230.5927311380613</c:v>
                </c:pt>
                <c:pt idx="3">
                  <c:v>1200</c:v>
                </c:pt>
                <c:pt idx="4">
                  <c:v>1230.5927311380613</c:v>
                </c:pt>
                <c:pt idx="5">
                  <c:v>1200</c:v>
                </c:pt>
                <c:pt idx="6">
                  <c:v>1230.5927311380613</c:v>
                </c:pt>
                <c:pt idx="7">
                  <c:v>1261.9653916081941</c:v>
                </c:pt>
                <c:pt idx="8">
                  <c:v>1230.5927311380613</c:v>
                </c:pt>
                <c:pt idx="9">
                  <c:v>1200</c:v>
                </c:pt>
                <c:pt idx="10">
                  <c:v>1170.1678090266935</c:v>
                </c:pt>
                <c:pt idx="11">
                  <c:v>1141.0772510686099</c:v>
                </c:pt>
                <c:pt idx="12">
                  <c:v>1170.1678090266932</c:v>
                </c:pt>
                <c:pt idx="13">
                  <c:v>1199.9999999999998</c:v>
                </c:pt>
                <c:pt idx="14">
                  <c:v>1230.592731138061</c:v>
                </c:pt>
                <c:pt idx="15">
                  <c:v>1199.9999999999998</c:v>
                </c:pt>
                <c:pt idx="16">
                  <c:v>1170.1678090266932</c:v>
                </c:pt>
                <c:pt idx="17">
                  <c:v>1141.0772510686097</c:v>
                </c:pt>
                <c:pt idx="18">
                  <c:v>1112.7098890109644</c:v>
                </c:pt>
                <c:pt idx="19">
                  <c:v>1141.0772510686097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1141.0772510686097</c:v>
                </c:pt>
                <c:pt idx="24">
                  <c:v>1170.167809026693</c:v>
                </c:pt>
                <c:pt idx="25">
                  <c:v>1141.0772510686097</c:v>
                </c:pt>
                <c:pt idx="26">
                  <c:v>1170.167809026693</c:v>
                </c:pt>
                <c:pt idx="27">
                  <c:v>1199.9999999999995</c:v>
                </c:pt>
                <c:pt idx="28">
                  <c:v>1230.5927311380608</c:v>
                </c:pt>
                <c:pt idx="29">
                  <c:v>1199.9999999999995</c:v>
                </c:pt>
                <c:pt idx="30">
                  <c:v>1230.5927311380608</c:v>
                </c:pt>
                <c:pt idx="31">
                  <c:v>1261.9653916081936</c:v>
                </c:pt>
                <c:pt idx="32">
                  <c:v>1230.5927311380608</c:v>
                </c:pt>
                <c:pt idx="33">
                  <c:v>1261.9653916081936</c:v>
                </c:pt>
                <c:pt idx="34">
                  <c:v>1294.1378648840334</c:v>
                </c:pt>
                <c:pt idx="35">
                  <c:v>1261.9653916081936</c:v>
                </c:pt>
                <c:pt idx="36">
                  <c:v>1230.5927311380608</c:v>
                </c:pt>
                <c:pt idx="37">
                  <c:v>1199.9999999999995</c:v>
                </c:pt>
                <c:pt idx="38">
                  <c:v>1170.167809026693</c:v>
                </c:pt>
                <c:pt idx="39">
                  <c:v>1141.0772510686097</c:v>
                </c:pt>
                <c:pt idx="40">
                  <c:v>1112.7098890109644</c:v>
                </c:pt>
                <c:pt idx="41">
                  <c:v>1141.0772510686097</c:v>
                </c:pt>
                <c:pt idx="42">
                  <c:v>1112.7098890109644</c:v>
                </c:pt>
                <c:pt idx="43">
                  <c:v>1085.0477440885795</c:v>
                </c:pt>
                <c:pt idx="44">
                  <c:v>1112.7098890109644</c:v>
                </c:pt>
                <c:pt idx="45">
                  <c:v>1141.0772510686097</c:v>
                </c:pt>
                <c:pt idx="46">
                  <c:v>1170.167809026693</c:v>
                </c:pt>
                <c:pt idx="47">
                  <c:v>1199.9999999999995</c:v>
                </c:pt>
                <c:pt idx="48">
                  <c:v>1230.5927311380608</c:v>
                </c:pt>
                <c:pt idx="49">
                  <c:v>1199.9999999999995</c:v>
                </c:pt>
                <c:pt idx="50">
                  <c:v>1170.167809026693</c:v>
                </c:pt>
                <c:pt idx="51">
                  <c:v>1141.0772510686097</c:v>
                </c:pt>
                <c:pt idx="52">
                  <c:v>1170.167809026693</c:v>
                </c:pt>
                <c:pt idx="53">
                  <c:v>1199.9999999999995</c:v>
                </c:pt>
                <c:pt idx="54">
                  <c:v>1170.167809026693</c:v>
                </c:pt>
                <c:pt idx="55">
                  <c:v>1141.0772510686097</c:v>
                </c:pt>
                <c:pt idx="56">
                  <c:v>1170.167809026693</c:v>
                </c:pt>
                <c:pt idx="57">
                  <c:v>1199.9999999999995</c:v>
                </c:pt>
                <c:pt idx="58">
                  <c:v>1230.5927311380608</c:v>
                </c:pt>
                <c:pt idx="59">
                  <c:v>1199.9999999999995</c:v>
                </c:pt>
                <c:pt idx="60">
                  <c:v>1170.167809026693</c:v>
                </c:pt>
                <c:pt idx="61">
                  <c:v>1199.9999999999995</c:v>
                </c:pt>
                <c:pt idx="62">
                  <c:v>1230.5927311380608</c:v>
                </c:pt>
                <c:pt idx="63">
                  <c:v>1199.9999999999995</c:v>
                </c:pt>
                <c:pt idx="64">
                  <c:v>1230.5927311380608</c:v>
                </c:pt>
                <c:pt idx="65">
                  <c:v>1261.9653916081936</c:v>
                </c:pt>
                <c:pt idx="66">
                  <c:v>1230.5927311380608</c:v>
                </c:pt>
                <c:pt idx="67">
                  <c:v>1261.9653916081936</c:v>
                </c:pt>
                <c:pt idx="68">
                  <c:v>1230.5927311380608</c:v>
                </c:pt>
                <c:pt idx="69">
                  <c:v>1199.9999999999995</c:v>
                </c:pt>
                <c:pt idx="70">
                  <c:v>1170.167809026693</c:v>
                </c:pt>
                <c:pt idx="71">
                  <c:v>1141.0772510686097</c:v>
                </c:pt>
                <c:pt idx="72">
                  <c:v>1112.7098890109644</c:v>
                </c:pt>
                <c:pt idx="73">
                  <c:v>1141.0772510686097</c:v>
                </c:pt>
                <c:pt idx="74">
                  <c:v>1170.167809026693</c:v>
                </c:pt>
                <c:pt idx="75">
                  <c:v>1199.9999999999995</c:v>
                </c:pt>
                <c:pt idx="76">
                  <c:v>1230.5927311380608</c:v>
                </c:pt>
                <c:pt idx="77">
                  <c:v>1199.9999999999995</c:v>
                </c:pt>
                <c:pt idx="78">
                  <c:v>1230.5927311380608</c:v>
                </c:pt>
                <c:pt idx="79">
                  <c:v>1261.9653916081936</c:v>
                </c:pt>
                <c:pt idx="80">
                  <c:v>1230.5927311380608</c:v>
                </c:pt>
                <c:pt idx="81">
                  <c:v>1199.9999999999995</c:v>
                </c:pt>
                <c:pt idx="82">
                  <c:v>1170.167809026693</c:v>
                </c:pt>
                <c:pt idx="83">
                  <c:v>1141.0772510686097</c:v>
                </c:pt>
                <c:pt idx="84">
                  <c:v>1112.7098890109644</c:v>
                </c:pt>
                <c:pt idx="85">
                  <c:v>1141.0772510686097</c:v>
                </c:pt>
                <c:pt idx="86">
                  <c:v>1112.7098890109644</c:v>
                </c:pt>
                <c:pt idx="87">
                  <c:v>1085.0477440885795</c:v>
                </c:pt>
                <c:pt idx="88">
                  <c:v>1058.0732844912411</c:v>
                </c:pt>
                <c:pt idx="89">
                  <c:v>1085.0477440885795</c:v>
                </c:pt>
                <c:pt idx="90">
                  <c:v>1058.0732844912411</c:v>
                </c:pt>
                <c:pt idx="91">
                  <c:v>1031.7694142523274</c:v>
                </c:pt>
                <c:pt idx="92">
                  <c:v>1058.0732844912411</c:v>
                </c:pt>
                <c:pt idx="93">
                  <c:v>1085.0477440885795</c:v>
                </c:pt>
                <c:pt idx="94">
                  <c:v>1112.7098890109644</c:v>
                </c:pt>
                <c:pt idx="95">
                  <c:v>1085.0477440885795</c:v>
                </c:pt>
                <c:pt idx="96">
                  <c:v>1058.0732844912411</c:v>
                </c:pt>
                <c:pt idx="97">
                  <c:v>1031.7694142523274</c:v>
                </c:pt>
                <c:pt idx="98">
                  <c:v>1058.0732844912411</c:v>
                </c:pt>
                <c:pt idx="99">
                  <c:v>1085.0477440885795</c:v>
                </c:pt>
                <c:pt idx="100">
                  <c:v>1112.7098890109644</c:v>
                </c:pt>
                <c:pt idx="101">
                  <c:v>1085.0477440885795</c:v>
                </c:pt>
              </c:numCache>
            </c:numRef>
          </c:yVal>
          <c:smooth val="1"/>
        </c:ser>
        <c:ser>
          <c:idx val="100"/>
          <c:order val="99"/>
          <c:yVal>
            <c:numRef>
              <c:f>MCarlo_ar!$CY$15:$CY$116</c:f>
              <c:numCache>
                <c:formatCode>General</c:formatCode>
                <c:ptCount val="102"/>
                <c:pt idx="0">
                  <c:v>100</c:v>
                </c:pt>
                <c:pt idx="1">
                  <c:v>1200</c:v>
                </c:pt>
                <c:pt idx="2">
                  <c:v>1230.5927311380613</c:v>
                </c:pt>
                <c:pt idx="3">
                  <c:v>1261.9653916081941</c:v>
                </c:pt>
                <c:pt idx="4">
                  <c:v>1230.5927311380613</c:v>
                </c:pt>
                <c:pt idx="5">
                  <c:v>1200</c:v>
                </c:pt>
                <c:pt idx="6">
                  <c:v>1170.1678090266935</c:v>
                </c:pt>
                <c:pt idx="7">
                  <c:v>1141.0772510686099</c:v>
                </c:pt>
                <c:pt idx="8">
                  <c:v>1112.7098890109644</c:v>
                </c:pt>
                <c:pt idx="9">
                  <c:v>1141.0772510686097</c:v>
                </c:pt>
                <c:pt idx="10">
                  <c:v>1170.167809026693</c:v>
                </c:pt>
                <c:pt idx="11">
                  <c:v>1199.9999999999995</c:v>
                </c:pt>
                <c:pt idx="12">
                  <c:v>1170.167809026693</c:v>
                </c:pt>
                <c:pt idx="13">
                  <c:v>1141.0772510686097</c:v>
                </c:pt>
                <c:pt idx="14">
                  <c:v>1112.7098890109644</c:v>
                </c:pt>
                <c:pt idx="15">
                  <c:v>1141.0772510686097</c:v>
                </c:pt>
                <c:pt idx="16">
                  <c:v>1170.167809026693</c:v>
                </c:pt>
                <c:pt idx="17">
                  <c:v>1199.9999999999995</c:v>
                </c:pt>
                <c:pt idx="18">
                  <c:v>1230.5927311380608</c:v>
                </c:pt>
                <c:pt idx="19">
                  <c:v>1199.9999999999995</c:v>
                </c:pt>
                <c:pt idx="20">
                  <c:v>1170.167809026693</c:v>
                </c:pt>
                <c:pt idx="21">
                  <c:v>1199.9999999999995</c:v>
                </c:pt>
                <c:pt idx="22">
                  <c:v>1170.167809026693</c:v>
                </c:pt>
                <c:pt idx="23">
                  <c:v>1141.0772510686097</c:v>
                </c:pt>
                <c:pt idx="24">
                  <c:v>1112.7098890109644</c:v>
                </c:pt>
                <c:pt idx="25">
                  <c:v>1085.0477440885795</c:v>
                </c:pt>
                <c:pt idx="26">
                  <c:v>1112.7098890109644</c:v>
                </c:pt>
                <c:pt idx="27">
                  <c:v>1141.0772510686097</c:v>
                </c:pt>
                <c:pt idx="28">
                  <c:v>1170.167809026693</c:v>
                </c:pt>
                <c:pt idx="29">
                  <c:v>1141.0772510686097</c:v>
                </c:pt>
                <c:pt idx="30">
                  <c:v>1112.7098890109644</c:v>
                </c:pt>
                <c:pt idx="31">
                  <c:v>1085.0477440885795</c:v>
                </c:pt>
                <c:pt idx="32">
                  <c:v>1058.0732844912411</c:v>
                </c:pt>
                <c:pt idx="33">
                  <c:v>1031.7694142523274</c:v>
                </c:pt>
                <c:pt idx="34">
                  <c:v>1058.0732844912411</c:v>
                </c:pt>
                <c:pt idx="35">
                  <c:v>1031.7694142523274</c:v>
                </c:pt>
                <c:pt idx="36">
                  <c:v>1058.0732844912411</c:v>
                </c:pt>
                <c:pt idx="37">
                  <c:v>1031.7694142523274</c:v>
                </c:pt>
                <c:pt idx="38">
                  <c:v>1006.1194624136672</c:v>
                </c:pt>
                <c:pt idx="39">
                  <c:v>1031.7694142523274</c:v>
                </c:pt>
                <c:pt idx="40">
                  <c:v>1058.0732844912411</c:v>
                </c:pt>
                <c:pt idx="41">
                  <c:v>1085.0477440885795</c:v>
                </c:pt>
                <c:pt idx="42">
                  <c:v>1058.0732844912411</c:v>
                </c:pt>
                <c:pt idx="43">
                  <c:v>1085.0477440885795</c:v>
                </c:pt>
                <c:pt idx="44">
                  <c:v>1058.0732844912411</c:v>
                </c:pt>
                <c:pt idx="45">
                  <c:v>1085.0477440885795</c:v>
                </c:pt>
                <c:pt idx="46">
                  <c:v>1058.0732844912411</c:v>
                </c:pt>
                <c:pt idx="47">
                  <c:v>1031.7694142523274</c:v>
                </c:pt>
                <c:pt idx="48">
                  <c:v>1006.1194624136672</c:v>
                </c:pt>
                <c:pt idx="49">
                  <c:v>1031.7694142523274</c:v>
                </c:pt>
                <c:pt idx="50">
                  <c:v>1006.1194624136672</c:v>
                </c:pt>
                <c:pt idx="51">
                  <c:v>981.10717245976286</c:v>
                </c:pt>
                <c:pt idx="52">
                  <c:v>956.7166920146791</c:v>
                </c:pt>
                <c:pt idx="53">
                  <c:v>981.10717245976286</c:v>
                </c:pt>
                <c:pt idx="54">
                  <c:v>1006.1194624136671</c:v>
                </c:pt>
                <c:pt idx="55">
                  <c:v>981.10717245976275</c:v>
                </c:pt>
                <c:pt idx="56">
                  <c:v>956.71669201467898</c:v>
                </c:pt>
                <c:pt idx="57">
                  <c:v>932.93256279506886</c:v>
                </c:pt>
                <c:pt idx="58">
                  <c:v>909.73971081296975</c:v>
                </c:pt>
                <c:pt idx="59">
                  <c:v>887.12343682215874</c:v>
                </c:pt>
                <c:pt idx="60">
                  <c:v>865.06940700201312</c:v>
                </c:pt>
                <c:pt idx="61">
                  <c:v>887.12343682215874</c:v>
                </c:pt>
                <c:pt idx="62">
                  <c:v>865.06940700201312</c:v>
                </c:pt>
                <c:pt idx="63">
                  <c:v>887.12343682215874</c:v>
                </c:pt>
                <c:pt idx="64">
                  <c:v>865.06940700201312</c:v>
                </c:pt>
                <c:pt idx="65">
                  <c:v>887.12343682215874</c:v>
                </c:pt>
                <c:pt idx="66">
                  <c:v>865.06940700201312</c:v>
                </c:pt>
                <c:pt idx="67">
                  <c:v>843.56364387297219</c:v>
                </c:pt>
                <c:pt idx="68">
                  <c:v>822.59251743784137</c:v>
                </c:pt>
                <c:pt idx="69">
                  <c:v>802.14273654332578</c:v>
                </c:pt>
                <c:pt idx="70">
                  <c:v>782.20134045631642</c:v>
                </c:pt>
                <c:pt idx="71">
                  <c:v>802.14273654332578</c:v>
                </c:pt>
                <c:pt idx="72">
                  <c:v>822.59251743784137</c:v>
                </c:pt>
                <c:pt idx="73">
                  <c:v>843.56364387297208</c:v>
                </c:pt>
                <c:pt idx="74">
                  <c:v>822.59251743784137</c:v>
                </c:pt>
                <c:pt idx="75">
                  <c:v>802.14273654332578</c:v>
                </c:pt>
                <c:pt idx="76">
                  <c:v>782.20134045631642</c:v>
                </c:pt>
                <c:pt idx="77">
                  <c:v>762.755690649592</c:v>
                </c:pt>
                <c:pt idx="78">
                  <c:v>743.79346279172944</c:v>
                </c:pt>
                <c:pt idx="79">
                  <c:v>762.755690649592</c:v>
                </c:pt>
                <c:pt idx="80">
                  <c:v>743.79346279172944</c:v>
                </c:pt>
                <c:pt idx="81">
                  <c:v>762.755690649592</c:v>
                </c:pt>
                <c:pt idx="82">
                  <c:v>782.20134045631642</c:v>
                </c:pt>
                <c:pt idx="83">
                  <c:v>762.755690649592</c:v>
                </c:pt>
                <c:pt idx="84">
                  <c:v>782.20134045631642</c:v>
                </c:pt>
                <c:pt idx="85">
                  <c:v>802.14273654332578</c:v>
                </c:pt>
                <c:pt idx="86">
                  <c:v>782.20134045631642</c:v>
                </c:pt>
                <c:pt idx="87">
                  <c:v>762.755690649592</c:v>
                </c:pt>
                <c:pt idx="88">
                  <c:v>782.20134045631642</c:v>
                </c:pt>
                <c:pt idx="89">
                  <c:v>802.14273654332578</c:v>
                </c:pt>
                <c:pt idx="90">
                  <c:v>822.59251743784137</c:v>
                </c:pt>
                <c:pt idx="91">
                  <c:v>802.14273654332578</c:v>
                </c:pt>
                <c:pt idx="92">
                  <c:v>822.59251743784137</c:v>
                </c:pt>
                <c:pt idx="93">
                  <c:v>802.14273654332578</c:v>
                </c:pt>
                <c:pt idx="94">
                  <c:v>822.59251743784137</c:v>
                </c:pt>
                <c:pt idx="95">
                  <c:v>802.14273654332578</c:v>
                </c:pt>
                <c:pt idx="96">
                  <c:v>782.20134045631642</c:v>
                </c:pt>
                <c:pt idx="97">
                  <c:v>802.14273654332578</c:v>
                </c:pt>
                <c:pt idx="98">
                  <c:v>782.20134045631642</c:v>
                </c:pt>
                <c:pt idx="99">
                  <c:v>762.755690649592</c:v>
                </c:pt>
                <c:pt idx="100">
                  <c:v>743.79346279172944</c:v>
                </c:pt>
                <c:pt idx="101">
                  <c:v>725.3026389361462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12736"/>
        <c:axId val="175414272"/>
      </c:scatterChart>
      <c:valAx>
        <c:axId val="17541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414272"/>
        <c:crosses val="autoZero"/>
        <c:crossBetween val="midCat"/>
      </c:valAx>
      <c:valAx>
        <c:axId val="17541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412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2</xdr:row>
      <xdr:rowOff>19050</xdr:rowOff>
    </xdr:from>
    <xdr:to>
      <xdr:col>10</xdr:col>
      <xdr:colOff>409575</xdr:colOff>
      <xdr:row>4</xdr:row>
      <xdr:rowOff>152400</xdr:rowOff>
    </xdr:to>
    <xdr:sp macro="[0]!CleanAll_Click" textlink="">
      <xdr:nvSpPr>
        <xdr:cNvPr id="6" name="Prostokąt zaokrąglony 5"/>
        <xdr:cNvSpPr/>
      </xdr:nvSpPr>
      <xdr:spPr>
        <a:xfrm>
          <a:off x="4933950" y="400050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8</xdr:col>
      <xdr:colOff>9525</xdr:colOff>
      <xdr:row>5</xdr:row>
      <xdr:rowOff>142875</xdr:rowOff>
    </xdr:from>
    <xdr:to>
      <xdr:col>10</xdr:col>
      <xdr:colOff>438150</xdr:colOff>
      <xdr:row>8</xdr:row>
      <xdr:rowOff>57150</xdr:rowOff>
    </xdr:to>
    <xdr:sp macro="[0]!Calculate_Call_Click" textlink="">
      <xdr:nvSpPr>
        <xdr:cNvPr id="3" name="Prostokąt zaokrąglony 2"/>
        <xdr:cNvSpPr/>
      </xdr:nvSpPr>
      <xdr:spPr>
        <a:xfrm>
          <a:off x="4886325" y="1095375"/>
          <a:ext cx="16478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36634</xdr:colOff>
      <xdr:row>2</xdr:row>
      <xdr:rowOff>7327</xdr:rowOff>
    </xdr:from>
    <xdr:to>
      <xdr:col>10</xdr:col>
      <xdr:colOff>391990</xdr:colOff>
      <xdr:row>4</xdr:row>
      <xdr:rowOff>140677</xdr:rowOff>
    </xdr:to>
    <xdr:sp macro="[0]!CleanAll_Click" textlink="">
      <xdr:nvSpPr>
        <xdr:cNvPr id="5" name="Prostokąt zaokrąglony 4"/>
        <xdr:cNvSpPr/>
      </xdr:nvSpPr>
      <xdr:spPr>
        <a:xfrm>
          <a:off x="4901711" y="388327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8</xdr:col>
      <xdr:colOff>14653</xdr:colOff>
      <xdr:row>5</xdr:row>
      <xdr:rowOff>29308</xdr:rowOff>
    </xdr:from>
    <xdr:to>
      <xdr:col>10</xdr:col>
      <xdr:colOff>446209</xdr:colOff>
      <xdr:row>7</xdr:row>
      <xdr:rowOff>134083</xdr:rowOff>
    </xdr:to>
    <xdr:sp macro="[0]!Calculate_Put_Click" textlink="">
      <xdr:nvSpPr>
        <xdr:cNvPr id="6" name="Prostokąt zaokrąglony 5"/>
        <xdr:cNvSpPr/>
      </xdr:nvSpPr>
      <xdr:spPr>
        <a:xfrm>
          <a:off x="4879730" y="981808"/>
          <a:ext cx="16478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125</xdr:row>
      <xdr:rowOff>76199</xdr:rowOff>
    </xdr:from>
    <xdr:to>
      <xdr:col>16</xdr:col>
      <xdr:colOff>361950</xdr:colOff>
      <xdr:row>143</xdr:row>
      <xdr:rowOff>171450</xdr:rowOff>
    </xdr:to>
    <xdr:graphicFrame macro="">
      <xdr:nvGraphicFramePr>
        <xdr:cNvPr id="2" name="Wykres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0</xdr:rowOff>
    </xdr:from>
    <xdr:to>
      <xdr:col>9</xdr:col>
      <xdr:colOff>200025</xdr:colOff>
      <xdr:row>6</xdr:row>
      <xdr:rowOff>133350</xdr:rowOff>
    </xdr:to>
    <xdr:sp macro="[0]!CleanAll_Click" textlink="">
      <xdr:nvSpPr>
        <xdr:cNvPr id="5" name="Prostokąt zaokrąglony 4"/>
        <xdr:cNvSpPr/>
      </xdr:nvSpPr>
      <xdr:spPr>
        <a:xfrm>
          <a:off x="5438775" y="762000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6</xdr:col>
      <xdr:colOff>438150</xdr:colOff>
      <xdr:row>8</xdr:row>
      <xdr:rowOff>9525</xdr:rowOff>
    </xdr:from>
    <xdr:to>
      <xdr:col>9</xdr:col>
      <xdr:colOff>247650</xdr:colOff>
      <xdr:row>10</xdr:row>
      <xdr:rowOff>38100</xdr:rowOff>
    </xdr:to>
    <xdr:sp macro="[0]!MCForCall_Click" textlink="">
      <xdr:nvSpPr>
        <xdr:cNvPr id="6" name="Prostokąt zaokrąglony 5"/>
        <xdr:cNvSpPr/>
      </xdr:nvSpPr>
      <xdr:spPr>
        <a:xfrm>
          <a:off x="5419725" y="1533525"/>
          <a:ext cx="16383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 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4</xdr:row>
      <xdr:rowOff>28575</xdr:rowOff>
    </xdr:from>
    <xdr:to>
      <xdr:col>9</xdr:col>
      <xdr:colOff>390525</xdr:colOff>
      <xdr:row>6</xdr:row>
      <xdr:rowOff>161925</xdr:rowOff>
    </xdr:to>
    <xdr:sp macro="[0]!CleanAll_Click" textlink="">
      <xdr:nvSpPr>
        <xdr:cNvPr id="5" name="Prostokąt zaokrąglony 4"/>
        <xdr:cNvSpPr/>
      </xdr:nvSpPr>
      <xdr:spPr>
        <a:xfrm>
          <a:off x="5629275" y="790575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7</xdr:col>
      <xdr:colOff>19050</xdr:colOff>
      <xdr:row>7</xdr:row>
      <xdr:rowOff>180975</xdr:rowOff>
    </xdr:from>
    <xdr:to>
      <xdr:col>9</xdr:col>
      <xdr:colOff>447675</xdr:colOff>
      <xdr:row>10</xdr:row>
      <xdr:rowOff>95250</xdr:rowOff>
    </xdr:to>
    <xdr:sp macro="[0]!MCForPut_Click" textlink="">
      <xdr:nvSpPr>
        <xdr:cNvPr id="6" name="Prostokąt zaokrąglony 5"/>
        <xdr:cNvSpPr/>
      </xdr:nvSpPr>
      <xdr:spPr>
        <a:xfrm>
          <a:off x="5610225" y="1514475"/>
          <a:ext cx="16478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</a:t>
          </a:r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5</xdr:row>
      <xdr:rowOff>28575</xdr:rowOff>
    </xdr:from>
    <xdr:to>
      <xdr:col>10</xdr:col>
      <xdr:colOff>371475</xdr:colOff>
      <xdr:row>7</xdr:row>
      <xdr:rowOff>161925</xdr:rowOff>
    </xdr:to>
    <xdr:sp macro="[0]!CleanAll_Click" textlink="">
      <xdr:nvSpPr>
        <xdr:cNvPr id="5" name="Prostokąt zaokrąglony 4"/>
        <xdr:cNvSpPr/>
      </xdr:nvSpPr>
      <xdr:spPr>
        <a:xfrm>
          <a:off x="4895850" y="981075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8</xdr:col>
      <xdr:colOff>19050</xdr:colOff>
      <xdr:row>8</xdr:row>
      <xdr:rowOff>142875</xdr:rowOff>
    </xdr:from>
    <xdr:to>
      <xdr:col>10</xdr:col>
      <xdr:colOff>447675</xdr:colOff>
      <xdr:row>11</xdr:row>
      <xdr:rowOff>57150</xdr:rowOff>
    </xdr:to>
    <xdr:sp macro="[0]!Calculate_FDM_call_click" textlink="">
      <xdr:nvSpPr>
        <xdr:cNvPr id="6" name="Prostokąt zaokrąglony 5"/>
        <xdr:cNvSpPr/>
      </xdr:nvSpPr>
      <xdr:spPr>
        <a:xfrm>
          <a:off x="4895850" y="1666875"/>
          <a:ext cx="16478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</xdr:row>
      <xdr:rowOff>152400</xdr:rowOff>
    </xdr:from>
    <xdr:to>
      <xdr:col>12</xdr:col>
      <xdr:colOff>361950</xdr:colOff>
      <xdr:row>6</xdr:row>
      <xdr:rowOff>95250</xdr:rowOff>
    </xdr:to>
    <xdr:sp macro="[0]!CleanAll_Click" textlink="">
      <xdr:nvSpPr>
        <xdr:cNvPr id="4" name="Prostokąt zaokrąglony 3"/>
        <xdr:cNvSpPr/>
      </xdr:nvSpPr>
      <xdr:spPr>
        <a:xfrm>
          <a:off x="6153150" y="723900"/>
          <a:ext cx="15716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Czyść</a:t>
          </a:r>
          <a:endParaRPr lang="en-GB" sz="1100"/>
        </a:p>
      </xdr:txBody>
    </xdr:sp>
    <xdr:clientData/>
  </xdr:twoCellAnchor>
  <xdr:twoCellAnchor>
    <xdr:from>
      <xdr:col>10</xdr:col>
      <xdr:colOff>9525</xdr:colOff>
      <xdr:row>7</xdr:row>
      <xdr:rowOff>76200</xdr:rowOff>
    </xdr:from>
    <xdr:to>
      <xdr:col>12</xdr:col>
      <xdr:colOff>438150</xdr:colOff>
      <xdr:row>9</xdr:row>
      <xdr:rowOff>180975</xdr:rowOff>
    </xdr:to>
    <xdr:sp macro="[0]!Calculate_FDM_put_click" textlink="">
      <xdr:nvSpPr>
        <xdr:cNvPr id="6" name="Prostokąt zaokrąglony 5"/>
        <xdr:cNvSpPr/>
      </xdr:nvSpPr>
      <xdr:spPr>
        <a:xfrm>
          <a:off x="6153150" y="1409700"/>
          <a:ext cx="16478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Policz</a:t>
          </a:r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anto_BinominalTre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anto_MonteCar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"/>
      <sheetName val="Vba"/>
      <sheetName val="Quanto_BinominalTree"/>
    </sheetNames>
    <sheetDataSet>
      <sheetData sheetId="0">
        <row r="1">
          <cell r="A1" t="str">
            <v>S(0)</v>
          </cell>
          <cell r="C1" t="str">
            <v>XAUUSD</v>
          </cell>
        </row>
        <row r="2">
          <cell r="C2" t="str">
            <v>XAUUSD</v>
          </cell>
        </row>
        <row r="3">
          <cell r="C3" t="str">
            <v>USDPLN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"/>
      <sheetName val="Vba"/>
      <sheetName val="Quanto_MonteCarlo"/>
    </sheetNames>
    <sheetDataSet>
      <sheetData sheetId="0">
        <row r="1">
          <cell r="A1" t="str">
            <v>S(0)</v>
          </cell>
          <cell r="C1" t="str">
            <v>XUAUSD</v>
          </cell>
        </row>
        <row r="2">
          <cell r="C2" t="str">
            <v>XUAUSD</v>
          </cell>
        </row>
        <row r="6">
          <cell r="C6" t="str">
            <v>USDPLN</v>
          </cell>
        </row>
        <row r="15">
          <cell r="E15">
            <v>2</v>
          </cell>
          <cell r="F15">
            <v>3</v>
          </cell>
          <cell r="G15">
            <v>4</v>
          </cell>
          <cell r="H15">
            <v>5</v>
          </cell>
          <cell r="I15">
            <v>6</v>
          </cell>
          <cell r="J15">
            <v>7</v>
          </cell>
          <cell r="K15">
            <v>8</v>
          </cell>
          <cell r="L15">
            <v>9</v>
          </cell>
          <cell r="M15">
            <v>10</v>
          </cell>
          <cell r="N15">
            <v>11</v>
          </cell>
          <cell r="O15">
            <v>12</v>
          </cell>
          <cell r="P15">
            <v>13</v>
          </cell>
          <cell r="Q15">
            <v>14</v>
          </cell>
          <cell r="R15">
            <v>15</v>
          </cell>
          <cell r="S15">
            <v>16</v>
          </cell>
          <cell r="T15">
            <v>17</v>
          </cell>
          <cell r="U15">
            <v>18</v>
          </cell>
          <cell r="V15">
            <v>19</v>
          </cell>
          <cell r="W15">
            <v>20</v>
          </cell>
          <cell r="X15">
            <v>21</v>
          </cell>
          <cell r="Y15">
            <v>22</v>
          </cell>
          <cell r="Z15">
            <v>23</v>
          </cell>
          <cell r="AA15">
            <v>24</v>
          </cell>
          <cell r="AB15">
            <v>25</v>
          </cell>
          <cell r="AC15">
            <v>26</v>
          </cell>
          <cell r="AD15">
            <v>27</v>
          </cell>
          <cell r="AE15">
            <v>28</v>
          </cell>
          <cell r="AF15">
            <v>29</v>
          </cell>
          <cell r="AG15">
            <v>30</v>
          </cell>
          <cell r="AH15">
            <v>31</v>
          </cell>
          <cell r="AI15">
            <v>32</v>
          </cell>
          <cell r="AJ15">
            <v>33</v>
          </cell>
          <cell r="AK15">
            <v>34</v>
          </cell>
          <cell r="AL15">
            <v>35</v>
          </cell>
          <cell r="AM15">
            <v>36</v>
          </cell>
          <cell r="AN15">
            <v>37</v>
          </cell>
          <cell r="AO15">
            <v>38</v>
          </cell>
          <cell r="AP15">
            <v>39</v>
          </cell>
          <cell r="AQ15">
            <v>40</v>
          </cell>
          <cell r="AR15">
            <v>41</v>
          </cell>
          <cell r="AS15">
            <v>42</v>
          </cell>
          <cell r="AT15">
            <v>43</v>
          </cell>
          <cell r="AU15">
            <v>44</v>
          </cell>
          <cell r="AV15">
            <v>45</v>
          </cell>
          <cell r="AW15">
            <v>46</v>
          </cell>
          <cell r="AX15">
            <v>47</v>
          </cell>
          <cell r="AY15">
            <v>48</v>
          </cell>
          <cell r="AZ15">
            <v>49</v>
          </cell>
          <cell r="BA15">
            <v>50</v>
          </cell>
          <cell r="BB15">
            <v>51</v>
          </cell>
          <cell r="BC15">
            <v>52</v>
          </cell>
          <cell r="BD15">
            <v>53</v>
          </cell>
          <cell r="BE15">
            <v>54</v>
          </cell>
          <cell r="BF15">
            <v>55</v>
          </cell>
          <cell r="BG15">
            <v>56</v>
          </cell>
          <cell r="BH15">
            <v>57</v>
          </cell>
          <cell r="BI15">
            <v>58</v>
          </cell>
          <cell r="BJ15">
            <v>59</v>
          </cell>
          <cell r="BK15">
            <v>60</v>
          </cell>
          <cell r="BL15">
            <v>61</v>
          </cell>
          <cell r="BM15">
            <v>62</v>
          </cell>
          <cell r="BN15">
            <v>63</v>
          </cell>
          <cell r="BO15">
            <v>64</v>
          </cell>
          <cell r="BP15">
            <v>65</v>
          </cell>
          <cell r="BQ15">
            <v>66</v>
          </cell>
          <cell r="BR15">
            <v>67</v>
          </cell>
          <cell r="BS15">
            <v>68</v>
          </cell>
          <cell r="BT15">
            <v>69</v>
          </cell>
          <cell r="BU15">
            <v>70</v>
          </cell>
          <cell r="BV15">
            <v>71</v>
          </cell>
          <cell r="BW15">
            <v>72</v>
          </cell>
          <cell r="BX15">
            <v>73</v>
          </cell>
          <cell r="BY15">
            <v>74</v>
          </cell>
          <cell r="BZ15">
            <v>75</v>
          </cell>
          <cell r="CA15">
            <v>76</v>
          </cell>
          <cell r="CB15">
            <v>77</v>
          </cell>
          <cell r="CC15">
            <v>78</v>
          </cell>
          <cell r="CD15">
            <v>79</v>
          </cell>
          <cell r="CE15">
            <v>80</v>
          </cell>
          <cell r="CF15">
            <v>81</v>
          </cell>
          <cell r="CG15">
            <v>82</v>
          </cell>
          <cell r="CH15">
            <v>83</v>
          </cell>
          <cell r="CI15">
            <v>84</v>
          </cell>
          <cell r="CJ15">
            <v>85</v>
          </cell>
          <cell r="CK15">
            <v>86</v>
          </cell>
          <cell r="CL15">
            <v>87</v>
          </cell>
          <cell r="CM15">
            <v>88</v>
          </cell>
          <cell r="CN15">
            <v>89</v>
          </cell>
          <cell r="CO15">
            <v>90</v>
          </cell>
          <cell r="CP15">
            <v>91</v>
          </cell>
          <cell r="CQ15">
            <v>92</v>
          </cell>
          <cell r="CR15">
            <v>93</v>
          </cell>
          <cell r="CS15">
            <v>94</v>
          </cell>
          <cell r="CT15">
            <v>95</v>
          </cell>
          <cell r="CU15">
            <v>96</v>
          </cell>
          <cell r="CV15">
            <v>97</v>
          </cell>
          <cell r="CW15">
            <v>98</v>
          </cell>
          <cell r="CX15">
            <v>99</v>
          </cell>
          <cell r="CY15">
            <v>100</v>
          </cell>
        </row>
        <row r="16">
          <cell r="D16">
            <v>1200</v>
          </cell>
          <cell r="E16">
            <v>1200</v>
          </cell>
          <cell r="F16">
            <v>1200</v>
          </cell>
          <cell r="G16">
            <v>1200</v>
          </cell>
          <cell r="H16">
            <v>1200</v>
          </cell>
          <cell r="I16">
            <v>1200</v>
          </cell>
          <cell r="J16">
            <v>1200</v>
          </cell>
          <cell r="K16">
            <v>1200</v>
          </cell>
          <cell r="L16">
            <v>1200</v>
          </cell>
          <cell r="M16">
            <v>1200</v>
          </cell>
          <cell r="N16">
            <v>1200</v>
          </cell>
          <cell r="O16">
            <v>1200</v>
          </cell>
          <cell r="P16">
            <v>1200</v>
          </cell>
          <cell r="Q16">
            <v>1200</v>
          </cell>
          <cell r="R16">
            <v>1200</v>
          </cell>
          <cell r="S16">
            <v>1200</v>
          </cell>
          <cell r="T16">
            <v>1200</v>
          </cell>
          <cell r="U16">
            <v>1200</v>
          </cell>
          <cell r="V16">
            <v>1200</v>
          </cell>
          <cell r="W16">
            <v>1200</v>
          </cell>
          <cell r="X16">
            <v>1200</v>
          </cell>
          <cell r="Y16">
            <v>1200</v>
          </cell>
          <cell r="Z16">
            <v>1200</v>
          </cell>
          <cell r="AA16">
            <v>1200</v>
          </cell>
          <cell r="AB16">
            <v>1200</v>
          </cell>
          <cell r="AC16">
            <v>1200</v>
          </cell>
          <cell r="AD16">
            <v>1200</v>
          </cell>
          <cell r="AE16">
            <v>1200</v>
          </cell>
          <cell r="AF16">
            <v>1200</v>
          </cell>
          <cell r="AG16">
            <v>1200</v>
          </cell>
          <cell r="AH16">
            <v>1200</v>
          </cell>
          <cell r="AI16">
            <v>1200</v>
          </cell>
          <cell r="AJ16">
            <v>1200</v>
          </cell>
          <cell r="AK16">
            <v>1200</v>
          </cell>
          <cell r="AL16">
            <v>1200</v>
          </cell>
          <cell r="AM16">
            <v>1200</v>
          </cell>
          <cell r="AN16">
            <v>1200</v>
          </cell>
          <cell r="AO16">
            <v>1200</v>
          </cell>
          <cell r="AP16">
            <v>1200</v>
          </cell>
          <cell r="AQ16">
            <v>1200</v>
          </cell>
          <cell r="AR16">
            <v>1200</v>
          </cell>
          <cell r="AS16">
            <v>1200</v>
          </cell>
          <cell r="AT16">
            <v>1200</v>
          </cell>
          <cell r="AU16">
            <v>1200</v>
          </cell>
          <cell r="AV16">
            <v>1200</v>
          </cell>
          <cell r="AW16">
            <v>1200</v>
          </cell>
          <cell r="AX16">
            <v>1200</v>
          </cell>
          <cell r="AY16">
            <v>1200</v>
          </cell>
          <cell r="AZ16">
            <v>1200</v>
          </cell>
          <cell r="BA16">
            <v>1200</v>
          </cell>
          <cell r="BB16">
            <v>1200</v>
          </cell>
          <cell r="BC16">
            <v>1200</v>
          </cell>
          <cell r="BD16">
            <v>1200</v>
          </cell>
          <cell r="BE16">
            <v>1200</v>
          </cell>
          <cell r="BF16">
            <v>1200</v>
          </cell>
          <cell r="BG16">
            <v>1200</v>
          </cell>
          <cell r="BH16">
            <v>1200</v>
          </cell>
          <cell r="BI16">
            <v>1200</v>
          </cell>
          <cell r="BJ16">
            <v>1200</v>
          </cell>
          <cell r="BK16">
            <v>1200</v>
          </cell>
          <cell r="BL16">
            <v>1200</v>
          </cell>
          <cell r="BM16">
            <v>1200</v>
          </cell>
          <cell r="BN16">
            <v>1200</v>
          </cell>
          <cell r="BO16">
            <v>1200</v>
          </cell>
          <cell r="BP16">
            <v>1200</v>
          </cell>
          <cell r="BQ16">
            <v>1200</v>
          </cell>
          <cell r="BR16">
            <v>1200</v>
          </cell>
          <cell r="BS16">
            <v>1200</v>
          </cell>
          <cell r="BT16">
            <v>1200</v>
          </cell>
          <cell r="BU16">
            <v>1200</v>
          </cell>
          <cell r="BV16">
            <v>1200</v>
          </cell>
          <cell r="BW16">
            <v>1200</v>
          </cell>
          <cell r="BX16">
            <v>1200</v>
          </cell>
          <cell r="BY16">
            <v>1200</v>
          </cell>
          <cell r="BZ16">
            <v>1200</v>
          </cell>
          <cell r="CA16">
            <v>1200</v>
          </cell>
          <cell r="CB16">
            <v>1200</v>
          </cell>
          <cell r="CC16">
            <v>1200</v>
          </cell>
          <cell r="CD16">
            <v>1200</v>
          </cell>
          <cell r="CE16">
            <v>1200</v>
          </cell>
          <cell r="CF16">
            <v>1200</v>
          </cell>
          <cell r="CG16">
            <v>1200</v>
          </cell>
          <cell r="CH16">
            <v>1200</v>
          </cell>
          <cell r="CI16">
            <v>1200</v>
          </cell>
          <cell r="CJ16">
            <v>1200</v>
          </cell>
          <cell r="CK16">
            <v>1200</v>
          </cell>
          <cell r="CL16">
            <v>1200</v>
          </cell>
          <cell r="CM16">
            <v>1200</v>
          </cell>
          <cell r="CN16">
            <v>1200</v>
          </cell>
          <cell r="CO16">
            <v>1200</v>
          </cell>
          <cell r="CP16">
            <v>1200</v>
          </cell>
          <cell r="CQ16">
            <v>1200</v>
          </cell>
          <cell r="CR16">
            <v>1200</v>
          </cell>
          <cell r="CS16">
            <v>1200</v>
          </cell>
          <cell r="CT16">
            <v>1200</v>
          </cell>
          <cell r="CU16">
            <v>1200</v>
          </cell>
          <cell r="CV16">
            <v>1200</v>
          </cell>
          <cell r="CW16">
            <v>1200</v>
          </cell>
          <cell r="CX16">
            <v>1200</v>
          </cell>
          <cell r="CY16">
            <v>1200</v>
          </cell>
        </row>
        <row r="17">
          <cell r="D17">
            <v>1170.1678090266935</v>
          </cell>
          <cell r="E17">
            <v>1170.1678090266935</v>
          </cell>
          <cell r="F17">
            <v>1170.1678090266935</v>
          </cell>
          <cell r="G17">
            <v>1170.1678090266935</v>
          </cell>
          <cell r="H17">
            <v>1230.5927311380613</v>
          </cell>
          <cell r="I17">
            <v>1230.5927311380613</v>
          </cell>
          <cell r="J17">
            <v>1230.5927311380613</v>
          </cell>
          <cell r="K17">
            <v>1230.5927311380613</v>
          </cell>
          <cell r="L17">
            <v>1230.5927311380613</v>
          </cell>
          <cell r="M17">
            <v>1230.5927311380613</v>
          </cell>
          <cell r="N17">
            <v>1230.5927311380613</v>
          </cell>
          <cell r="O17">
            <v>1230.5927311380613</v>
          </cell>
          <cell r="P17">
            <v>1230.5927311380613</v>
          </cell>
          <cell r="Q17">
            <v>1170.1678090266935</v>
          </cell>
          <cell r="R17">
            <v>1230.5927311380613</v>
          </cell>
          <cell r="S17">
            <v>1230.5927311380613</v>
          </cell>
          <cell r="T17">
            <v>1230.5927311380613</v>
          </cell>
          <cell r="U17">
            <v>1170.1678090266935</v>
          </cell>
          <cell r="V17">
            <v>1170.1678090266935</v>
          </cell>
          <cell r="W17">
            <v>1230.5927311380613</v>
          </cell>
          <cell r="X17">
            <v>1230.5927311380613</v>
          </cell>
          <cell r="Y17">
            <v>1170.1678090266935</v>
          </cell>
          <cell r="Z17">
            <v>1170.1678090266935</v>
          </cell>
          <cell r="AA17">
            <v>1170.1678090266935</v>
          </cell>
          <cell r="AB17">
            <v>1170.1678090266935</v>
          </cell>
          <cell r="AC17">
            <v>1230.5927311380613</v>
          </cell>
          <cell r="AD17">
            <v>1230.5927311380613</v>
          </cell>
          <cell r="AE17">
            <v>1170.1678090266935</v>
          </cell>
          <cell r="AF17">
            <v>1230.5927311380613</v>
          </cell>
          <cell r="AG17">
            <v>1230.5927311380613</v>
          </cell>
          <cell r="AH17">
            <v>1230.5927311380613</v>
          </cell>
          <cell r="AI17">
            <v>1230.5927311380613</v>
          </cell>
          <cell r="AJ17">
            <v>1170.1678090266935</v>
          </cell>
          <cell r="AK17">
            <v>1170.1678090266935</v>
          </cell>
          <cell r="AL17">
            <v>1230.5927311380613</v>
          </cell>
          <cell r="AM17">
            <v>1230.5927311380613</v>
          </cell>
          <cell r="AN17">
            <v>1170.1678090266935</v>
          </cell>
          <cell r="AO17">
            <v>1170.1678090266935</v>
          </cell>
          <cell r="AP17">
            <v>1170.1678090266935</v>
          </cell>
          <cell r="AQ17">
            <v>1230.5927311380613</v>
          </cell>
          <cell r="AR17">
            <v>1230.5927311380613</v>
          </cell>
          <cell r="AS17">
            <v>1170.1678090266935</v>
          </cell>
          <cell r="AT17">
            <v>1170.1678090266935</v>
          </cell>
          <cell r="AU17">
            <v>1230.5927311380613</v>
          </cell>
          <cell r="AV17">
            <v>1230.5927311380613</v>
          </cell>
          <cell r="AW17">
            <v>1170.1678090266935</v>
          </cell>
          <cell r="AX17">
            <v>1170.1678090266935</v>
          </cell>
          <cell r="AY17">
            <v>1170.1678090266935</v>
          </cell>
          <cell r="AZ17">
            <v>1230.5927311380613</v>
          </cell>
          <cell r="BA17">
            <v>1170.1678090266935</v>
          </cell>
          <cell r="BB17">
            <v>1230.5927311380613</v>
          </cell>
          <cell r="BC17">
            <v>1170.1678090266935</v>
          </cell>
          <cell r="BD17">
            <v>1230.5927311380613</v>
          </cell>
          <cell r="BE17">
            <v>1170.1678090266935</v>
          </cell>
          <cell r="BF17">
            <v>1230.5927311380613</v>
          </cell>
          <cell r="BG17">
            <v>1230.5927311380613</v>
          </cell>
          <cell r="BH17">
            <v>1170.1678090266935</v>
          </cell>
          <cell r="BI17">
            <v>1230.5927311380613</v>
          </cell>
          <cell r="BJ17">
            <v>1170.1678090266935</v>
          </cell>
          <cell r="BK17">
            <v>1230.5927311380613</v>
          </cell>
          <cell r="BL17">
            <v>1230.5927311380613</v>
          </cell>
          <cell r="BM17">
            <v>1230.5927311380613</v>
          </cell>
          <cell r="BN17">
            <v>1170.1678090266935</v>
          </cell>
          <cell r="BO17">
            <v>1230.5927311380613</v>
          </cell>
          <cell r="BP17">
            <v>1170.1678090266935</v>
          </cell>
          <cell r="BQ17">
            <v>1170.1678090266935</v>
          </cell>
          <cell r="BR17">
            <v>1230.5927311380613</v>
          </cell>
          <cell r="BS17">
            <v>1170.1678090266935</v>
          </cell>
          <cell r="BT17">
            <v>1170.1678090266935</v>
          </cell>
          <cell r="BU17">
            <v>1170.1678090266935</v>
          </cell>
          <cell r="BV17">
            <v>1170.1678090266935</v>
          </cell>
          <cell r="BW17">
            <v>1230.5927311380613</v>
          </cell>
          <cell r="BX17">
            <v>1230.5927311380613</v>
          </cell>
          <cell r="BY17">
            <v>1170.1678090266935</v>
          </cell>
          <cell r="BZ17">
            <v>1230.5927311380613</v>
          </cell>
          <cell r="CA17">
            <v>1170.1678090266935</v>
          </cell>
          <cell r="CB17">
            <v>1170.1678090266935</v>
          </cell>
          <cell r="CC17">
            <v>1170.1678090266935</v>
          </cell>
          <cell r="CD17">
            <v>1230.5927311380613</v>
          </cell>
          <cell r="CE17">
            <v>1230.5927311380613</v>
          </cell>
          <cell r="CF17">
            <v>1230.5927311380613</v>
          </cell>
          <cell r="CG17">
            <v>1170.1678090266935</v>
          </cell>
          <cell r="CH17">
            <v>1230.5927311380613</v>
          </cell>
          <cell r="CI17">
            <v>1230.5927311380613</v>
          </cell>
          <cell r="CJ17">
            <v>1170.1678090266935</v>
          </cell>
          <cell r="CK17">
            <v>1170.1678090266935</v>
          </cell>
          <cell r="CL17">
            <v>1230.5927311380613</v>
          </cell>
          <cell r="CM17">
            <v>1230.5927311380613</v>
          </cell>
          <cell r="CN17">
            <v>1230.5927311380613</v>
          </cell>
          <cell r="CO17">
            <v>1230.5927311380613</v>
          </cell>
          <cell r="CP17">
            <v>1230.5927311380613</v>
          </cell>
          <cell r="CQ17">
            <v>1170.1678090266935</v>
          </cell>
          <cell r="CR17">
            <v>1170.1678090266935</v>
          </cell>
          <cell r="CS17">
            <v>1230.5927311380613</v>
          </cell>
          <cell r="CT17">
            <v>1170.1678090266935</v>
          </cell>
          <cell r="CU17">
            <v>1230.5927311380613</v>
          </cell>
          <cell r="CV17">
            <v>1170.1678090266935</v>
          </cell>
          <cell r="CW17">
            <v>1170.1678090266935</v>
          </cell>
          <cell r="CX17">
            <v>1170.1678090266935</v>
          </cell>
          <cell r="CY17">
            <v>1230.5927311380613</v>
          </cell>
        </row>
        <row r="18">
          <cell r="D18">
            <v>1200</v>
          </cell>
          <cell r="E18">
            <v>1200</v>
          </cell>
          <cell r="F18">
            <v>1141.0772510686099</v>
          </cell>
          <cell r="G18">
            <v>1200</v>
          </cell>
          <cell r="H18">
            <v>1200</v>
          </cell>
          <cell r="I18">
            <v>1200</v>
          </cell>
          <cell r="J18">
            <v>1261.9653916081941</v>
          </cell>
          <cell r="K18">
            <v>1261.9653916081941</v>
          </cell>
          <cell r="L18">
            <v>1261.9653916081941</v>
          </cell>
          <cell r="M18">
            <v>1200</v>
          </cell>
          <cell r="N18">
            <v>1200</v>
          </cell>
          <cell r="O18">
            <v>1200</v>
          </cell>
          <cell r="P18">
            <v>1261.9653916081941</v>
          </cell>
          <cell r="Q18">
            <v>1141.0772510686099</v>
          </cell>
          <cell r="R18">
            <v>1261.9653916081941</v>
          </cell>
          <cell r="S18">
            <v>1200</v>
          </cell>
          <cell r="T18">
            <v>1200</v>
          </cell>
          <cell r="U18">
            <v>1141.0772510686099</v>
          </cell>
          <cell r="V18">
            <v>1200</v>
          </cell>
          <cell r="W18">
            <v>1261.9653916081941</v>
          </cell>
          <cell r="X18">
            <v>1261.9653916081941</v>
          </cell>
          <cell r="Y18">
            <v>1200</v>
          </cell>
          <cell r="Z18">
            <v>1200</v>
          </cell>
          <cell r="AA18">
            <v>1141.0772510686099</v>
          </cell>
          <cell r="AB18">
            <v>1141.0772510686099</v>
          </cell>
          <cell r="AC18">
            <v>1200</v>
          </cell>
          <cell r="AD18">
            <v>1261.9653916081941</v>
          </cell>
          <cell r="AE18">
            <v>1141.0772510686099</v>
          </cell>
          <cell r="AF18">
            <v>1261.9653916081941</v>
          </cell>
          <cell r="AG18">
            <v>1200</v>
          </cell>
          <cell r="AH18">
            <v>1261.9653916081941</v>
          </cell>
          <cell r="AI18">
            <v>1200</v>
          </cell>
          <cell r="AJ18">
            <v>1200</v>
          </cell>
          <cell r="AK18">
            <v>1141.0772510686099</v>
          </cell>
          <cell r="AL18">
            <v>1261.9653916081941</v>
          </cell>
          <cell r="AM18">
            <v>1261.9653916081941</v>
          </cell>
          <cell r="AN18">
            <v>1200</v>
          </cell>
          <cell r="AO18">
            <v>1141.0772510686099</v>
          </cell>
          <cell r="AP18">
            <v>1141.0772510686099</v>
          </cell>
          <cell r="AQ18">
            <v>1261.9653916081941</v>
          </cell>
          <cell r="AR18">
            <v>1200</v>
          </cell>
          <cell r="AS18">
            <v>1200</v>
          </cell>
          <cell r="AT18">
            <v>1200</v>
          </cell>
          <cell r="AU18">
            <v>1200</v>
          </cell>
          <cell r="AV18">
            <v>1200</v>
          </cell>
          <cell r="AW18">
            <v>1200</v>
          </cell>
          <cell r="AX18">
            <v>1200</v>
          </cell>
          <cell r="AY18">
            <v>1200</v>
          </cell>
          <cell r="AZ18">
            <v>1200</v>
          </cell>
          <cell r="BA18">
            <v>1141.0772510686099</v>
          </cell>
          <cell r="BB18">
            <v>1261.9653916081941</v>
          </cell>
          <cell r="BC18">
            <v>1200</v>
          </cell>
          <cell r="BD18">
            <v>1200</v>
          </cell>
          <cell r="BE18">
            <v>1200</v>
          </cell>
          <cell r="BF18">
            <v>1261.9653916081941</v>
          </cell>
          <cell r="BG18">
            <v>1200</v>
          </cell>
          <cell r="BH18">
            <v>1141.0772510686099</v>
          </cell>
          <cell r="BI18">
            <v>1200</v>
          </cell>
          <cell r="BJ18">
            <v>1200</v>
          </cell>
          <cell r="BK18">
            <v>1261.9653916081941</v>
          </cell>
          <cell r="BL18">
            <v>1261.9653916081941</v>
          </cell>
          <cell r="BM18">
            <v>1261.9653916081941</v>
          </cell>
          <cell r="BN18">
            <v>1200</v>
          </cell>
          <cell r="BO18">
            <v>1200</v>
          </cell>
          <cell r="BP18">
            <v>1200</v>
          </cell>
          <cell r="BQ18">
            <v>1200</v>
          </cell>
          <cell r="BR18">
            <v>1261.9653916081941</v>
          </cell>
          <cell r="BS18">
            <v>1200</v>
          </cell>
          <cell r="BT18">
            <v>1200</v>
          </cell>
          <cell r="BU18">
            <v>1200</v>
          </cell>
          <cell r="BV18">
            <v>1141.0772510686099</v>
          </cell>
          <cell r="BW18">
            <v>1200</v>
          </cell>
          <cell r="BX18">
            <v>1200</v>
          </cell>
          <cell r="BY18">
            <v>1200</v>
          </cell>
          <cell r="BZ18">
            <v>1261.9653916081941</v>
          </cell>
          <cell r="CA18">
            <v>1200</v>
          </cell>
          <cell r="CB18">
            <v>1141.0772510686099</v>
          </cell>
          <cell r="CC18">
            <v>1200</v>
          </cell>
          <cell r="CD18">
            <v>1200</v>
          </cell>
          <cell r="CE18">
            <v>1200</v>
          </cell>
          <cell r="CF18">
            <v>1200</v>
          </cell>
          <cell r="CG18">
            <v>1200</v>
          </cell>
          <cell r="CH18">
            <v>1200</v>
          </cell>
          <cell r="CI18">
            <v>1261.9653916081941</v>
          </cell>
          <cell r="CJ18">
            <v>1200</v>
          </cell>
          <cell r="CK18">
            <v>1141.0772510686099</v>
          </cell>
          <cell r="CL18">
            <v>1200</v>
          </cell>
          <cell r="CM18">
            <v>1200</v>
          </cell>
          <cell r="CN18">
            <v>1261.9653916081941</v>
          </cell>
          <cell r="CO18">
            <v>1261.9653916081941</v>
          </cell>
          <cell r="CP18">
            <v>1200</v>
          </cell>
          <cell r="CQ18">
            <v>1200</v>
          </cell>
          <cell r="CR18">
            <v>1200</v>
          </cell>
          <cell r="CS18">
            <v>1261.9653916081941</v>
          </cell>
          <cell r="CT18">
            <v>1141.0772510686099</v>
          </cell>
          <cell r="CU18">
            <v>1200</v>
          </cell>
          <cell r="CV18">
            <v>1200</v>
          </cell>
          <cell r="CW18">
            <v>1141.0772510686099</v>
          </cell>
          <cell r="CX18">
            <v>1141.0772510686099</v>
          </cell>
          <cell r="CY18">
            <v>1200</v>
          </cell>
        </row>
        <row r="19">
          <cell r="D19">
            <v>1170.1678090266935</v>
          </cell>
          <cell r="E19">
            <v>1230.5927311380613</v>
          </cell>
          <cell r="F19">
            <v>1112.7098890109644</v>
          </cell>
          <cell r="G19">
            <v>1230.5927311380613</v>
          </cell>
          <cell r="H19">
            <v>1230.5927311380613</v>
          </cell>
          <cell r="I19">
            <v>1170.1678090266935</v>
          </cell>
          <cell r="J19">
            <v>1230.5927311380613</v>
          </cell>
          <cell r="K19">
            <v>1230.5927311380613</v>
          </cell>
          <cell r="L19">
            <v>1294.1378648840339</v>
          </cell>
          <cell r="M19">
            <v>1170.1678090266935</v>
          </cell>
          <cell r="N19">
            <v>1230.5927311380613</v>
          </cell>
          <cell r="O19">
            <v>1230.5927311380613</v>
          </cell>
          <cell r="P19">
            <v>1230.5927311380613</v>
          </cell>
          <cell r="Q19">
            <v>1170.1678090266932</v>
          </cell>
          <cell r="R19">
            <v>1230.5927311380613</v>
          </cell>
          <cell r="S19">
            <v>1230.5927311380613</v>
          </cell>
          <cell r="T19">
            <v>1230.5927311380613</v>
          </cell>
          <cell r="U19">
            <v>1170.1678090266932</v>
          </cell>
          <cell r="V19">
            <v>1170.1678090266935</v>
          </cell>
          <cell r="W19">
            <v>1294.1378648840339</v>
          </cell>
          <cell r="X19">
            <v>1294.1378648840339</v>
          </cell>
          <cell r="Y19">
            <v>1230.5927311380613</v>
          </cell>
          <cell r="Z19">
            <v>1170.1678090266935</v>
          </cell>
          <cell r="AA19">
            <v>1170.1678090266932</v>
          </cell>
          <cell r="AB19">
            <v>1170.1678090266932</v>
          </cell>
          <cell r="AC19">
            <v>1170.1678090266935</v>
          </cell>
          <cell r="AD19">
            <v>1294.1378648840339</v>
          </cell>
          <cell r="AE19">
            <v>1112.7098890109644</v>
          </cell>
          <cell r="AF19">
            <v>1230.5927311380613</v>
          </cell>
          <cell r="AG19">
            <v>1170.1678090266935</v>
          </cell>
          <cell r="AH19">
            <v>1230.5927311380613</v>
          </cell>
          <cell r="AI19">
            <v>1170.1678090266935</v>
          </cell>
          <cell r="AJ19">
            <v>1170.1678090266935</v>
          </cell>
          <cell r="AK19">
            <v>1170.1678090266932</v>
          </cell>
          <cell r="AL19">
            <v>1294.1378648840339</v>
          </cell>
          <cell r="AM19">
            <v>1294.1378648840339</v>
          </cell>
          <cell r="AN19">
            <v>1230.5927311380613</v>
          </cell>
          <cell r="AO19">
            <v>1170.1678090266932</v>
          </cell>
          <cell r="AP19">
            <v>1112.7098890109644</v>
          </cell>
          <cell r="AQ19">
            <v>1294.1378648840339</v>
          </cell>
          <cell r="AR19">
            <v>1230.5927311380613</v>
          </cell>
          <cell r="AS19">
            <v>1230.5927311380613</v>
          </cell>
          <cell r="AT19">
            <v>1230.5927311380613</v>
          </cell>
          <cell r="AU19">
            <v>1170.1678090266935</v>
          </cell>
          <cell r="AV19">
            <v>1170.1678090266935</v>
          </cell>
          <cell r="AW19">
            <v>1230.5927311380613</v>
          </cell>
          <cell r="AX19">
            <v>1230.5927311380613</v>
          </cell>
          <cell r="AY19">
            <v>1230.5927311380613</v>
          </cell>
          <cell r="AZ19">
            <v>1230.5927311380613</v>
          </cell>
          <cell r="BA19">
            <v>1112.7098890109644</v>
          </cell>
          <cell r="BB19">
            <v>1294.1378648840339</v>
          </cell>
          <cell r="BC19">
            <v>1230.5927311380613</v>
          </cell>
          <cell r="BD19">
            <v>1170.1678090266935</v>
          </cell>
          <cell r="BE19">
            <v>1230.5927311380613</v>
          </cell>
          <cell r="BF19">
            <v>1294.1378648840339</v>
          </cell>
          <cell r="BG19">
            <v>1230.5927311380613</v>
          </cell>
          <cell r="BH19">
            <v>1170.1678090266932</v>
          </cell>
          <cell r="BI19">
            <v>1230.5927311380613</v>
          </cell>
          <cell r="BJ19">
            <v>1230.5927311380613</v>
          </cell>
          <cell r="BK19">
            <v>1294.1378648840339</v>
          </cell>
          <cell r="BL19">
            <v>1230.5927311380613</v>
          </cell>
          <cell r="BM19">
            <v>1230.5927311380613</v>
          </cell>
          <cell r="BN19">
            <v>1170.1678090266935</v>
          </cell>
          <cell r="BO19">
            <v>1230.5927311380613</v>
          </cell>
          <cell r="BP19">
            <v>1230.5927311380613</v>
          </cell>
          <cell r="BQ19">
            <v>1230.5927311380613</v>
          </cell>
          <cell r="BR19">
            <v>1294.1378648840339</v>
          </cell>
          <cell r="BS19">
            <v>1230.5927311380613</v>
          </cell>
          <cell r="BT19">
            <v>1230.5927311380613</v>
          </cell>
          <cell r="BU19">
            <v>1230.5927311380613</v>
          </cell>
          <cell r="BV19">
            <v>1112.7098890109644</v>
          </cell>
          <cell r="BW19">
            <v>1170.1678090266935</v>
          </cell>
          <cell r="BX19">
            <v>1230.5927311380613</v>
          </cell>
          <cell r="BY19">
            <v>1230.5927311380613</v>
          </cell>
          <cell r="BZ19">
            <v>1294.1378648840339</v>
          </cell>
          <cell r="CA19">
            <v>1230.5927311380613</v>
          </cell>
          <cell r="CB19">
            <v>1112.7098890109644</v>
          </cell>
          <cell r="CC19">
            <v>1170.1678090266935</v>
          </cell>
          <cell r="CD19">
            <v>1230.5927311380613</v>
          </cell>
          <cell r="CE19">
            <v>1170.1678090266935</v>
          </cell>
          <cell r="CF19">
            <v>1230.5927311380613</v>
          </cell>
          <cell r="CG19">
            <v>1230.5927311380613</v>
          </cell>
          <cell r="CH19">
            <v>1170.1678090266935</v>
          </cell>
          <cell r="CI19">
            <v>1230.5927311380613</v>
          </cell>
          <cell r="CJ19">
            <v>1230.5927311380613</v>
          </cell>
          <cell r="CK19">
            <v>1170.1678090266932</v>
          </cell>
          <cell r="CL19">
            <v>1170.1678090266935</v>
          </cell>
          <cell r="CM19">
            <v>1230.5927311380613</v>
          </cell>
          <cell r="CN19">
            <v>1230.5927311380613</v>
          </cell>
          <cell r="CO19">
            <v>1294.1378648840339</v>
          </cell>
          <cell r="CP19">
            <v>1170.1678090266935</v>
          </cell>
          <cell r="CQ19">
            <v>1230.5927311380613</v>
          </cell>
          <cell r="CR19">
            <v>1170.1678090266935</v>
          </cell>
          <cell r="CS19">
            <v>1294.1378648840339</v>
          </cell>
          <cell r="CT19">
            <v>1112.7098890109644</v>
          </cell>
          <cell r="CU19">
            <v>1230.5927311380613</v>
          </cell>
          <cell r="CV19">
            <v>1230.5927311380613</v>
          </cell>
          <cell r="CW19">
            <v>1170.1678090266932</v>
          </cell>
          <cell r="CX19">
            <v>1170.1678090266932</v>
          </cell>
          <cell r="CY19">
            <v>1170.1678090266935</v>
          </cell>
        </row>
        <row r="20">
          <cell r="D20">
            <v>1200</v>
          </cell>
          <cell r="E20">
            <v>1261.9653916081941</v>
          </cell>
          <cell r="F20">
            <v>1085.0477440885795</v>
          </cell>
          <cell r="G20">
            <v>1261.9653916081941</v>
          </cell>
          <cell r="H20">
            <v>1200</v>
          </cell>
          <cell r="I20">
            <v>1141.0772510686099</v>
          </cell>
          <cell r="J20">
            <v>1200</v>
          </cell>
          <cell r="K20">
            <v>1200</v>
          </cell>
          <cell r="L20">
            <v>1261.9653916081941</v>
          </cell>
          <cell r="M20">
            <v>1200</v>
          </cell>
          <cell r="N20">
            <v>1200</v>
          </cell>
          <cell r="O20">
            <v>1200</v>
          </cell>
          <cell r="P20">
            <v>1261.9653916081941</v>
          </cell>
          <cell r="Q20">
            <v>1141.0772510686097</v>
          </cell>
          <cell r="R20">
            <v>1200</v>
          </cell>
          <cell r="S20">
            <v>1261.9653916081941</v>
          </cell>
          <cell r="T20">
            <v>1261.9653916081941</v>
          </cell>
          <cell r="U20">
            <v>1141.0772510686097</v>
          </cell>
          <cell r="V20">
            <v>1200</v>
          </cell>
          <cell r="W20">
            <v>1327.1305413473522</v>
          </cell>
          <cell r="X20">
            <v>1327.1305413473522</v>
          </cell>
          <cell r="Y20">
            <v>1200</v>
          </cell>
          <cell r="Z20">
            <v>1141.0772510686099</v>
          </cell>
          <cell r="AA20">
            <v>1199.9999999999998</v>
          </cell>
          <cell r="AB20">
            <v>1141.0772510686097</v>
          </cell>
          <cell r="AC20">
            <v>1200</v>
          </cell>
          <cell r="AD20">
            <v>1327.1305413473522</v>
          </cell>
          <cell r="AE20">
            <v>1141.0772510686097</v>
          </cell>
          <cell r="AF20">
            <v>1200</v>
          </cell>
          <cell r="AG20">
            <v>1200</v>
          </cell>
          <cell r="AH20">
            <v>1200</v>
          </cell>
          <cell r="AI20">
            <v>1141.0772510686099</v>
          </cell>
          <cell r="AJ20">
            <v>1141.0772510686099</v>
          </cell>
          <cell r="AK20">
            <v>1199.9999999999998</v>
          </cell>
          <cell r="AL20">
            <v>1327.1305413473522</v>
          </cell>
          <cell r="AM20">
            <v>1261.9653916081941</v>
          </cell>
          <cell r="AN20">
            <v>1200</v>
          </cell>
          <cell r="AO20">
            <v>1141.0772510686097</v>
          </cell>
          <cell r="AP20">
            <v>1085.0477440885795</v>
          </cell>
          <cell r="AQ20">
            <v>1261.9653916081941</v>
          </cell>
          <cell r="AR20">
            <v>1261.9653916081941</v>
          </cell>
          <cell r="AS20">
            <v>1200</v>
          </cell>
          <cell r="AT20">
            <v>1200</v>
          </cell>
          <cell r="AU20">
            <v>1141.0772510686099</v>
          </cell>
          <cell r="AV20">
            <v>1200</v>
          </cell>
          <cell r="AW20">
            <v>1261.9653916081941</v>
          </cell>
          <cell r="AX20">
            <v>1200</v>
          </cell>
          <cell r="AY20">
            <v>1200</v>
          </cell>
          <cell r="AZ20">
            <v>1200</v>
          </cell>
          <cell r="BA20">
            <v>1141.0772510686097</v>
          </cell>
          <cell r="BB20">
            <v>1261.9653916081941</v>
          </cell>
          <cell r="BC20">
            <v>1200</v>
          </cell>
          <cell r="BD20">
            <v>1200</v>
          </cell>
          <cell r="BE20">
            <v>1200</v>
          </cell>
          <cell r="BF20">
            <v>1261.9653916081941</v>
          </cell>
          <cell r="BG20">
            <v>1200</v>
          </cell>
          <cell r="BH20">
            <v>1141.0772510686097</v>
          </cell>
          <cell r="BI20">
            <v>1261.9653916081941</v>
          </cell>
          <cell r="BJ20">
            <v>1261.9653916081941</v>
          </cell>
          <cell r="BK20">
            <v>1261.9653916081941</v>
          </cell>
          <cell r="BL20">
            <v>1200</v>
          </cell>
          <cell r="BM20">
            <v>1200</v>
          </cell>
          <cell r="BN20">
            <v>1200</v>
          </cell>
          <cell r="BO20">
            <v>1200</v>
          </cell>
          <cell r="BP20">
            <v>1200</v>
          </cell>
          <cell r="BQ20">
            <v>1261.9653916081941</v>
          </cell>
          <cell r="BR20">
            <v>1327.1305413473522</v>
          </cell>
          <cell r="BS20">
            <v>1261.9653916081941</v>
          </cell>
          <cell r="BT20">
            <v>1200</v>
          </cell>
          <cell r="BU20">
            <v>1200</v>
          </cell>
          <cell r="BV20">
            <v>1085.0477440885795</v>
          </cell>
          <cell r="BW20">
            <v>1141.0772510686099</v>
          </cell>
          <cell r="BX20">
            <v>1261.9653916081941</v>
          </cell>
          <cell r="BY20">
            <v>1261.9653916081941</v>
          </cell>
          <cell r="BZ20">
            <v>1327.1305413473522</v>
          </cell>
          <cell r="CA20">
            <v>1261.9653916081941</v>
          </cell>
          <cell r="CB20">
            <v>1085.0477440885795</v>
          </cell>
          <cell r="CC20">
            <v>1141.0772510686099</v>
          </cell>
          <cell r="CD20">
            <v>1200</v>
          </cell>
          <cell r="CE20">
            <v>1200</v>
          </cell>
          <cell r="CF20">
            <v>1200</v>
          </cell>
          <cell r="CG20">
            <v>1200</v>
          </cell>
          <cell r="CH20">
            <v>1141.0772510686099</v>
          </cell>
          <cell r="CI20">
            <v>1261.9653916081941</v>
          </cell>
          <cell r="CJ20">
            <v>1200</v>
          </cell>
          <cell r="CK20">
            <v>1199.9999999999998</v>
          </cell>
          <cell r="CL20">
            <v>1200</v>
          </cell>
          <cell r="CM20">
            <v>1200</v>
          </cell>
          <cell r="CN20">
            <v>1261.9653916081941</v>
          </cell>
          <cell r="CO20">
            <v>1261.9653916081941</v>
          </cell>
          <cell r="CP20">
            <v>1141.0772510686099</v>
          </cell>
          <cell r="CQ20">
            <v>1261.9653916081941</v>
          </cell>
          <cell r="CR20">
            <v>1141.0772510686099</v>
          </cell>
          <cell r="CS20">
            <v>1327.1305413473522</v>
          </cell>
          <cell r="CT20">
            <v>1141.0772510686097</v>
          </cell>
          <cell r="CU20">
            <v>1261.9653916081941</v>
          </cell>
          <cell r="CV20">
            <v>1261.9653916081941</v>
          </cell>
          <cell r="CW20">
            <v>1199.9999999999998</v>
          </cell>
          <cell r="CX20">
            <v>1199.9999999999998</v>
          </cell>
          <cell r="CY20">
            <v>1141.0772510686099</v>
          </cell>
        </row>
        <row r="21">
          <cell r="D21">
            <v>1170.1678090266935</v>
          </cell>
          <cell r="E21">
            <v>1230.5927311380613</v>
          </cell>
          <cell r="F21">
            <v>1058.0732844912411</v>
          </cell>
          <cell r="G21">
            <v>1294.1378648840339</v>
          </cell>
          <cell r="H21">
            <v>1170.1678090266935</v>
          </cell>
          <cell r="I21">
            <v>1170.1678090266932</v>
          </cell>
          <cell r="J21">
            <v>1170.1678090266935</v>
          </cell>
          <cell r="K21">
            <v>1170.1678090266935</v>
          </cell>
          <cell r="L21">
            <v>1294.1378648840339</v>
          </cell>
          <cell r="M21">
            <v>1170.1678090266935</v>
          </cell>
          <cell r="N21">
            <v>1170.1678090266935</v>
          </cell>
          <cell r="O21">
            <v>1230.5927311380613</v>
          </cell>
          <cell r="P21">
            <v>1294.1378648840339</v>
          </cell>
          <cell r="Q21">
            <v>1112.7098890109644</v>
          </cell>
          <cell r="R21">
            <v>1230.5927311380613</v>
          </cell>
          <cell r="S21">
            <v>1230.5927311380613</v>
          </cell>
          <cell r="T21">
            <v>1230.5927311380613</v>
          </cell>
          <cell r="U21">
            <v>1170.167809026693</v>
          </cell>
          <cell r="V21">
            <v>1230.5927311380613</v>
          </cell>
          <cell r="W21">
            <v>1360.9643312111432</v>
          </cell>
          <cell r="X21">
            <v>1294.1378648840339</v>
          </cell>
          <cell r="Y21">
            <v>1230.5927311380613</v>
          </cell>
          <cell r="Z21">
            <v>1170.1678090266932</v>
          </cell>
          <cell r="AA21">
            <v>1230.592731138061</v>
          </cell>
          <cell r="AB21">
            <v>1170.167809026693</v>
          </cell>
          <cell r="AC21">
            <v>1230.5927311380613</v>
          </cell>
          <cell r="AD21">
            <v>1294.1378648840339</v>
          </cell>
          <cell r="AE21">
            <v>1170.167809026693</v>
          </cell>
          <cell r="AF21">
            <v>1170.1678090266935</v>
          </cell>
          <cell r="AG21">
            <v>1170.1678090266935</v>
          </cell>
          <cell r="AH21">
            <v>1230.5927311380613</v>
          </cell>
          <cell r="AI21">
            <v>1170.1678090266932</v>
          </cell>
          <cell r="AJ21">
            <v>1170.1678090266932</v>
          </cell>
          <cell r="AK21">
            <v>1170.1678090266932</v>
          </cell>
          <cell r="AL21">
            <v>1360.9643312111432</v>
          </cell>
          <cell r="AM21">
            <v>1294.1378648840339</v>
          </cell>
          <cell r="AN21">
            <v>1230.5927311380613</v>
          </cell>
          <cell r="AO21">
            <v>1170.167809026693</v>
          </cell>
          <cell r="AP21">
            <v>1112.7098890109644</v>
          </cell>
          <cell r="AQ21">
            <v>1294.1378648840339</v>
          </cell>
          <cell r="AR21">
            <v>1230.5927311380613</v>
          </cell>
          <cell r="AS21">
            <v>1230.5927311380613</v>
          </cell>
          <cell r="AT21">
            <v>1230.5927311380613</v>
          </cell>
          <cell r="AU21">
            <v>1170.1678090266932</v>
          </cell>
          <cell r="AV21">
            <v>1230.5927311380613</v>
          </cell>
          <cell r="AW21">
            <v>1294.1378648840339</v>
          </cell>
          <cell r="AX21">
            <v>1170.1678090266935</v>
          </cell>
          <cell r="AY21">
            <v>1170.1678090266935</v>
          </cell>
          <cell r="AZ21">
            <v>1230.5927311380613</v>
          </cell>
          <cell r="BA21">
            <v>1170.167809026693</v>
          </cell>
          <cell r="BB21">
            <v>1230.5927311380613</v>
          </cell>
          <cell r="BC21">
            <v>1170.1678090266935</v>
          </cell>
          <cell r="BD21">
            <v>1230.5927311380613</v>
          </cell>
          <cell r="BE21">
            <v>1170.1678090266935</v>
          </cell>
          <cell r="BF21">
            <v>1294.1378648840339</v>
          </cell>
          <cell r="BG21">
            <v>1230.5927311380613</v>
          </cell>
          <cell r="BH21">
            <v>1112.7098890109644</v>
          </cell>
          <cell r="BI21">
            <v>1294.1378648840339</v>
          </cell>
          <cell r="BJ21">
            <v>1294.1378648840339</v>
          </cell>
          <cell r="BK21">
            <v>1294.1378648840339</v>
          </cell>
          <cell r="BL21">
            <v>1170.1678090266935</v>
          </cell>
          <cell r="BM21">
            <v>1170.1678090266935</v>
          </cell>
          <cell r="BN21">
            <v>1230.5927311380613</v>
          </cell>
          <cell r="BO21">
            <v>1230.5927311380613</v>
          </cell>
          <cell r="BP21">
            <v>1170.1678090266935</v>
          </cell>
          <cell r="BQ21">
            <v>1294.1378648840339</v>
          </cell>
          <cell r="BR21">
            <v>1294.1378648840339</v>
          </cell>
          <cell r="BS21">
            <v>1294.1378648840339</v>
          </cell>
          <cell r="BT21">
            <v>1170.1678090266935</v>
          </cell>
          <cell r="BU21">
            <v>1230.5927311380613</v>
          </cell>
          <cell r="BV21">
            <v>1058.0732844912411</v>
          </cell>
          <cell r="BW21">
            <v>1170.1678090266932</v>
          </cell>
          <cell r="BX21">
            <v>1230.5927311380613</v>
          </cell>
          <cell r="BY21">
            <v>1294.1378648840339</v>
          </cell>
          <cell r="BZ21">
            <v>1360.9643312111432</v>
          </cell>
          <cell r="CA21">
            <v>1230.5927311380613</v>
          </cell>
          <cell r="CB21">
            <v>1058.0732844912411</v>
          </cell>
          <cell r="CC21">
            <v>1170.1678090266932</v>
          </cell>
          <cell r="CD21">
            <v>1230.5927311380613</v>
          </cell>
          <cell r="CE21">
            <v>1230.5927311380613</v>
          </cell>
          <cell r="CF21">
            <v>1170.1678090266935</v>
          </cell>
          <cell r="CG21">
            <v>1170.1678090266935</v>
          </cell>
          <cell r="CH21">
            <v>1170.1678090266932</v>
          </cell>
          <cell r="CI21">
            <v>1294.1378648840339</v>
          </cell>
          <cell r="CJ21">
            <v>1230.5927311380613</v>
          </cell>
          <cell r="CK21">
            <v>1170.1678090266932</v>
          </cell>
          <cell r="CL21">
            <v>1170.1678090266935</v>
          </cell>
          <cell r="CM21">
            <v>1170.1678090266935</v>
          </cell>
          <cell r="CN21">
            <v>1230.5927311380613</v>
          </cell>
          <cell r="CO21">
            <v>1294.1378648840339</v>
          </cell>
          <cell r="CP21">
            <v>1112.7098890109644</v>
          </cell>
          <cell r="CQ21">
            <v>1230.5927311380613</v>
          </cell>
          <cell r="CR21">
            <v>1112.7098890109644</v>
          </cell>
          <cell r="CS21">
            <v>1360.9643312111432</v>
          </cell>
          <cell r="CT21">
            <v>1112.7098890109644</v>
          </cell>
          <cell r="CU21">
            <v>1230.5927311380613</v>
          </cell>
          <cell r="CV21">
            <v>1294.1378648840339</v>
          </cell>
          <cell r="CW21">
            <v>1230.592731138061</v>
          </cell>
          <cell r="CX21">
            <v>1230.592731138061</v>
          </cell>
          <cell r="CY21">
            <v>1170.1678090266932</v>
          </cell>
        </row>
        <row r="22">
          <cell r="D22">
            <v>1141.0772510686099</v>
          </cell>
          <cell r="E22">
            <v>1200</v>
          </cell>
          <cell r="F22">
            <v>1031.7694142523274</v>
          </cell>
          <cell r="G22">
            <v>1261.9653916081941</v>
          </cell>
          <cell r="H22">
            <v>1141.0772510686099</v>
          </cell>
          <cell r="I22">
            <v>1199.9999999999998</v>
          </cell>
          <cell r="J22">
            <v>1141.0772510686099</v>
          </cell>
          <cell r="K22">
            <v>1200</v>
          </cell>
          <cell r="L22">
            <v>1327.1305413473522</v>
          </cell>
          <cell r="M22">
            <v>1200</v>
          </cell>
          <cell r="N22">
            <v>1141.0772510686099</v>
          </cell>
          <cell r="O22">
            <v>1200</v>
          </cell>
          <cell r="P22">
            <v>1261.9653916081941</v>
          </cell>
          <cell r="Q22">
            <v>1141.0772510686097</v>
          </cell>
          <cell r="R22">
            <v>1200</v>
          </cell>
          <cell r="S22">
            <v>1261.9653916081941</v>
          </cell>
          <cell r="T22">
            <v>1200</v>
          </cell>
          <cell r="U22">
            <v>1141.0772510686097</v>
          </cell>
          <cell r="V22">
            <v>1261.9653916081941</v>
          </cell>
          <cell r="W22">
            <v>1395.6606777721715</v>
          </cell>
          <cell r="X22">
            <v>1327.1305413473522</v>
          </cell>
          <cell r="Y22">
            <v>1200</v>
          </cell>
          <cell r="Z22">
            <v>1199.9999999999998</v>
          </cell>
          <cell r="AA22">
            <v>1199.9999999999998</v>
          </cell>
          <cell r="AB22">
            <v>1141.0772510686097</v>
          </cell>
          <cell r="AC22">
            <v>1261.9653916081941</v>
          </cell>
          <cell r="AD22">
            <v>1261.9653916081941</v>
          </cell>
          <cell r="AE22">
            <v>1199.9999999999995</v>
          </cell>
          <cell r="AF22">
            <v>1200</v>
          </cell>
          <cell r="AG22">
            <v>1141.0772510686099</v>
          </cell>
          <cell r="AH22">
            <v>1200</v>
          </cell>
          <cell r="AI22">
            <v>1141.0772510686097</v>
          </cell>
          <cell r="AJ22">
            <v>1199.9999999999998</v>
          </cell>
          <cell r="AK22">
            <v>1141.0772510686097</v>
          </cell>
          <cell r="AL22">
            <v>1395.6606777721715</v>
          </cell>
          <cell r="AM22">
            <v>1261.9653916081941</v>
          </cell>
          <cell r="AN22">
            <v>1261.9653916081941</v>
          </cell>
          <cell r="AO22">
            <v>1141.0772510686097</v>
          </cell>
          <cell r="AP22">
            <v>1085.0477440885795</v>
          </cell>
          <cell r="AQ22">
            <v>1261.9653916081941</v>
          </cell>
          <cell r="AR22">
            <v>1200</v>
          </cell>
          <cell r="AS22">
            <v>1200</v>
          </cell>
          <cell r="AT22">
            <v>1200</v>
          </cell>
          <cell r="AU22">
            <v>1199.9999999999998</v>
          </cell>
          <cell r="AV22">
            <v>1200</v>
          </cell>
          <cell r="AW22">
            <v>1261.9653916081941</v>
          </cell>
          <cell r="AX22">
            <v>1200</v>
          </cell>
          <cell r="AY22">
            <v>1200</v>
          </cell>
          <cell r="AZ22">
            <v>1200</v>
          </cell>
          <cell r="BA22">
            <v>1199.9999999999995</v>
          </cell>
          <cell r="BB22">
            <v>1261.9653916081941</v>
          </cell>
          <cell r="BC22">
            <v>1200</v>
          </cell>
          <cell r="BD22">
            <v>1261.9653916081941</v>
          </cell>
          <cell r="BE22">
            <v>1141.0772510686099</v>
          </cell>
          <cell r="BF22">
            <v>1261.9653916081941</v>
          </cell>
          <cell r="BG22">
            <v>1261.9653916081941</v>
          </cell>
          <cell r="BH22">
            <v>1085.0477440885795</v>
          </cell>
          <cell r="BI22">
            <v>1261.9653916081941</v>
          </cell>
          <cell r="BJ22">
            <v>1261.9653916081941</v>
          </cell>
          <cell r="BK22">
            <v>1327.1305413473522</v>
          </cell>
          <cell r="BL22">
            <v>1200</v>
          </cell>
          <cell r="BM22">
            <v>1141.0772510686099</v>
          </cell>
          <cell r="BN22">
            <v>1200</v>
          </cell>
          <cell r="BO22">
            <v>1261.9653916081941</v>
          </cell>
          <cell r="BP22">
            <v>1141.0772510686099</v>
          </cell>
          <cell r="BQ22">
            <v>1261.9653916081941</v>
          </cell>
          <cell r="BR22">
            <v>1327.1305413473522</v>
          </cell>
          <cell r="BS22">
            <v>1327.1305413473522</v>
          </cell>
          <cell r="BT22">
            <v>1200</v>
          </cell>
          <cell r="BU22">
            <v>1200</v>
          </cell>
          <cell r="BV22">
            <v>1085.0477440885795</v>
          </cell>
          <cell r="BW22">
            <v>1199.9999999999998</v>
          </cell>
          <cell r="BX22">
            <v>1261.9653916081941</v>
          </cell>
          <cell r="BY22">
            <v>1261.9653916081941</v>
          </cell>
          <cell r="BZ22">
            <v>1327.1305413473522</v>
          </cell>
          <cell r="CA22">
            <v>1261.9653916081941</v>
          </cell>
          <cell r="CB22">
            <v>1031.7694142523274</v>
          </cell>
          <cell r="CC22">
            <v>1141.0772510686097</v>
          </cell>
          <cell r="CD22">
            <v>1200</v>
          </cell>
          <cell r="CE22">
            <v>1200</v>
          </cell>
          <cell r="CF22">
            <v>1141.0772510686099</v>
          </cell>
          <cell r="CG22">
            <v>1200</v>
          </cell>
          <cell r="CH22">
            <v>1199.9999999999998</v>
          </cell>
          <cell r="CI22">
            <v>1327.1305413473522</v>
          </cell>
          <cell r="CJ22">
            <v>1200</v>
          </cell>
          <cell r="CK22">
            <v>1199.9999999999998</v>
          </cell>
          <cell r="CL22">
            <v>1141.0772510686099</v>
          </cell>
          <cell r="CM22">
            <v>1200</v>
          </cell>
          <cell r="CN22">
            <v>1200</v>
          </cell>
          <cell r="CO22">
            <v>1327.1305413473522</v>
          </cell>
          <cell r="CP22">
            <v>1085.0477440885795</v>
          </cell>
          <cell r="CQ22">
            <v>1261.9653916081941</v>
          </cell>
          <cell r="CR22">
            <v>1141.0772510686097</v>
          </cell>
          <cell r="CS22">
            <v>1395.6606777721715</v>
          </cell>
          <cell r="CT22">
            <v>1085.0477440885795</v>
          </cell>
          <cell r="CU22">
            <v>1261.9653916081941</v>
          </cell>
          <cell r="CV22">
            <v>1261.9653916081941</v>
          </cell>
          <cell r="CW22">
            <v>1199.9999999999998</v>
          </cell>
          <cell r="CX22">
            <v>1261.9653916081938</v>
          </cell>
          <cell r="CY22">
            <v>1199.9999999999998</v>
          </cell>
        </row>
        <row r="23">
          <cell r="D23">
            <v>1170.1678090266932</v>
          </cell>
          <cell r="E23">
            <v>1170.1678090266935</v>
          </cell>
          <cell r="F23">
            <v>1058.0732844912411</v>
          </cell>
          <cell r="G23">
            <v>1294.1378648840339</v>
          </cell>
          <cell r="H23">
            <v>1170.1678090266932</v>
          </cell>
          <cell r="I23">
            <v>1170.1678090266932</v>
          </cell>
          <cell r="J23">
            <v>1112.7098890109644</v>
          </cell>
          <cell r="K23">
            <v>1230.5927311380613</v>
          </cell>
          <cell r="L23">
            <v>1294.1378648840339</v>
          </cell>
          <cell r="M23">
            <v>1170.1678090266935</v>
          </cell>
          <cell r="N23">
            <v>1112.7098890109644</v>
          </cell>
          <cell r="O23">
            <v>1170.1678090266935</v>
          </cell>
          <cell r="P23">
            <v>1294.1378648840339</v>
          </cell>
          <cell r="Q23">
            <v>1112.7098890109644</v>
          </cell>
          <cell r="R23">
            <v>1230.5927311380613</v>
          </cell>
          <cell r="S23">
            <v>1294.1378648840339</v>
          </cell>
          <cell r="T23">
            <v>1230.5927311380613</v>
          </cell>
          <cell r="U23">
            <v>1170.167809026693</v>
          </cell>
          <cell r="V23">
            <v>1294.1378648840339</v>
          </cell>
          <cell r="W23">
            <v>1431.2415710013786</v>
          </cell>
          <cell r="X23">
            <v>1360.9643312111432</v>
          </cell>
          <cell r="Y23">
            <v>1170.1678090266935</v>
          </cell>
          <cell r="Z23">
            <v>1170.1678090266932</v>
          </cell>
          <cell r="AA23">
            <v>1230.592731138061</v>
          </cell>
          <cell r="AB23">
            <v>1170.167809026693</v>
          </cell>
          <cell r="AC23">
            <v>1230.5927311380613</v>
          </cell>
          <cell r="AD23">
            <v>1294.1378648840339</v>
          </cell>
          <cell r="AE23">
            <v>1170.167809026693</v>
          </cell>
          <cell r="AF23">
            <v>1170.1678090266935</v>
          </cell>
          <cell r="AG23">
            <v>1112.7098890109644</v>
          </cell>
          <cell r="AH23">
            <v>1170.1678090266935</v>
          </cell>
          <cell r="AI23">
            <v>1170.167809026693</v>
          </cell>
          <cell r="AJ23">
            <v>1170.1678090266932</v>
          </cell>
          <cell r="AK23">
            <v>1112.7098890109644</v>
          </cell>
          <cell r="AL23">
            <v>1360.9643312111432</v>
          </cell>
          <cell r="AM23">
            <v>1230.5927311380613</v>
          </cell>
          <cell r="AN23">
            <v>1230.5927311380613</v>
          </cell>
          <cell r="AO23">
            <v>1112.7098890109644</v>
          </cell>
          <cell r="AP23">
            <v>1058.0732844912411</v>
          </cell>
          <cell r="AQ23">
            <v>1294.1378648840339</v>
          </cell>
          <cell r="AR23">
            <v>1230.5927311380613</v>
          </cell>
          <cell r="AS23">
            <v>1170.1678090266935</v>
          </cell>
          <cell r="AT23">
            <v>1230.5927311380613</v>
          </cell>
          <cell r="AU23">
            <v>1230.592731138061</v>
          </cell>
          <cell r="AV23">
            <v>1230.5927311380613</v>
          </cell>
          <cell r="AW23">
            <v>1230.5927311380613</v>
          </cell>
          <cell r="AX23">
            <v>1230.5927311380613</v>
          </cell>
          <cell r="AY23">
            <v>1230.5927311380613</v>
          </cell>
          <cell r="AZ23">
            <v>1230.5927311380613</v>
          </cell>
          <cell r="BA23">
            <v>1170.167809026693</v>
          </cell>
          <cell r="BB23">
            <v>1230.5927311380613</v>
          </cell>
          <cell r="BC23">
            <v>1170.1678090266935</v>
          </cell>
          <cell r="BD23">
            <v>1230.5927311380613</v>
          </cell>
          <cell r="BE23">
            <v>1170.1678090266932</v>
          </cell>
          <cell r="BF23">
            <v>1230.5927311380613</v>
          </cell>
          <cell r="BG23">
            <v>1230.5927311380613</v>
          </cell>
          <cell r="BH23">
            <v>1112.7098890109644</v>
          </cell>
          <cell r="BI23">
            <v>1294.1378648840339</v>
          </cell>
          <cell r="BJ23">
            <v>1294.1378648840339</v>
          </cell>
          <cell r="BK23">
            <v>1294.1378648840339</v>
          </cell>
          <cell r="BL23">
            <v>1230.5927311380613</v>
          </cell>
          <cell r="BM23">
            <v>1170.1678090266932</v>
          </cell>
          <cell r="BN23">
            <v>1230.5927311380613</v>
          </cell>
          <cell r="BO23">
            <v>1230.5927311380613</v>
          </cell>
          <cell r="BP23">
            <v>1170.1678090266932</v>
          </cell>
          <cell r="BQ23">
            <v>1294.1378648840339</v>
          </cell>
          <cell r="BR23">
            <v>1294.1378648840339</v>
          </cell>
          <cell r="BS23">
            <v>1360.9643312111432</v>
          </cell>
          <cell r="BT23">
            <v>1170.1678090266935</v>
          </cell>
          <cell r="BU23">
            <v>1170.1678090266935</v>
          </cell>
          <cell r="BV23">
            <v>1112.7098890109644</v>
          </cell>
          <cell r="BW23">
            <v>1170.1678090266932</v>
          </cell>
          <cell r="BX23">
            <v>1230.5927311380613</v>
          </cell>
          <cell r="BY23">
            <v>1294.1378648840339</v>
          </cell>
          <cell r="BZ23">
            <v>1294.1378648840339</v>
          </cell>
          <cell r="CA23">
            <v>1294.1378648840339</v>
          </cell>
          <cell r="CB23">
            <v>1058.0732844912411</v>
          </cell>
          <cell r="CC23">
            <v>1112.7098890109644</v>
          </cell>
          <cell r="CD23">
            <v>1170.1678090266935</v>
          </cell>
          <cell r="CE23">
            <v>1170.1678090266935</v>
          </cell>
          <cell r="CF23">
            <v>1112.7098890109644</v>
          </cell>
          <cell r="CG23">
            <v>1170.1678090266935</v>
          </cell>
          <cell r="CH23">
            <v>1170.1678090266932</v>
          </cell>
          <cell r="CI23">
            <v>1294.1378648840339</v>
          </cell>
          <cell r="CJ23">
            <v>1170.1678090266935</v>
          </cell>
          <cell r="CK23">
            <v>1230.592731138061</v>
          </cell>
          <cell r="CL23">
            <v>1170.1678090266932</v>
          </cell>
          <cell r="CM23">
            <v>1230.5927311380613</v>
          </cell>
          <cell r="CN23">
            <v>1170.1678090266935</v>
          </cell>
          <cell r="CO23">
            <v>1360.9643312111432</v>
          </cell>
          <cell r="CP23">
            <v>1112.7098890109644</v>
          </cell>
          <cell r="CQ23">
            <v>1294.1378648840339</v>
          </cell>
          <cell r="CR23">
            <v>1112.7098890109644</v>
          </cell>
          <cell r="CS23">
            <v>1360.9643312111432</v>
          </cell>
          <cell r="CT23">
            <v>1112.7098890109644</v>
          </cell>
          <cell r="CU23">
            <v>1230.5927311380613</v>
          </cell>
          <cell r="CV23">
            <v>1294.1378648840339</v>
          </cell>
          <cell r="CW23">
            <v>1170.1678090266932</v>
          </cell>
          <cell r="CX23">
            <v>1230.592731138061</v>
          </cell>
          <cell r="CY23">
            <v>1230.592731138061</v>
          </cell>
        </row>
        <row r="24">
          <cell r="D24">
            <v>1141.0772510686097</v>
          </cell>
          <cell r="E24">
            <v>1141.0772510686099</v>
          </cell>
          <cell r="F24">
            <v>1085.0477440885795</v>
          </cell>
          <cell r="G24">
            <v>1261.9653916081941</v>
          </cell>
          <cell r="H24">
            <v>1141.0772510686097</v>
          </cell>
          <cell r="I24">
            <v>1141.0772510686097</v>
          </cell>
          <cell r="J24">
            <v>1141.0772510686097</v>
          </cell>
          <cell r="K24">
            <v>1200</v>
          </cell>
          <cell r="L24">
            <v>1327.1305413473522</v>
          </cell>
          <cell r="M24">
            <v>1141.0772510686099</v>
          </cell>
          <cell r="N24">
            <v>1141.0772510686097</v>
          </cell>
          <cell r="O24">
            <v>1200</v>
          </cell>
          <cell r="P24">
            <v>1261.9653916081941</v>
          </cell>
          <cell r="Q24">
            <v>1085.0477440885795</v>
          </cell>
          <cell r="R24">
            <v>1261.9653916081941</v>
          </cell>
          <cell r="S24">
            <v>1261.9653916081941</v>
          </cell>
          <cell r="T24">
            <v>1200</v>
          </cell>
          <cell r="U24">
            <v>1141.0772510686097</v>
          </cell>
          <cell r="V24">
            <v>1327.1305413473522</v>
          </cell>
          <cell r="W24">
            <v>1467.7295614807633</v>
          </cell>
          <cell r="X24">
            <v>1327.1305413473522</v>
          </cell>
          <cell r="Y24">
            <v>1141.0772510686099</v>
          </cell>
          <cell r="Z24">
            <v>1199.9999999999998</v>
          </cell>
          <cell r="AA24">
            <v>1261.9653916081938</v>
          </cell>
          <cell r="AB24">
            <v>1199.9999999999995</v>
          </cell>
          <cell r="AC24">
            <v>1261.9653916081941</v>
          </cell>
          <cell r="AD24">
            <v>1327.1305413473522</v>
          </cell>
          <cell r="AE24">
            <v>1141.0772510686097</v>
          </cell>
          <cell r="AF24">
            <v>1200</v>
          </cell>
          <cell r="AG24">
            <v>1141.0772510686097</v>
          </cell>
          <cell r="AH24">
            <v>1141.0772510686099</v>
          </cell>
          <cell r="AI24">
            <v>1199.9999999999995</v>
          </cell>
          <cell r="AJ24">
            <v>1141.0772510686097</v>
          </cell>
          <cell r="AK24">
            <v>1085.0477440885795</v>
          </cell>
          <cell r="AL24">
            <v>1395.6606777721715</v>
          </cell>
          <cell r="AM24">
            <v>1261.9653916081941</v>
          </cell>
          <cell r="AN24">
            <v>1200</v>
          </cell>
          <cell r="AO24">
            <v>1141.0772510686097</v>
          </cell>
          <cell r="AP24">
            <v>1085.0477440885795</v>
          </cell>
          <cell r="AQ24">
            <v>1327.1305413473522</v>
          </cell>
          <cell r="AR24">
            <v>1261.9653916081941</v>
          </cell>
          <cell r="AS24">
            <v>1141.0772510686099</v>
          </cell>
          <cell r="AT24">
            <v>1261.9653916081941</v>
          </cell>
          <cell r="AU24">
            <v>1261.9653916081938</v>
          </cell>
          <cell r="AV24">
            <v>1261.9653916081941</v>
          </cell>
          <cell r="AW24">
            <v>1261.9653916081941</v>
          </cell>
          <cell r="AX24">
            <v>1200</v>
          </cell>
          <cell r="AY24">
            <v>1200</v>
          </cell>
          <cell r="AZ24">
            <v>1200</v>
          </cell>
          <cell r="BA24">
            <v>1199.9999999999995</v>
          </cell>
          <cell r="BB24">
            <v>1261.9653916081941</v>
          </cell>
          <cell r="BC24">
            <v>1200</v>
          </cell>
          <cell r="BD24">
            <v>1200</v>
          </cell>
          <cell r="BE24">
            <v>1141.0772510686097</v>
          </cell>
          <cell r="BF24">
            <v>1200</v>
          </cell>
          <cell r="BG24">
            <v>1200</v>
          </cell>
          <cell r="BH24">
            <v>1085.0477440885795</v>
          </cell>
          <cell r="BI24">
            <v>1327.1305413473522</v>
          </cell>
          <cell r="BJ24">
            <v>1327.1305413473522</v>
          </cell>
          <cell r="BK24">
            <v>1261.9653916081941</v>
          </cell>
          <cell r="BL24">
            <v>1200</v>
          </cell>
          <cell r="BM24">
            <v>1199.9999999999998</v>
          </cell>
          <cell r="BN24">
            <v>1261.9653916081941</v>
          </cell>
          <cell r="BO24">
            <v>1261.9653916081941</v>
          </cell>
          <cell r="BP24">
            <v>1199.9999999999998</v>
          </cell>
          <cell r="BQ24">
            <v>1261.9653916081941</v>
          </cell>
          <cell r="BR24">
            <v>1261.9653916081941</v>
          </cell>
          <cell r="BS24">
            <v>1395.6606777721715</v>
          </cell>
          <cell r="BT24">
            <v>1200</v>
          </cell>
          <cell r="BU24">
            <v>1141.0772510686099</v>
          </cell>
          <cell r="BV24">
            <v>1141.0772510686097</v>
          </cell>
          <cell r="BW24">
            <v>1199.9999999999998</v>
          </cell>
          <cell r="BX24">
            <v>1200</v>
          </cell>
          <cell r="BY24">
            <v>1261.9653916081941</v>
          </cell>
          <cell r="BZ24">
            <v>1261.9653916081941</v>
          </cell>
          <cell r="CA24">
            <v>1261.9653916081941</v>
          </cell>
          <cell r="CB24">
            <v>1085.0477440885795</v>
          </cell>
          <cell r="CC24">
            <v>1085.0477440885795</v>
          </cell>
          <cell r="CD24">
            <v>1141.0772510686099</v>
          </cell>
          <cell r="CE24">
            <v>1141.0772510686099</v>
          </cell>
          <cell r="CF24">
            <v>1085.0477440885795</v>
          </cell>
          <cell r="CG24">
            <v>1141.0772510686099</v>
          </cell>
          <cell r="CH24">
            <v>1141.0772510686097</v>
          </cell>
          <cell r="CI24">
            <v>1261.9653916081941</v>
          </cell>
          <cell r="CJ24">
            <v>1200</v>
          </cell>
          <cell r="CK24">
            <v>1261.9653916081938</v>
          </cell>
          <cell r="CL24">
            <v>1199.9999999999998</v>
          </cell>
          <cell r="CM24">
            <v>1200</v>
          </cell>
          <cell r="CN24">
            <v>1141.0772510686099</v>
          </cell>
          <cell r="CO24">
            <v>1327.1305413473522</v>
          </cell>
          <cell r="CP24">
            <v>1085.0477440885795</v>
          </cell>
          <cell r="CQ24">
            <v>1327.1305413473522</v>
          </cell>
          <cell r="CR24">
            <v>1141.0772510686097</v>
          </cell>
          <cell r="CS24">
            <v>1395.6606777721715</v>
          </cell>
          <cell r="CT24">
            <v>1085.0477440885795</v>
          </cell>
          <cell r="CU24">
            <v>1200</v>
          </cell>
          <cell r="CV24">
            <v>1261.9653916081941</v>
          </cell>
          <cell r="CW24">
            <v>1141.0772510686097</v>
          </cell>
          <cell r="CX24">
            <v>1199.9999999999998</v>
          </cell>
          <cell r="CY24">
            <v>1261.9653916081938</v>
          </cell>
        </row>
        <row r="25">
          <cell r="D25">
            <v>1112.7098890109644</v>
          </cell>
          <cell r="E25">
            <v>1112.7098890109644</v>
          </cell>
          <cell r="F25">
            <v>1112.7098890109644</v>
          </cell>
          <cell r="G25">
            <v>1230.5927311380613</v>
          </cell>
          <cell r="H25">
            <v>1170.167809026693</v>
          </cell>
          <cell r="I25">
            <v>1112.7098890109644</v>
          </cell>
          <cell r="J25">
            <v>1112.7098890109644</v>
          </cell>
          <cell r="K25">
            <v>1230.5927311380613</v>
          </cell>
          <cell r="L25">
            <v>1360.9643312111432</v>
          </cell>
          <cell r="M25">
            <v>1170.1678090266932</v>
          </cell>
          <cell r="N25">
            <v>1170.167809026693</v>
          </cell>
          <cell r="O25">
            <v>1230.5927311380613</v>
          </cell>
          <cell r="P25">
            <v>1294.1378648840339</v>
          </cell>
          <cell r="Q25">
            <v>1058.0732844912411</v>
          </cell>
          <cell r="R25">
            <v>1294.1378648840339</v>
          </cell>
          <cell r="S25">
            <v>1230.5927311380613</v>
          </cell>
          <cell r="T25">
            <v>1170.1678090266935</v>
          </cell>
          <cell r="U25">
            <v>1112.7098890109644</v>
          </cell>
          <cell r="V25">
            <v>1360.9643312111432</v>
          </cell>
          <cell r="W25">
            <v>1505.1477746955679</v>
          </cell>
          <cell r="X25">
            <v>1360.9643312111432</v>
          </cell>
          <cell r="Y25">
            <v>1112.7098890109644</v>
          </cell>
          <cell r="Z25">
            <v>1230.592731138061</v>
          </cell>
          <cell r="AA25">
            <v>1294.1378648840337</v>
          </cell>
          <cell r="AB25">
            <v>1230.5927311380608</v>
          </cell>
          <cell r="AC25">
            <v>1294.1378648840339</v>
          </cell>
          <cell r="AD25">
            <v>1360.9643312111432</v>
          </cell>
          <cell r="AE25">
            <v>1170.167809026693</v>
          </cell>
          <cell r="AF25">
            <v>1170.1678090266935</v>
          </cell>
          <cell r="AG25">
            <v>1170.167809026693</v>
          </cell>
          <cell r="AH25">
            <v>1112.7098890109644</v>
          </cell>
          <cell r="AI25">
            <v>1230.5927311380608</v>
          </cell>
          <cell r="AJ25">
            <v>1112.7098890109644</v>
          </cell>
          <cell r="AK25">
            <v>1058.0732844912411</v>
          </cell>
          <cell r="AL25">
            <v>1360.9643312111432</v>
          </cell>
          <cell r="AM25">
            <v>1230.5927311380613</v>
          </cell>
          <cell r="AN25">
            <v>1230.5927311380613</v>
          </cell>
          <cell r="AO25">
            <v>1112.7098890109644</v>
          </cell>
          <cell r="AP25">
            <v>1112.7098890109644</v>
          </cell>
          <cell r="AQ25">
            <v>1360.9643312111432</v>
          </cell>
          <cell r="AR25">
            <v>1294.1378648840339</v>
          </cell>
          <cell r="AS25">
            <v>1112.7098890109644</v>
          </cell>
          <cell r="AT25">
            <v>1230.5927311380613</v>
          </cell>
          <cell r="AU25">
            <v>1230.592731138061</v>
          </cell>
          <cell r="AV25">
            <v>1294.1378648840339</v>
          </cell>
          <cell r="AW25">
            <v>1230.5927311380613</v>
          </cell>
          <cell r="AX25">
            <v>1170.1678090266935</v>
          </cell>
          <cell r="AY25">
            <v>1170.1678090266935</v>
          </cell>
          <cell r="AZ25">
            <v>1230.5927311380613</v>
          </cell>
          <cell r="BA25">
            <v>1170.167809026693</v>
          </cell>
          <cell r="BB25">
            <v>1230.5927311380613</v>
          </cell>
          <cell r="BC25">
            <v>1170.1678090266935</v>
          </cell>
          <cell r="BD25">
            <v>1230.5927311380613</v>
          </cell>
          <cell r="BE25">
            <v>1170.167809026693</v>
          </cell>
          <cell r="BF25">
            <v>1170.1678090266935</v>
          </cell>
          <cell r="BG25">
            <v>1230.5927311380613</v>
          </cell>
          <cell r="BH25">
            <v>1112.7098890109644</v>
          </cell>
          <cell r="BI25">
            <v>1294.1378648840339</v>
          </cell>
          <cell r="BJ25">
            <v>1294.1378648840339</v>
          </cell>
          <cell r="BK25">
            <v>1230.5927311380613</v>
          </cell>
          <cell r="BL25">
            <v>1170.1678090266935</v>
          </cell>
          <cell r="BM25">
            <v>1170.1678090266932</v>
          </cell>
          <cell r="BN25">
            <v>1230.5927311380613</v>
          </cell>
          <cell r="BO25">
            <v>1230.5927311380613</v>
          </cell>
          <cell r="BP25">
            <v>1170.1678090266932</v>
          </cell>
          <cell r="BQ25">
            <v>1294.1378648840339</v>
          </cell>
          <cell r="BR25">
            <v>1230.5927311380613</v>
          </cell>
          <cell r="BS25">
            <v>1431.2415710013786</v>
          </cell>
          <cell r="BT25">
            <v>1170.1678090266935</v>
          </cell>
          <cell r="BU25">
            <v>1112.7098890109644</v>
          </cell>
          <cell r="BV25">
            <v>1170.167809026693</v>
          </cell>
          <cell r="BW25">
            <v>1230.592731138061</v>
          </cell>
          <cell r="BX25">
            <v>1230.5927311380613</v>
          </cell>
          <cell r="BY25">
            <v>1294.1378648840339</v>
          </cell>
          <cell r="BZ25">
            <v>1230.5927311380613</v>
          </cell>
          <cell r="CA25">
            <v>1230.5927311380613</v>
          </cell>
          <cell r="CB25">
            <v>1058.0732844912411</v>
          </cell>
          <cell r="CC25">
            <v>1058.0732844912411</v>
          </cell>
          <cell r="CD25">
            <v>1170.1678090266932</v>
          </cell>
          <cell r="CE25">
            <v>1112.7098890109644</v>
          </cell>
          <cell r="CF25">
            <v>1058.0732844912411</v>
          </cell>
          <cell r="CG25">
            <v>1112.7098890109644</v>
          </cell>
          <cell r="CH25">
            <v>1112.7098890109644</v>
          </cell>
          <cell r="CI25">
            <v>1230.5927311380613</v>
          </cell>
          <cell r="CJ25">
            <v>1170.1678090266935</v>
          </cell>
          <cell r="CK25">
            <v>1294.1378648840337</v>
          </cell>
          <cell r="CL25">
            <v>1230.592731138061</v>
          </cell>
          <cell r="CM25">
            <v>1230.5927311380613</v>
          </cell>
          <cell r="CN25">
            <v>1112.7098890109644</v>
          </cell>
          <cell r="CO25">
            <v>1360.9643312111432</v>
          </cell>
          <cell r="CP25">
            <v>1058.0732844912411</v>
          </cell>
          <cell r="CQ25">
            <v>1294.1378648840339</v>
          </cell>
          <cell r="CR25">
            <v>1112.7098890109644</v>
          </cell>
          <cell r="CS25">
            <v>1431.2415710013786</v>
          </cell>
          <cell r="CT25">
            <v>1058.0732844912411</v>
          </cell>
          <cell r="CU25">
            <v>1230.5927311380613</v>
          </cell>
          <cell r="CV25">
            <v>1230.5927311380613</v>
          </cell>
          <cell r="CW25">
            <v>1170.167809026693</v>
          </cell>
          <cell r="CX25">
            <v>1170.1678090266932</v>
          </cell>
          <cell r="CY25">
            <v>1294.1378648840337</v>
          </cell>
        </row>
        <row r="26">
          <cell r="D26">
            <v>1141.0772510686097</v>
          </cell>
          <cell r="E26">
            <v>1085.0477440885795</v>
          </cell>
          <cell r="F26">
            <v>1141.0772510686097</v>
          </cell>
          <cell r="G26">
            <v>1200</v>
          </cell>
          <cell r="H26">
            <v>1141.0772510686097</v>
          </cell>
          <cell r="I26">
            <v>1085.0477440885795</v>
          </cell>
          <cell r="J26">
            <v>1085.0477440885795</v>
          </cell>
          <cell r="K26">
            <v>1261.9653916081941</v>
          </cell>
          <cell r="L26">
            <v>1395.6606777721715</v>
          </cell>
          <cell r="M26">
            <v>1199.9999999999998</v>
          </cell>
          <cell r="N26">
            <v>1141.0772510686097</v>
          </cell>
          <cell r="O26">
            <v>1261.9653916081941</v>
          </cell>
          <cell r="P26">
            <v>1261.9653916081941</v>
          </cell>
          <cell r="Q26">
            <v>1085.0477440885795</v>
          </cell>
          <cell r="R26">
            <v>1327.1305413473522</v>
          </cell>
          <cell r="S26">
            <v>1261.9653916081941</v>
          </cell>
          <cell r="T26">
            <v>1200</v>
          </cell>
          <cell r="U26">
            <v>1085.0477440885795</v>
          </cell>
          <cell r="V26">
            <v>1395.6606777721715</v>
          </cell>
          <cell r="W26">
            <v>1467.7295614807631</v>
          </cell>
          <cell r="X26">
            <v>1327.1305413473522</v>
          </cell>
          <cell r="Y26">
            <v>1141.0772510686097</v>
          </cell>
          <cell r="Z26">
            <v>1261.9653916081938</v>
          </cell>
          <cell r="AA26">
            <v>1261.9653916081938</v>
          </cell>
          <cell r="AB26">
            <v>1199.9999999999995</v>
          </cell>
          <cell r="AC26">
            <v>1261.9653916081941</v>
          </cell>
          <cell r="AD26">
            <v>1395.6606777721715</v>
          </cell>
          <cell r="AE26">
            <v>1199.9999999999995</v>
          </cell>
          <cell r="AF26">
            <v>1141.0772510686099</v>
          </cell>
          <cell r="AG26">
            <v>1141.0772510686097</v>
          </cell>
          <cell r="AH26">
            <v>1085.0477440885795</v>
          </cell>
          <cell r="AI26">
            <v>1199.9999999999995</v>
          </cell>
          <cell r="AJ26">
            <v>1085.0477440885795</v>
          </cell>
          <cell r="AK26">
            <v>1031.7694142523274</v>
          </cell>
          <cell r="AL26">
            <v>1395.6606777721715</v>
          </cell>
          <cell r="AM26">
            <v>1200</v>
          </cell>
          <cell r="AN26">
            <v>1261.9653916081941</v>
          </cell>
          <cell r="AO26">
            <v>1141.0772510686097</v>
          </cell>
          <cell r="AP26">
            <v>1085.0477440885795</v>
          </cell>
          <cell r="AQ26">
            <v>1327.1305413473522</v>
          </cell>
          <cell r="AR26">
            <v>1327.1305413473522</v>
          </cell>
          <cell r="AS26">
            <v>1085.0477440885795</v>
          </cell>
          <cell r="AT26">
            <v>1261.9653916081941</v>
          </cell>
          <cell r="AU26">
            <v>1261.9653916081938</v>
          </cell>
          <cell r="AV26">
            <v>1261.9653916081941</v>
          </cell>
          <cell r="AW26">
            <v>1200</v>
          </cell>
          <cell r="AX26">
            <v>1200</v>
          </cell>
          <cell r="AY26">
            <v>1141.0772510686099</v>
          </cell>
          <cell r="AZ26">
            <v>1200</v>
          </cell>
          <cell r="BA26">
            <v>1141.0772510686097</v>
          </cell>
          <cell r="BB26">
            <v>1200</v>
          </cell>
          <cell r="BC26">
            <v>1141.0772510686099</v>
          </cell>
          <cell r="BD26">
            <v>1261.9653916081941</v>
          </cell>
          <cell r="BE26">
            <v>1141.0772510686097</v>
          </cell>
          <cell r="BF26">
            <v>1200</v>
          </cell>
          <cell r="BG26">
            <v>1200</v>
          </cell>
          <cell r="BH26">
            <v>1085.0477440885795</v>
          </cell>
          <cell r="BI26">
            <v>1261.9653916081941</v>
          </cell>
          <cell r="BJ26">
            <v>1327.1305413473522</v>
          </cell>
          <cell r="BK26">
            <v>1261.9653916081941</v>
          </cell>
          <cell r="BL26">
            <v>1200</v>
          </cell>
          <cell r="BM26">
            <v>1199.9999999999998</v>
          </cell>
          <cell r="BN26">
            <v>1261.9653916081941</v>
          </cell>
          <cell r="BO26">
            <v>1200</v>
          </cell>
          <cell r="BP26">
            <v>1141.0772510686097</v>
          </cell>
          <cell r="BQ26">
            <v>1327.1305413473522</v>
          </cell>
          <cell r="BR26">
            <v>1200</v>
          </cell>
          <cell r="BS26">
            <v>1395.6606777721715</v>
          </cell>
          <cell r="BT26">
            <v>1141.0772510686099</v>
          </cell>
          <cell r="BU26">
            <v>1141.0772510686097</v>
          </cell>
          <cell r="BV26">
            <v>1199.9999999999995</v>
          </cell>
          <cell r="BW26">
            <v>1261.9653916081938</v>
          </cell>
          <cell r="BX26">
            <v>1200</v>
          </cell>
          <cell r="BY26">
            <v>1261.9653916081941</v>
          </cell>
          <cell r="BZ26">
            <v>1200</v>
          </cell>
          <cell r="CA26">
            <v>1261.9653916081941</v>
          </cell>
          <cell r="CB26">
            <v>1031.7694142523274</v>
          </cell>
          <cell r="CC26">
            <v>1085.0477440885795</v>
          </cell>
          <cell r="CD26">
            <v>1199.9999999999998</v>
          </cell>
          <cell r="CE26">
            <v>1085.0477440885795</v>
          </cell>
          <cell r="CF26">
            <v>1031.7694142523274</v>
          </cell>
          <cell r="CG26">
            <v>1141.0772510686097</v>
          </cell>
          <cell r="CH26">
            <v>1085.0477440885795</v>
          </cell>
          <cell r="CI26">
            <v>1261.9653916081941</v>
          </cell>
          <cell r="CJ26">
            <v>1141.0772510686099</v>
          </cell>
          <cell r="CK26">
            <v>1261.9653916081938</v>
          </cell>
          <cell r="CL26">
            <v>1199.9999999999998</v>
          </cell>
          <cell r="CM26">
            <v>1261.9653916081941</v>
          </cell>
          <cell r="CN26">
            <v>1085.0477440885795</v>
          </cell>
          <cell r="CO26">
            <v>1327.1305413473522</v>
          </cell>
          <cell r="CP26">
            <v>1031.7694142523274</v>
          </cell>
          <cell r="CQ26">
            <v>1327.1305413473522</v>
          </cell>
          <cell r="CR26">
            <v>1085.0477440885795</v>
          </cell>
          <cell r="CS26">
            <v>1395.6606777721715</v>
          </cell>
          <cell r="CT26">
            <v>1085.0477440885795</v>
          </cell>
          <cell r="CU26">
            <v>1200</v>
          </cell>
          <cell r="CV26">
            <v>1200</v>
          </cell>
          <cell r="CW26">
            <v>1199.9999999999995</v>
          </cell>
          <cell r="CX26">
            <v>1141.0772510686097</v>
          </cell>
          <cell r="CY26">
            <v>1327.1305413473519</v>
          </cell>
        </row>
        <row r="27">
          <cell r="D27">
            <v>1112.7098890109644</v>
          </cell>
          <cell r="E27">
            <v>1112.7098890109644</v>
          </cell>
          <cell r="F27">
            <v>1170.167809026693</v>
          </cell>
          <cell r="G27">
            <v>1230.5927311380613</v>
          </cell>
          <cell r="H27">
            <v>1170.167809026693</v>
          </cell>
          <cell r="I27">
            <v>1058.0732844912411</v>
          </cell>
          <cell r="J27">
            <v>1112.7098890109644</v>
          </cell>
          <cell r="K27">
            <v>1294.1378648840339</v>
          </cell>
          <cell r="L27">
            <v>1431.2415710013786</v>
          </cell>
          <cell r="M27">
            <v>1230.592731138061</v>
          </cell>
          <cell r="N27">
            <v>1170.167809026693</v>
          </cell>
          <cell r="O27">
            <v>1294.1378648840339</v>
          </cell>
          <cell r="P27">
            <v>1294.1378648840339</v>
          </cell>
          <cell r="Q27">
            <v>1112.7098890109644</v>
          </cell>
          <cell r="R27">
            <v>1360.9643312111432</v>
          </cell>
          <cell r="S27">
            <v>1294.1378648840339</v>
          </cell>
          <cell r="T27">
            <v>1170.1678090266935</v>
          </cell>
          <cell r="U27">
            <v>1112.7098890109644</v>
          </cell>
          <cell r="V27">
            <v>1360.9643312111432</v>
          </cell>
          <cell r="W27">
            <v>1431.2415710013784</v>
          </cell>
          <cell r="X27">
            <v>1294.1378648840339</v>
          </cell>
          <cell r="Y27">
            <v>1112.7098890109644</v>
          </cell>
          <cell r="Z27">
            <v>1230.592731138061</v>
          </cell>
          <cell r="AA27">
            <v>1230.592731138061</v>
          </cell>
          <cell r="AB27">
            <v>1230.5927311380608</v>
          </cell>
          <cell r="AC27">
            <v>1294.1378648840339</v>
          </cell>
          <cell r="AD27">
            <v>1431.2415710013786</v>
          </cell>
          <cell r="AE27">
            <v>1170.167809026693</v>
          </cell>
          <cell r="AF27">
            <v>1112.7098890109644</v>
          </cell>
          <cell r="AG27">
            <v>1112.7098890109644</v>
          </cell>
          <cell r="AH27">
            <v>1112.7098890109644</v>
          </cell>
          <cell r="AI27">
            <v>1230.5927311380608</v>
          </cell>
          <cell r="AJ27">
            <v>1112.7098890109644</v>
          </cell>
          <cell r="AK27">
            <v>1058.0732844912411</v>
          </cell>
          <cell r="AL27">
            <v>1431.2415710013786</v>
          </cell>
          <cell r="AM27">
            <v>1230.5927311380613</v>
          </cell>
          <cell r="AN27">
            <v>1294.1378648840339</v>
          </cell>
          <cell r="AO27">
            <v>1112.7098890109644</v>
          </cell>
          <cell r="AP27">
            <v>1058.0732844912411</v>
          </cell>
          <cell r="AQ27">
            <v>1294.1378648840339</v>
          </cell>
          <cell r="AR27">
            <v>1294.1378648840339</v>
          </cell>
          <cell r="AS27">
            <v>1058.0732844912411</v>
          </cell>
          <cell r="AT27">
            <v>1230.5927311380613</v>
          </cell>
          <cell r="AU27">
            <v>1230.592731138061</v>
          </cell>
          <cell r="AV27">
            <v>1230.5927311380613</v>
          </cell>
          <cell r="AW27">
            <v>1170.1678090266935</v>
          </cell>
          <cell r="AX27">
            <v>1230.5927311380613</v>
          </cell>
          <cell r="AY27">
            <v>1170.1678090266932</v>
          </cell>
          <cell r="AZ27">
            <v>1170.1678090266935</v>
          </cell>
          <cell r="BA27">
            <v>1112.7098890109644</v>
          </cell>
          <cell r="BB27">
            <v>1230.5927311380613</v>
          </cell>
          <cell r="BC27">
            <v>1170.1678090266932</v>
          </cell>
          <cell r="BD27">
            <v>1230.5927311380613</v>
          </cell>
          <cell r="BE27">
            <v>1112.7098890109644</v>
          </cell>
          <cell r="BF27">
            <v>1170.1678090266935</v>
          </cell>
          <cell r="BG27">
            <v>1230.5927311380613</v>
          </cell>
          <cell r="BH27">
            <v>1112.7098890109644</v>
          </cell>
          <cell r="BI27">
            <v>1230.5927311380613</v>
          </cell>
          <cell r="BJ27">
            <v>1360.9643312111432</v>
          </cell>
          <cell r="BK27">
            <v>1294.1378648840339</v>
          </cell>
          <cell r="BL27">
            <v>1170.1678090266935</v>
          </cell>
          <cell r="BM27">
            <v>1170.1678090266932</v>
          </cell>
          <cell r="BN27">
            <v>1294.1378648840339</v>
          </cell>
          <cell r="BO27">
            <v>1170.1678090266935</v>
          </cell>
          <cell r="BP27">
            <v>1112.7098890109644</v>
          </cell>
          <cell r="BQ27">
            <v>1360.9643312111432</v>
          </cell>
          <cell r="BR27">
            <v>1230.5927311380613</v>
          </cell>
          <cell r="BS27">
            <v>1431.2415710013786</v>
          </cell>
          <cell r="BT27">
            <v>1170.1678090266932</v>
          </cell>
          <cell r="BU27">
            <v>1112.7098890109644</v>
          </cell>
          <cell r="BV27">
            <v>1170.167809026693</v>
          </cell>
          <cell r="BW27">
            <v>1294.1378648840337</v>
          </cell>
          <cell r="BX27">
            <v>1230.5927311380613</v>
          </cell>
          <cell r="BY27">
            <v>1294.1378648840339</v>
          </cell>
          <cell r="BZ27">
            <v>1230.5927311380613</v>
          </cell>
          <cell r="CA27">
            <v>1230.5927311380613</v>
          </cell>
          <cell r="CB27">
            <v>1006.1194624136672</v>
          </cell>
          <cell r="CC27">
            <v>1112.7098890109644</v>
          </cell>
          <cell r="CD27">
            <v>1230.592731138061</v>
          </cell>
          <cell r="CE27">
            <v>1112.7098890109644</v>
          </cell>
          <cell r="CF27">
            <v>1006.1194624136672</v>
          </cell>
          <cell r="CG27">
            <v>1112.7098890109644</v>
          </cell>
          <cell r="CH27">
            <v>1112.7098890109644</v>
          </cell>
          <cell r="CI27">
            <v>1230.5927311380613</v>
          </cell>
          <cell r="CJ27">
            <v>1170.1678090266932</v>
          </cell>
          <cell r="CK27">
            <v>1230.592731138061</v>
          </cell>
          <cell r="CL27">
            <v>1230.592731138061</v>
          </cell>
          <cell r="CM27">
            <v>1294.1378648840339</v>
          </cell>
          <cell r="CN27">
            <v>1058.0732844912411</v>
          </cell>
          <cell r="CO27">
            <v>1360.9643312111432</v>
          </cell>
          <cell r="CP27">
            <v>1058.0732844912411</v>
          </cell>
          <cell r="CQ27">
            <v>1360.9643312111432</v>
          </cell>
          <cell r="CR27">
            <v>1058.0732844912411</v>
          </cell>
          <cell r="CS27">
            <v>1431.2415710013786</v>
          </cell>
          <cell r="CT27">
            <v>1058.0732844912411</v>
          </cell>
          <cell r="CU27">
            <v>1170.1678090266935</v>
          </cell>
          <cell r="CV27">
            <v>1170.1678090266935</v>
          </cell>
          <cell r="CW27">
            <v>1230.5927311380608</v>
          </cell>
          <cell r="CX27">
            <v>1170.167809026693</v>
          </cell>
          <cell r="CY27">
            <v>1294.1378648840337</v>
          </cell>
        </row>
        <row r="28">
          <cell r="D28">
            <v>1141.0772510686097</v>
          </cell>
          <cell r="E28">
            <v>1141.0772510686097</v>
          </cell>
          <cell r="F28">
            <v>1199.9999999999995</v>
          </cell>
          <cell r="G28">
            <v>1261.9653916081941</v>
          </cell>
          <cell r="H28">
            <v>1199.9999999999995</v>
          </cell>
          <cell r="I28">
            <v>1085.0477440885795</v>
          </cell>
          <cell r="J28">
            <v>1141.0772510686097</v>
          </cell>
          <cell r="K28">
            <v>1327.1305413473522</v>
          </cell>
          <cell r="L28">
            <v>1467.7295614807633</v>
          </cell>
          <cell r="M28">
            <v>1199.9999999999998</v>
          </cell>
          <cell r="N28">
            <v>1141.0772510686097</v>
          </cell>
          <cell r="O28">
            <v>1327.1305413473522</v>
          </cell>
          <cell r="P28">
            <v>1327.1305413473522</v>
          </cell>
          <cell r="Q28">
            <v>1141.0772510686097</v>
          </cell>
          <cell r="R28">
            <v>1395.6606777721715</v>
          </cell>
          <cell r="S28">
            <v>1327.1305413473522</v>
          </cell>
          <cell r="T28">
            <v>1141.0772510686099</v>
          </cell>
          <cell r="U28">
            <v>1085.0477440885795</v>
          </cell>
          <cell r="V28">
            <v>1395.6606777721715</v>
          </cell>
          <cell r="W28">
            <v>1395.6606777721713</v>
          </cell>
          <cell r="X28">
            <v>1261.9653916081941</v>
          </cell>
          <cell r="Y28">
            <v>1141.0772510686097</v>
          </cell>
          <cell r="Z28">
            <v>1199.9999999999998</v>
          </cell>
          <cell r="AA28">
            <v>1199.9999999999998</v>
          </cell>
          <cell r="AB28">
            <v>1261.9653916081936</v>
          </cell>
          <cell r="AC28">
            <v>1261.9653916081941</v>
          </cell>
          <cell r="AD28">
            <v>1467.7295614807633</v>
          </cell>
          <cell r="AE28">
            <v>1141.0772510686097</v>
          </cell>
          <cell r="AF28">
            <v>1141.0772510686097</v>
          </cell>
          <cell r="AG28">
            <v>1141.0772510686097</v>
          </cell>
          <cell r="AH28">
            <v>1141.0772510686097</v>
          </cell>
          <cell r="AI28">
            <v>1261.9653916081936</v>
          </cell>
          <cell r="AJ28">
            <v>1141.0772510686097</v>
          </cell>
          <cell r="AK28">
            <v>1031.7694142523274</v>
          </cell>
          <cell r="AL28">
            <v>1395.6606777721715</v>
          </cell>
          <cell r="AM28">
            <v>1200</v>
          </cell>
          <cell r="AN28">
            <v>1261.9653916081941</v>
          </cell>
          <cell r="AO28">
            <v>1141.0772510686097</v>
          </cell>
          <cell r="AP28">
            <v>1085.0477440885795</v>
          </cell>
          <cell r="AQ28">
            <v>1261.9653916081941</v>
          </cell>
          <cell r="AR28">
            <v>1261.9653916081941</v>
          </cell>
          <cell r="AS28">
            <v>1085.0477440885795</v>
          </cell>
          <cell r="AT28">
            <v>1200</v>
          </cell>
          <cell r="AU28">
            <v>1199.9999999999998</v>
          </cell>
          <cell r="AV28">
            <v>1261.9653916081941</v>
          </cell>
          <cell r="AW28">
            <v>1141.0772510686099</v>
          </cell>
          <cell r="AX28">
            <v>1200</v>
          </cell>
          <cell r="AY28">
            <v>1141.0772510686097</v>
          </cell>
          <cell r="AZ28">
            <v>1141.0772510686099</v>
          </cell>
          <cell r="BA28">
            <v>1085.0477440885795</v>
          </cell>
          <cell r="BB28">
            <v>1261.9653916081941</v>
          </cell>
          <cell r="BC28">
            <v>1199.9999999999998</v>
          </cell>
          <cell r="BD28">
            <v>1261.9653916081941</v>
          </cell>
          <cell r="BE28">
            <v>1141.0772510686097</v>
          </cell>
          <cell r="BF28">
            <v>1141.0772510686099</v>
          </cell>
          <cell r="BG28">
            <v>1200</v>
          </cell>
          <cell r="BH28">
            <v>1141.0772510686097</v>
          </cell>
          <cell r="BI28">
            <v>1200</v>
          </cell>
          <cell r="BJ28">
            <v>1327.1305413473522</v>
          </cell>
          <cell r="BK28">
            <v>1327.1305413473522</v>
          </cell>
          <cell r="BL28">
            <v>1141.0772510686099</v>
          </cell>
          <cell r="BM28">
            <v>1199.9999999999998</v>
          </cell>
          <cell r="BN28">
            <v>1261.9653916081941</v>
          </cell>
          <cell r="BO28">
            <v>1141.0772510686099</v>
          </cell>
          <cell r="BP28">
            <v>1141.0772510686097</v>
          </cell>
          <cell r="BQ28">
            <v>1395.6606777721715</v>
          </cell>
          <cell r="BR28">
            <v>1200</v>
          </cell>
          <cell r="BS28">
            <v>1395.6606777721715</v>
          </cell>
          <cell r="BT28">
            <v>1141.0772510686097</v>
          </cell>
          <cell r="BU28">
            <v>1141.0772510686097</v>
          </cell>
          <cell r="BV28">
            <v>1141.0772510686097</v>
          </cell>
          <cell r="BW28">
            <v>1261.9653916081938</v>
          </cell>
          <cell r="BX28">
            <v>1261.9653916081941</v>
          </cell>
          <cell r="BY28">
            <v>1261.9653916081941</v>
          </cell>
          <cell r="BZ28">
            <v>1261.9653916081941</v>
          </cell>
          <cell r="CA28">
            <v>1200</v>
          </cell>
          <cell r="CB28">
            <v>1031.7694142523274</v>
          </cell>
          <cell r="CC28">
            <v>1085.0477440885795</v>
          </cell>
          <cell r="CD28">
            <v>1261.9653916081938</v>
          </cell>
          <cell r="CE28">
            <v>1141.0772510686097</v>
          </cell>
          <cell r="CF28">
            <v>1031.7694142523274</v>
          </cell>
          <cell r="CG28">
            <v>1085.0477440885795</v>
          </cell>
          <cell r="CH28">
            <v>1141.0772510686097</v>
          </cell>
          <cell r="CI28">
            <v>1261.9653916081941</v>
          </cell>
          <cell r="CJ28">
            <v>1141.0772510686097</v>
          </cell>
          <cell r="CK28">
            <v>1199.9999999999998</v>
          </cell>
          <cell r="CL28">
            <v>1199.9999999999998</v>
          </cell>
          <cell r="CM28">
            <v>1327.1305413473522</v>
          </cell>
          <cell r="CN28">
            <v>1031.7694142523274</v>
          </cell>
          <cell r="CO28">
            <v>1327.1305413473522</v>
          </cell>
          <cell r="CP28">
            <v>1031.7694142523274</v>
          </cell>
          <cell r="CQ28">
            <v>1395.6606777721715</v>
          </cell>
          <cell r="CR28">
            <v>1031.7694142523274</v>
          </cell>
          <cell r="CS28">
            <v>1467.7295614807633</v>
          </cell>
          <cell r="CT28">
            <v>1085.0477440885795</v>
          </cell>
          <cell r="CU28">
            <v>1141.0772510686099</v>
          </cell>
          <cell r="CV28">
            <v>1200</v>
          </cell>
          <cell r="CW28">
            <v>1199.9999999999995</v>
          </cell>
          <cell r="CX28">
            <v>1199.9999999999995</v>
          </cell>
          <cell r="CY28">
            <v>1327.1305413473519</v>
          </cell>
        </row>
        <row r="29">
          <cell r="D29">
            <v>1170.167809026693</v>
          </cell>
          <cell r="E29">
            <v>1170.167809026693</v>
          </cell>
          <cell r="F29">
            <v>1230.5927311380608</v>
          </cell>
          <cell r="G29">
            <v>1230.5927311380613</v>
          </cell>
          <cell r="H29">
            <v>1170.167809026693</v>
          </cell>
          <cell r="I29">
            <v>1112.7098890109644</v>
          </cell>
          <cell r="J29">
            <v>1170.167809026693</v>
          </cell>
          <cell r="K29">
            <v>1294.1378648840339</v>
          </cell>
          <cell r="L29">
            <v>1505.1477746955679</v>
          </cell>
          <cell r="M29">
            <v>1230.592731138061</v>
          </cell>
          <cell r="N29">
            <v>1170.167809026693</v>
          </cell>
          <cell r="O29">
            <v>1294.1378648840339</v>
          </cell>
          <cell r="P29">
            <v>1294.1378648840339</v>
          </cell>
          <cell r="Q29">
            <v>1170.167809026693</v>
          </cell>
          <cell r="R29">
            <v>1431.2415710013786</v>
          </cell>
          <cell r="S29">
            <v>1294.1378648840339</v>
          </cell>
          <cell r="T29">
            <v>1112.7098890109644</v>
          </cell>
          <cell r="U29">
            <v>1058.0732844912411</v>
          </cell>
          <cell r="V29">
            <v>1360.9643312111432</v>
          </cell>
          <cell r="W29">
            <v>1360.964331211143</v>
          </cell>
          <cell r="X29">
            <v>1294.1378648840339</v>
          </cell>
          <cell r="Y29">
            <v>1112.7098890109644</v>
          </cell>
          <cell r="Z29">
            <v>1170.1678090266932</v>
          </cell>
          <cell r="AA29">
            <v>1230.592731138061</v>
          </cell>
          <cell r="AB29">
            <v>1230.5927311380608</v>
          </cell>
          <cell r="AC29">
            <v>1294.1378648840339</v>
          </cell>
          <cell r="AD29">
            <v>1505.1477746955679</v>
          </cell>
          <cell r="AE29">
            <v>1170.167809026693</v>
          </cell>
          <cell r="AF29">
            <v>1170.167809026693</v>
          </cell>
          <cell r="AG29">
            <v>1170.167809026693</v>
          </cell>
          <cell r="AH29">
            <v>1112.7098890109644</v>
          </cell>
          <cell r="AI29">
            <v>1230.5927311380608</v>
          </cell>
          <cell r="AJ29">
            <v>1112.7098890109644</v>
          </cell>
          <cell r="AK29">
            <v>1058.0732844912411</v>
          </cell>
          <cell r="AL29">
            <v>1431.2415710013786</v>
          </cell>
          <cell r="AM29">
            <v>1230.5927311380613</v>
          </cell>
          <cell r="AN29">
            <v>1294.1378648840339</v>
          </cell>
          <cell r="AO29">
            <v>1170.167809026693</v>
          </cell>
          <cell r="AP29">
            <v>1058.0732844912411</v>
          </cell>
          <cell r="AQ29">
            <v>1230.5927311380613</v>
          </cell>
          <cell r="AR29">
            <v>1294.1378648840339</v>
          </cell>
          <cell r="AS29">
            <v>1112.7098890109644</v>
          </cell>
          <cell r="AT29">
            <v>1170.1678090266935</v>
          </cell>
          <cell r="AU29">
            <v>1230.592731138061</v>
          </cell>
          <cell r="AV29">
            <v>1294.1378648840339</v>
          </cell>
          <cell r="AW29">
            <v>1112.7098890109644</v>
          </cell>
          <cell r="AX29">
            <v>1230.5927311380613</v>
          </cell>
          <cell r="AY29">
            <v>1112.7098890109644</v>
          </cell>
          <cell r="AZ29">
            <v>1170.1678090266932</v>
          </cell>
          <cell r="BA29">
            <v>1112.7098890109644</v>
          </cell>
          <cell r="BB29">
            <v>1230.5927311380613</v>
          </cell>
          <cell r="BC29">
            <v>1230.592731138061</v>
          </cell>
          <cell r="BD29">
            <v>1294.1378648840339</v>
          </cell>
          <cell r="BE29">
            <v>1170.167809026693</v>
          </cell>
          <cell r="BF29">
            <v>1112.7098890109644</v>
          </cell>
          <cell r="BG29">
            <v>1170.1678090266935</v>
          </cell>
          <cell r="BH29">
            <v>1112.7098890109644</v>
          </cell>
          <cell r="BI29">
            <v>1230.5927311380613</v>
          </cell>
          <cell r="BJ29">
            <v>1360.9643312111432</v>
          </cell>
          <cell r="BK29">
            <v>1360.9643312111432</v>
          </cell>
          <cell r="BL29">
            <v>1112.7098890109644</v>
          </cell>
          <cell r="BM29">
            <v>1170.1678090266932</v>
          </cell>
          <cell r="BN29">
            <v>1294.1378648840339</v>
          </cell>
          <cell r="BO29">
            <v>1112.7098890109644</v>
          </cell>
          <cell r="BP29">
            <v>1112.7098890109644</v>
          </cell>
          <cell r="BQ29">
            <v>1360.9643312111432</v>
          </cell>
          <cell r="BR29">
            <v>1230.5927311380613</v>
          </cell>
          <cell r="BS29">
            <v>1431.2415710013786</v>
          </cell>
          <cell r="BT29">
            <v>1112.7098890109644</v>
          </cell>
          <cell r="BU29">
            <v>1170.167809026693</v>
          </cell>
          <cell r="BV29">
            <v>1170.167809026693</v>
          </cell>
          <cell r="BW29">
            <v>1294.1378648840337</v>
          </cell>
          <cell r="BX29">
            <v>1230.5927311380613</v>
          </cell>
          <cell r="BY29">
            <v>1230.5927311380613</v>
          </cell>
          <cell r="BZ29">
            <v>1294.1378648840339</v>
          </cell>
          <cell r="CA29">
            <v>1230.5927311380613</v>
          </cell>
          <cell r="CB29">
            <v>1006.1194624136672</v>
          </cell>
          <cell r="CC29">
            <v>1112.7098890109644</v>
          </cell>
          <cell r="CD29">
            <v>1230.592731138061</v>
          </cell>
          <cell r="CE29">
            <v>1112.7098890109644</v>
          </cell>
          <cell r="CF29">
            <v>1058.0732844912411</v>
          </cell>
          <cell r="CG29">
            <v>1058.0732844912411</v>
          </cell>
          <cell r="CH29">
            <v>1112.7098890109644</v>
          </cell>
          <cell r="CI29">
            <v>1294.1378648840339</v>
          </cell>
          <cell r="CJ29">
            <v>1170.167809026693</v>
          </cell>
          <cell r="CK29">
            <v>1170.1678090266932</v>
          </cell>
          <cell r="CL29">
            <v>1230.592731138061</v>
          </cell>
          <cell r="CM29">
            <v>1294.1378648840339</v>
          </cell>
          <cell r="CN29">
            <v>1058.0732844912411</v>
          </cell>
          <cell r="CO29">
            <v>1360.9643312111432</v>
          </cell>
          <cell r="CP29">
            <v>1006.1194624136672</v>
          </cell>
          <cell r="CQ29">
            <v>1431.2415710013786</v>
          </cell>
          <cell r="CR29">
            <v>1058.0732844912411</v>
          </cell>
          <cell r="CS29">
            <v>1505.1477746955679</v>
          </cell>
          <cell r="CT29">
            <v>1058.0732844912411</v>
          </cell>
          <cell r="CU29">
            <v>1170.1678090266932</v>
          </cell>
          <cell r="CV29">
            <v>1230.5927311380613</v>
          </cell>
          <cell r="CW29">
            <v>1170.167809026693</v>
          </cell>
          <cell r="CX29">
            <v>1230.5927311380608</v>
          </cell>
          <cell r="CY29">
            <v>1360.964331211143</v>
          </cell>
        </row>
        <row r="30">
          <cell r="D30">
            <v>1199.9999999999995</v>
          </cell>
          <cell r="E30">
            <v>1141.0772510686097</v>
          </cell>
          <cell r="F30">
            <v>1261.9653916081936</v>
          </cell>
          <cell r="G30">
            <v>1200</v>
          </cell>
          <cell r="H30">
            <v>1141.0772510686097</v>
          </cell>
          <cell r="I30">
            <v>1085.0477440885795</v>
          </cell>
          <cell r="J30">
            <v>1199.9999999999995</v>
          </cell>
          <cell r="K30">
            <v>1261.9653916081941</v>
          </cell>
          <cell r="L30">
            <v>1543.5199256908286</v>
          </cell>
          <cell r="M30">
            <v>1261.9653916081938</v>
          </cell>
          <cell r="N30">
            <v>1141.0772510686097</v>
          </cell>
          <cell r="O30">
            <v>1327.1305413473522</v>
          </cell>
          <cell r="P30">
            <v>1327.1305413473522</v>
          </cell>
          <cell r="Q30">
            <v>1199.9999999999995</v>
          </cell>
          <cell r="R30">
            <v>1467.7295614807633</v>
          </cell>
          <cell r="S30">
            <v>1327.1305413473522</v>
          </cell>
          <cell r="T30">
            <v>1085.0477440885795</v>
          </cell>
          <cell r="U30">
            <v>1085.0477440885795</v>
          </cell>
          <cell r="V30">
            <v>1327.1305413473522</v>
          </cell>
          <cell r="W30">
            <v>1395.6606777721713</v>
          </cell>
          <cell r="X30">
            <v>1327.1305413473522</v>
          </cell>
          <cell r="Y30">
            <v>1085.0477440885795</v>
          </cell>
          <cell r="Z30">
            <v>1199.9999999999998</v>
          </cell>
          <cell r="AA30">
            <v>1261.9653916081938</v>
          </cell>
          <cell r="AB30">
            <v>1199.9999999999995</v>
          </cell>
          <cell r="AC30">
            <v>1261.9653916081941</v>
          </cell>
          <cell r="AD30">
            <v>1467.7295614807631</v>
          </cell>
          <cell r="AE30">
            <v>1199.9999999999995</v>
          </cell>
          <cell r="AF30">
            <v>1199.9999999999995</v>
          </cell>
          <cell r="AG30">
            <v>1199.9999999999995</v>
          </cell>
          <cell r="AH30">
            <v>1085.0477440885795</v>
          </cell>
          <cell r="AI30">
            <v>1199.9999999999995</v>
          </cell>
          <cell r="AJ30">
            <v>1085.0477440885795</v>
          </cell>
          <cell r="AK30">
            <v>1085.0477440885795</v>
          </cell>
          <cell r="AL30">
            <v>1395.6606777721715</v>
          </cell>
          <cell r="AM30">
            <v>1200</v>
          </cell>
          <cell r="AN30">
            <v>1327.1305413473522</v>
          </cell>
          <cell r="AO30">
            <v>1141.0772510686097</v>
          </cell>
          <cell r="AP30">
            <v>1031.7694142523274</v>
          </cell>
          <cell r="AQ30">
            <v>1261.9653916081941</v>
          </cell>
          <cell r="AR30">
            <v>1327.1305413473522</v>
          </cell>
          <cell r="AS30">
            <v>1085.0477440885795</v>
          </cell>
          <cell r="AT30">
            <v>1200</v>
          </cell>
          <cell r="AU30">
            <v>1199.9999999999998</v>
          </cell>
          <cell r="AV30">
            <v>1261.9653916081941</v>
          </cell>
          <cell r="AW30">
            <v>1141.0772510686097</v>
          </cell>
          <cell r="AX30">
            <v>1200</v>
          </cell>
          <cell r="AY30">
            <v>1085.0477440885795</v>
          </cell>
          <cell r="AZ30">
            <v>1199.9999999999998</v>
          </cell>
          <cell r="BA30">
            <v>1085.0477440885795</v>
          </cell>
          <cell r="BB30">
            <v>1200</v>
          </cell>
          <cell r="BC30">
            <v>1261.9653916081938</v>
          </cell>
          <cell r="BD30">
            <v>1261.9653916081941</v>
          </cell>
          <cell r="BE30">
            <v>1141.0772510686097</v>
          </cell>
          <cell r="BF30">
            <v>1085.0477440885795</v>
          </cell>
          <cell r="BG30">
            <v>1141.0772510686099</v>
          </cell>
          <cell r="BH30">
            <v>1141.0772510686097</v>
          </cell>
          <cell r="BI30">
            <v>1200</v>
          </cell>
          <cell r="BJ30">
            <v>1395.6606777721715</v>
          </cell>
          <cell r="BK30">
            <v>1395.6606777721715</v>
          </cell>
          <cell r="BL30">
            <v>1141.0772510686097</v>
          </cell>
          <cell r="BM30">
            <v>1199.9999999999998</v>
          </cell>
          <cell r="BN30">
            <v>1327.1305413473522</v>
          </cell>
          <cell r="BO30">
            <v>1085.0477440885795</v>
          </cell>
          <cell r="BP30">
            <v>1141.0772510686097</v>
          </cell>
          <cell r="BQ30">
            <v>1327.1305413473522</v>
          </cell>
          <cell r="BR30">
            <v>1261.9653916081941</v>
          </cell>
          <cell r="BS30">
            <v>1467.7295614807633</v>
          </cell>
          <cell r="BT30">
            <v>1085.0477440885795</v>
          </cell>
          <cell r="BU30">
            <v>1141.0772510686097</v>
          </cell>
          <cell r="BV30">
            <v>1199.9999999999995</v>
          </cell>
          <cell r="BW30">
            <v>1261.9653916081938</v>
          </cell>
          <cell r="BX30">
            <v>1200</v>
          </cell>
          <cell r="BY30">
            <v>1261.9653916081941</v>
          </cell>
          <cell r="BZ30">
            <v>1327.1305413473522</v>
          </cell>
          <cell r="CA30">
            <v>1200</v>
          </cell>
          <cell r="CB30">
            <v>981.10717245976286</v>
          </cell>
          <cell r="CC30">
            <v>1085.0477440885795</v>
          </cell>
          <cell r="CD30">
            <v>1261.9653916081938</v>
          </cell>
          <cell r="CE30">
            <v>1085.0477440885795</v>
          </cell>
          <cell r="CF30">
            <v>1031.7694142523274</v>
          </cell>
          <cell r="CG30">
            <v>1031.7694142523274</v>
          </cell>
          <cell r="CH30">
            <v>1141.0772510686097</v>
          </cell>
          <cell r="CI30">
            <v>1327.1305413473522</v>
          </cell>
          <cell r="CJ30">
            <v>1141.0772510686097</v>
          </cell>
          <cell r="CK30">
            <v>1141.0772510686097</v>
          </cell>
          <cell r="CL30">
            <v>1199.9999999999998</v>
          </cell>
          <cell r="CM30">
            <v>1261.9653916081941</v>
          </cell>
          <cell r="CN30">
            <v>1031.7694142523274</v>
          </cell>
          <cell r="CO30">
            <v>1395.6606777721715</v>
          </cell>
          <cell r="CP30">
            <v>981.10717245976286</v>
          </cell>
          <cell r="CQ30">
            <v>1467.7295614807633</v>
          </cell>
          <cell r="CR30">
            <v>1085.0477440885795</v>
          </cell>
          <cell r="CS30">
            <v>1543.5199256908286</v>
          </cell>
          <cell r="CT30">
            <v>1031.7694142523274</v>
          </cell>
          <cell r="CU30">
            <v>1141.0772510686097</v>
          </cell>
          <cell r="CV30">
            <v>1200</v>
          </cell>
          <cell r="CW30">
            <v>1199.9999999999995</v>
          </cell>
          <cell r="CX30">
            <v>1199.9999999999995</v>
          </cell>
          <cell r="CY30">
            <v>1395.6606777721713</v>
          </cell>
        </row>
        <row r="31">
          <cell r="D31">
            <v>1230.5927311380608</v>
          </cell>
          <cell r="E31">
            <v>1170.167809026693</v>
          </cell>
          <cell r="F31">
            <v>1294.1378648840334</v>
          </cell>
          <cell r="G31">
            <v>1170.1678090266935</v>
          </cell>
          <cell r="H31">
            <v>1170.167809026693</v>
          </cell>
          <cell r="I31">
            <v>1058.0732844912411</v>
          </cell>
          <cell r="J31">
            <v>1170.167809026693</v>
          </cell>
          <cell r="K31">
            <v>1230.5927311380613</v>
          </cell>
          <cell r="L31">
            <v>1582.8703341015785</v>
          </cell>
          <cell r="M31">
            <v>1230.592731138061</v>
          </cell>
          <cell r="N31">
            <v>1170.167809026693</v>
          </cell>
          <cell r="O31">
            <v>1360.9643312111432</v>
          </cell>
          <cell r="P31">
            <v>1360.9643312111432</v>
          </cell>
          <cell r="Q31">
            <v>1170.167809026693</v>
          </cell>
          <cell r="R31">
            <v>1505.1477746955679</v>
          </cell>
          <cell r="S31">
            <v>1360.9643312111432</v>
          </cell>
          <cell r="T31">
            <v>1112.7098890109644</v>
          </cell>
          <cell r="U31">
            <v>1058.0732844912411</v>
          </cell>
          <cell r="V31">
            <v>1360.9643312111432</v>
          </cell>
          <cell r="W31">
            <v>1431.2415710013784</v>
          </cell>
          <cell r="X31">
            <v>1360.9643312111432</v>
          </cell>
          <cell r="Y31">
            <v>1058.0732844912411</v>
          </cell>
          <cell r="Z31">
            <v>1230.592731138061</v>
          </cell>
          <cell r="AA31">
            <v>1294.1378648840337</v>
          </cell>
          <cell r="AB31">
            <v>1170.167809026693</v>
          </cell>
          <cell r="AC31">
            <v>1230.5927311380613</v>
          </cell>
          <cell r="AD31">
            <v>1505.1477746955677</v>
          </cell>
          <cell r="AE31">
            <v>1230.5927311380608</v>
          </cell>
          <cell r="AF31">
            <v>1230.5927311380608</v>
          </cell>
          <cell r="AG31">
            <v>1170.167809026693</v>
          </cell>
          <cell r="AH31">
            <v>1112.7098890109644</v>
          </cell>
          <cell r="AI31">
            <v>1230.5927311380608</v>
          </cell>
          <cell r="AJ31">
            <v>1112.7098890109644</v>
          </cell>
          <cell r="AK31">
            <v>1058.0732844912411</v>
          </cell>
          <cell r="AL31">
            <v>1360.9643312111432</v>
          </cell>
          <cell r="AM31">
            <v>1230.5927311380613</v>
          </cell>
          <cell r="AN31">
            <v>1294.1378648840339</v>
          </cell>
          <cell r="AO31">
            <v>1170.167809026693</v>
          </cell>
          <cell r="AP31">
            <v>1058.0732844912411</v>
          </cell>
          <cell r="AQ31">
            <v>1294.1378648840339</v>
          </cell>
          <cell r="AR31">
            <v>1360.9643312111432</v>
          </cell>
          <cell r="AS31">
            <v>1112.7098890109644</v>
          </cell>
          <cell r="AT31">
            <v>1230.5927311380613</v>
          </cell>
          <cell r="AU31">
            <v>1170.1678090266932</v>
          </cell>
          <cell r="AV31">
            <v>1230.5927311380613</v>
          </cell>
          <cell r="AW31">
            <v>1170.167809026693</v>
          </cell>
          <cell r="AX31">
            <v>1230.5927311380613</v>
          </cell>
          <cell r="AY31">
            <v>1058.0732844912411</v>
          </cell>
          <cell r="AZ31">
            <v>1230.592731138061</v>
          </cell>
          <cell r="BA31">
            <v>1112.7098890109644</v>
          </cell>
          <cell r="BB31">
            <v>1230.5927311380613</v>
          </cell>
          <cell r="BC31">
            <v>1294.1378648840337</v>
          </cell>
          <cell r="BD31">
            <v>1230.5927311380613</v>
          </cell>
          <cell r="BE31">
            <v>1170.167809026693</v>
          </cell>
          <cell r="BF31">
            <v>1058.0732844912411</v>
          </cell>
          <cell r="BG31">
            <v>1112.7098890109644</v>
          </cell>
          <cell r="BH31">
            <v>1170.167809026693</v>
          </cell>
          <cell r="BI31">
            <v>1170.1678090266935</v>
          </cell>
          <cell r="BJ31">
            <v>1360.9643312111432</v>
          </cell>
          <cell r="BK31">
            <v>1431.2415710013786</v>
          </cell>
          <cell r="BL31">
            <v>1112.7098890109644</v>
          </cell>
          <cell r="BM31">
            <v>1170.1678090266932</v>
          </cell>
          <cell r="BN31">
            <v>1294.1378648840339</v>
          </cell>
          <cell r="BO31">
            <v>1112.7098890109644</v>
          </cell>
          <cell r="BP31">
            <v>1112.7098890109644</v>
          </cell>
          <cell r="BQ31">
            <v>1294.1378648840339</v>
          </cell>
          <cell r="BR31">
            <v>1230.5927311380613</v>
          </cell>
          <cell r="BS31">
            <v>1431.2415710013786</v>
          </cell>
          <cell r="BT31">
            <v>1112.7098890109644</v>
          </cell>
          <cell r="BU31">
            <v>1170.167809026693</v>
          </cell>
          <cell r="BV31">
            <v>1230.5927311380608</v>
          </cell>
          <cell r="BW31">
            <v>1230.592731138061</v>
          </cell>
          <cell r="BX31">
            <v>1170.1678090266935</v>
          </cell>
          <cell r="BY31">
            <v>1230.5927311380613</v>
          </cell>
          <cell r="BZ31">
            <v>1294.1378648840339</v>
          </cell>
          <cell r="CA31">
            <v>1230.5927311380613</v>
          </cell>
          <cell r="CB31">
            <v>956.7166920146791</v>
          </cell>
          <cell r="CC31">
            <v>1058.0732844912411</v>
          </cell>
          <cell r="CD31">
            <v>1294.1378648840337</v>
          </cell>
          <cell r="CE31">
            <v>1112.7098890109644</v>
          </cell>
          <cell r="CF31">
            <v>1058.0732844912411</v>
          </cell>
          <cell r="CG31">
            <v>1006.1194624136672</v>
          </cell>
          <cell r="CH31">
            <v>1170.167809026693</v>
          </cell>
          <cell r="CI31">
            <v>1360.9643312111432</v>
          </cell>
          <cell r="CJ31">
            <v>1170.167809026693</v>
          </cell>
          <cell r="CK31">
            <v>1112.7098890109644</v>
          </cell>
          <cell r="CL31">
            <v>1170.1678090266932</v>
          </cell>
          <cell r="CM31">
            <v>1230.5927311380613</v>
          </cell>
          <cell r="CN31">
            <v>1058.0732844912411</v>
          </cell>
          <cell r="CO31">
            <v>1360.9643312111432</v>
          </cell>
          <cell r="CP31">
            <v>1006.1194624136671</v>
          </cell>
          <cell r="CQ31">
            <v>1431.2415710013786</v>
          </cell>
          <cell r="CR31">
            <v>1112.7098890109644</v>
          </cell>
          <cell r="CS31">
            <v>1505.1477746955679</v>
          </cell>
          <cell r="CT31">
            <v>1006.1194624136672</v>
          </cell>
          <cell r="CU31">
            <v>1170.167809026693</v>
          </cell>
          <cell r="CV31">
            <v>1230.5927311380613</v>
          </cell>
          <cell r="CW31">
            <v>1170.167809026693</v>
          </cell>
          <cell r="CX31">
            <v>1230.5927311380608</v>
          </cell>
          <cell r="CY31">
            <v>1431.2415710013784</v>
          </cell>
        </row>
        <row r="32">
          <cell r="D32">
            <v>1261.9653916081936</v>
          </cell>
          <cell r="E32">
            <v>1199.9999999999995</v>
          </cell>
          <cell r="F32">
            <v>1261.9653916081936</v>
          </cell>
          <cell r="G32">
            <v>1200</v>
          </cell>
          <cell r="H32">
            <v>1141.0772510686097</v>
          </cell>
          <cell r="I32">
            <v>1085.0477440885795</v>
          </cell>
          <cell r="J32">
            <v>1199.9999999999995</v>
          </cell>
          <cell r="K32">
            <v>1200</v>
          </cell>
          <cell r="L32">
            <v>1623.2239395662309</v>
          </cell>
          <cell r="M32">
            <v>1261.9653916081938</v>
          </cell>
          <cell r="N32">
            <v>1199.9999999999995</v>
          </cell>
          <cell r="O32">
            <v>1395.6606777721715</v>
          </cell>
          <cell r="P32">
            <v>1395.6606777721715</v>
          </cell>
          <cell r="Q32">
            <v>1141.0772510686097</v>
          </cell>
          <cell r="R32">
            <v>1543.5199256908286</v>
          </cell>
          <cell r="S32">
            <v>1395.6606777721715</v>
          </cell>
          <cell r="T32">
            <v>1085.0477440885795</v>
          </cell>
          <cell r="U32">
            <v>1031.7694142523274</v>
          </cell>
          <cell r="V32">
            <v>1395.6606777721715</v>
          </cell>
          <cell r="W32">
            <v>1467.7295614807631</v>
          </cell>
          <cell r="X32">
            <v>1395.6606777721715</v>
          </cell>
          <cell r="Y32">
            <v>1085.0477440885795</v>
          </cell>
          <cell r="Z32">
            <v>1261.9653916081938</v>
          </cell>
          <cell r="AA32">
            <v>1327.1305413473519</v>
          </cell>
          <cell r="AB32">
            <v>1141.0772510686097</v>
          </cell>
          <cell r="AC32">
            <v>1200</v>
          </cell>
          <cell r="AD32">
            <v>1467.7295614807629</v>
          </cell>
          <cell r="AE32">
            <v>1199.9999999999995</v>
          </cell>
          <cell r="AF32">
            <v>1199.9999999999995</v>
          </cell>
          <cell r="AG32">
            <v>1141.0772510686097</v>
          </cell>
          <cell r="AH32">
            <v>1085.0477440885795</v>
          </cell>
          <cell r="AI32">
            <v>1261.9653916081936</v>
          </cell>
          <cell r="AJ32">
            <v>1085.0477440885795</v>
          </cell>
          <cell r="AK32">
            <v>1085.0477440885795</v>
          </cell>
          <cell r="AL32">
            <v>1327.1305413473522</v>
          </cell>
          <cell r="AM32">
            <v>1200</v>
          </cell>
          <cell r="AN32">
            <v>1327.1305413473522</v>
          </cell>
          <cell r="AO32">
            <v>1199.9999999999995</v>
          </cell>
          <cell r="AP32">
            <v>1085.0477440885795</v>
          </cell>
          <cell r="AQ32">
            <v>1261.9653916081941</v>
          </cell>
          <cell r="AR32">
            <v>1327.1305413473522</v>
          </cell>
          <cell r="AS32">
            <v>1141.0772510686097</v>
          </cell>
          <cell r="AT32">
            <v>1200</v>
          </cell>
          <cell r="AU32">
            <v>1141.0772510686097</v>
          </cell>
          <cell r="AV32">
            <v>1261.9653916081941</v>
          </cell>
          <cell r="AW32">
            <v>1141.0772510686097</v>
          </cell>
          <cell r="AX32">
            <v>1261.9653916081941</v>
          </cell>
          <cell r="AY32">
            <v>1085.0477440885795</v>
          </cell>
          <cell r="AZ32">
            <v>1199.9999999999998</v>
          </cell>
          <cell r="BA32">
            <v>1141.0772510686097</v>
          </cell>
          <cell r="BB32">
            <v>1200</v>
          </cell>
          <cell r="BC32">
            <v>1261.9653916081938</v>
          </cell>
          <cell r="BD32">
            <v>1261.9653916081941</v>
          </cell>
          <cell r="BE32">
            <v>1141.0772510686097</v>
          </cell>
          <cell r="BF32">
            <v>1085.0477440885795</v>
          </cell>
          <cell r="BG32">
            <v>1141.0772510686097</v>
          </cell>
          <cell r="BH32">
            <v>1199.9999999999995</v>
          </cell>
          <cell r="BI32">
            <v>1141.0772510686099</v>
          </cell>
          <cell r="BJ32">
            <v>1395.6606777721715</v>
          </cell>
          <cell r="BK32">
            <v>1395.6606777721715</v>
          </cell>
          <cell r="BL32">
            <v>1085.0477440885795</v>
          </cell>
          <cell r="BM32">
            <v>1199.9999999999998</v>
          </cell>
          <cell r="BN32">
            <v>1327.1305413473522</v>
          </cell>
          <cell r="BO32">
            <v>1085.0477440885795</v>
          </cell>
          <cell r="BP32">
            <v>1141.0772510686097</v>
          </cell>
          <cell r="BQ32">
            <v>1261.9653916081941</v>
          </cell>
          <cell r="BR32">
            <v>1261.9653916081941</v>
          </cell>
          <cell r="BS32">
            <v>1395.6606777721715</v>
          </cell>
          <cell r="BT32">
            <v>1141.0772510686097</v>
          </cell>
          <cell r="BU32">
            <v>1141.0772510686097</v>
          </cell>
          <cell r="BV32">
            <v>1199.9999999999995</v>
          </cell>
          <cell r="BW32">
            <v>1199.9999999999998</v>
          </cell>
          <cell r="BX32">
            <v>1141.0772510686099</v>
          </cell>
          <cell r="BY32">
            <v>1261.9653916081941</v>
          </cell>
          <cell r="BZ32">
            <v>1261.9653916081941</v>
          </cell>
          <cell r="CA32">
            <v>1261.9653916081941</v>
          </cell>
          <cell r="CB32">
            <v>981.10717245976286</v>
          </cell>
          <cell r="CC32">
            <v>1031.7694142523274</v>
          </cell>
          <cell r="CD32">
            <v>1261.9653916081938</v>
          </cell>
          <cell r="CE32">
            <v>1085.0477440885795</v>
          </cell>
          <cell r="CF32">
            <v>1085.0477440885795</v>
          </cell>
          <cell r="CG32">
            <v>1031.7694142523274</v>
          </cell>
          <cell r="CH32">
            <v>1199.9999999999995</v>
          </cell>
          <cell r="CI32">
            <v>1395.6606777721715</v>
          </cell>
          <cell r="CJ32">
            <v>1199.9999999999995</v>
          </cell>
          <cell r="CK32">
            <v>1085.0477440885795</v>
          </cell>
          <cell r="CL32">
            <v>1199.9999999999998</v>
          </cell>
          <cell r="CM32">
            <v>1261.9653916081941</v>
          </cell>
          <cell r="CN32">
            <v>1031.7694142523274</v>
          </cell>
          <cell r="CO32">
            <v>1327.1305413473522</v>
          </cell>
          <cell r="CP32">
            <v>1031.7694142523271</v>
          </cell>
          <cell r="CQ32">
            <v>1467.7295614807633</v>
          </cell>
          <cell r="CR32">
            <v>1085.0477440885795</v>
          </cell>
          <cell r="CS32">
            <v>1467.7295614807631</v>
          </cell>
          <cell r="CT32">
            <v>981.10717245976286</v>
          </cell>
          <cell r="CU32">
            <v>1199.9999999999995</v>
          </cell>
          <cell r="CV32">
            <v>1200</v>
          </cell>
          <cell r="CW32">
            <v>1141.0772510686097</v>
          </cell>
          <cell r="CX32">
            <v>1261.9653916081936</v>
          </cell>
          <cell r="CY32">
            <v>1467.7295614807631</v>
          </cell>
        </row>
        <row r="33">
          <cell r="D33">
            <v>1294.1378648840334</v>
          </cell>
          <cell r="E33">
            <v>1170.167809026693</v>
          </cell>
          <cell r="F33">
            <v>1294.1378648840334</v>
          </cell>
          <cell r="G33">
            <v>1170.1678090266935</v>
          </cell>
          <cell r="H33">
            <v>1170.167809026693</v>
          </cell>
          <cell r="I33">
            <v>1112.7098890109644</v>
          </cell>
          <cell r="J33">
            <v>1170.167809026693</v>
          </cell>
          <cell r="K33">
            <v>1230.5927311380613</v>
          </cell>
          <cell r="L33">
            <v>1664.6063175329095</v>
          </cell>
          <cell r="M33">
            <v>1230.592731138061</v>
          </cell>
          <cell r="N33">
            <v>1230.5927311380608</v>
          </cell>
          <cell r="O33">
            <v>1431.2415710013786</v>
          </cell>
          <cell r="P33">
            <v>1431.2415710013786</v>
          </cell>
          <cell r="Q33">
            <v>1170.167809026693</v>
          </cell>
          <cell r="R33">
            <v>1505.1477746955679</v>
          </cell>
          <cell r="S33">
            <v>1360.9643312111432</v>
          </cell>
          <cell r="T33">
            <v>1058.0732844912411</v>
          </cell>
          <cell r="U33">
            <v>1058.0732844912411</v>
          </cell>
          <cell r="V33">
            <v>1431.2415710013786</v>
          </cell>
          <cell r="W33">
            <v>1505.1477746955677</v>
          </cell>
          <cell r="X33">
            <v>1431.2415710013786</v>
          </cell>
          <cell r="Y33">
            <v>1112.7098890109644</v>
          </cell>
          <cell r="Z33">
            <v>1294.1378648840337</v>
          </cell>
          <cell r="AA33">
            <v>1294.1378648840337</v>
          </cell>
          <cell r="AB33">
            <v>1170.167809026693</v>
          </cell>
          <cell r="AC33">
            <v>1170.1678090266935</v>
          </cell>
          <cell r="AD33">
            <v>1431.2415710013781</v>
          </cell>
          <cell r="AE33">
            <v>1170.167809026693</v>
          </cell>
          <cell r="AF33">
            <v>1230.5927311380608</v>
          </cell>
          <cell r="AG33">
            <v>1170.167809026693</v>
          </cell>
          <cell r="AH33">
            <v>1112.7098890109644</v>
          </cell>
          <cell r="AI33">
            <v>1230.5927311380608</v>
          </cell>
          <cell r="AJ33">
            <v>1058.0732844912411</v>
          </cell>
          <cell r="AK33">
            <v>1058.0732844912411</v>
          </cell>
          <cell r="AL33">
            <v>1294.1378648840339</v>
          </cell>
          <cell r="AM33">
            <v>1230.5927311380613</v>
          </cell>
          <cell r="AN33">
            <v>1360.9643312111432</v>
          </cell>
          <cell r="AO33">
            <v>1170.167809026693</v>
          </cell>
          <cell r="AP33">
            <v>1058.0732844912411</v>
          </cell>
          <cell r="AQ33">
            <v>1230.5927311380613</v>
          </cell>
          <cell r="AR33">
            <v>1294.1378648840339</v>
          </cell>
          <cell r="AS33">
            <v>1170.167809026693</v>
          </cell>
          <cell r="AT33">
            <v>1230.5927311380613</v>
          </cell>
          <cell r="AU33">
            <v>1170.167809026693</v>
          </cell>
          <cell r="AV33">
            <v>1294.1378648840339</v>
          </cell>
          <cell r="AW33">
            <v>1112.7098890109644</v>
          </cell>
          <cell r="AX33">
            <v>1230.5927311380613</v>
          </cell>
          <cell r="AY33">
            <v>1058.0732844912411</v>
          </cell>
          <cell r="AZ33">
            <v>1230.592731138061</v>
          </cell>
          <cell r="BA33">
            <v>1112.7098890109644</v>
          </cell>
          <cell r="BB33">
            <v>1170.1678090266935</v>
          </cell>
          <cell r="BC33">
            <v>1294.1378648840337</v>
          </cell>
          <cell r="BD33">
            <v>1230.5927311380613</v>
          </cell>
          <cell r="BE33">
            <v>1170.167809026693</v>
          </cell>
          <cell r="BF33">
            <v>1058.0732844912411</v>
          </cell>
          <cell r="BG33">
            <v>1170.167809026693</v>
          </cell>
          <cell r="BH33">
            <v>1170.167809026693</v>
          </cell>
          <cell r="BI33">
            <v>1170.1678090266932</v>
          </cell>
          <cell r="BJ33">
            <v>1360.9643312111432</v>
          </cell>
          <cell r="BK33">
            <v>1360.9643312111432</v>
          </cell>
          <cell r="BL33">
            <v>1112.7098890109644</v>
          </cell>
          <cell r="BM33">
            <v>1170.1678090266932</v>
          </cell>
          <cell r="BN33">
            <v>1294.1378648840339</v>
          </cell>
          <cell r="BO33">
            <v>1058.0732844912411</v>
          </cell>
          <cell r="BP33">
            <v>1170.167809026693</v>
          </cell>
          <cell r="BQ33">
            <v>1230.5927311380613</v>
          </cell>
          <cell r="BR33">
            <v>1230.5927311380613</v>
          </cell>
          <cell r="BS33">
            <v>1431.2415710013786</v>
          </cell>
          <cell r="BT33">
            <v>1170.167809026693</v>
          </cell>
          <cell r="BU33">
            <v>1112.7098890109644</v>
          </cell>
          <cell r="BV33">
            <v>1230.5927311380608</v>
          </cell>
          <cell r="BW33">
            <v>1230.592731138061</v>
          </cell>
          <cell r="BX33">
            <v>1170.1678090266932</v>
          </cell>
          <cell r="BY33">
            <v>1230.5927311380613</v>
          </cell>
          <cell r="BZ33">
            <v>1230.5927311380613</v>
          </cell>
          <cell r="CA33">
            <v>1230.5927311380613</v>
          </cell>
          <cell r="CB33">
            <v>956.7166920146791</v>
          </cell>
          <cell r="CC33">
            <v>1006.1194624136672</v>
          </cell>
          <cell r="CD33">
            <v>1294.1378648840337</v>
          </cell>
          <cell r="CE33">
            <v>1058.0732844912411</v>
          </cell>
          <cell r="CF33">
            <v>1058.0732844912411</v>
          </cell>
          <cell r="CG33">
            <v>1006.1194624136672</v>
          </cell>
          <cell r="CH33">
            <v>1230.5927311380608</v>
          </cell>
          <cell r="CI33">
            <v>1431.2415710013786</v>
          </cell>
          <cell r="CJ33">
            <v>1170.167809026693</v>
          </cell>
          <cell r="CK33">
            <v>1112.7098890109644</v>
          </cell>
          <cell r="CL33">
            <v>1170.1678090266932</v>
          </cell>
          <cell r="CM33">
            <v>1294.1378648840339</v>
          </cell>
          <cell r="CN33">
            <v>1006.1194624136672</v>
          </cell>
          <cell r="CO33">
            <v>1294.1378648840339</v>
          </cell>
          <cell r="CP33">
            <v>1006.119462413667</v>
          </cell>
          <cell r="CQ33">
            <v>1431.2415710013786</v>
          </cell>
          <cell r="CR33">
            <v>1112.7098890109644</v>
          </cell>
          <cell r="CS33">
            <v>1431.2415710013784</v>
          </cell>
          <cell r="CT33">
            <v>1006.1194624136671</v>
          </cell>
          <cell r="CU33">
            <v>1230.5927311380608</v>
          </cell>
          <cell r="CV33">
            <v>1170.1678090266935</v>
          </cell>
          <cell r="CW33">
            <v>1112.7098890109644</v>
          </cell>
          <cell r="CX33">
            <v>1230.5927311380608</v>
          </cell>
          <cell r="CY33">
            <v>1431.2415710013784</v>
          </cell>
        </row>
        <row r="34">
          <cell r="D34">
            <v>1261.9653916081936</v>
          </cell>
          <cell r="E34">
            <v>1199.9999999999995</v>
          </cell>
          <cell r="F34">
            <v>1261.9653916081936</v>
          </cell>
          <cell r="G34">
            <v>1141.0772510686099</v>
          </cell>
          <cell r="H34">
            <v>1199.9999999999995</v>
          </cell>
          <cell r="I34">
            <v>1085.0477440885795</v>
          </cell>
          <cell r="J34">
            <v>1199.9999999999995</v>
          </cell>
          <cell r="K34">
            <v>1200</v>
          </cell>
          <cell r="L34">
            <v>1707.043695468745</v>
          </cell>
          <cell r="M34">
            <v>1199.9999999999998</v>
          </cell>
          <cell r="N34">
            <v>1261.9653916081936</v>
          </cell>
          <cell r="O34">
            <v>1467.7295614807633</v>
          </cell>
          <cell r="P34">
            <v>1467.7295614807633</v>
          </cell>
          <cell r="Q34">
            <v>1199.9999999999995</v>
          </cell>
          <cell r="R34">
            <v>1467.7295614807631</v>
          </cell>
          <cell r="S34">
            <v>1327.1305413473522</v>
          </cell>
          <cell r="T34">
            <v>1031.7694142523274</v>
          </cell>
          <cell r="U34">
            <v>1085.0477440885795</v>
          </cell>
          <cell r="V34">
            <v>1395.6606777721715</v>
          </cell>
          <cell r="W34">
            <v>1467.7295614807629</v>
          </cell>
          <cell r="X34">
            <v>1467.7295614807633</v>
          </cell>
          <cell r="Y34">
            <v>1085.0477440885795</v>
          </cell>
          <cell r="Z34">
            <v>1261.9653916081938</v>
          </cell>
          <cell r="AA34">
            <v>1261.9653916081938</v>
          </cell>
          <cell r="AB34">
            <v>1199.9999999999995</v>
          </cell>
          <cell r="AC34">
            <v>1141.0772510686099</v>
          </cell>
          <cell r="AD34">
            <v>1467.7295614807629</v>
          </cell>
          <cell r="AE34">
            <v>1199.9999999999995</v>
          </cell>
          <cell r="AF34">
            <v>1261.9653916081936</v>
          </cell>
          <cell r="AG34">
            <v>1141.0772510686097</v>
          </cell>
          <cell r="AH34">
            <v>1141.0772510686097</v>
          </cell>
          <cell r="AI34">
            <v>1199.9999999999995</v>
          </cell>
          <cell r="AJ34">
            <v>1031.7694142523274</v>
          </cell>
          <cell r="AK34">
            <v>1085.0477440885795</v>
          </cell>
          <cell r="AL34">
            <v>1327.1305413473522</v>
          </cell>
          <cell r="AM34">
            <v>1200</v>
          </cell>
          <cell r="AN34">
            <v>1395.6606777721715</v>
          </cell>
          <cell r="AO34">
            <v>1199.9999999999995</v>
          </cell>
          <cell r="AP34">
            <v>1031.7694142523274</v>
          </cell>
          <cell r="AQ34">
            <v>1200</v>
          </cell>
          <cell r="AR34">
            <v>1327.1305413473522</v>
          </cell>
          <cell r="AS34">
            <v>1199.9999999999995</v>
          </cell>
          <cell r="AT34">
            <v>1200</v>
          </cell>
          <cell r="AU34">
            <v>1141.0772510686097</v>
          </cell>
          <cell r="AV34">
            <v>1261.9653916081941</v>
          </cell>
          <cell r="AW34">
            <v>1141.0772510686097</v>
          </cell>
          <cell r="AX34">
            <v>1200</v>
          </cell>
          <cell r="AY34">
            <v>1085.0477440885795</v>
          </cell>
          <cell r="AZ34">
            <v>1199.9999999999998</v>
          </cell>
          <cell r="BA34">
            <v>1085.0477440885795</v>
          </cell>
          <cell r="BB34">
            <v>1141.0772510686099</v>
          </cell>
          <cell r="BC34">
            <v>1327.1305413473519</v>
          </cell>
          <cell r="BD34">
            <v>1200</v>
          </cell>
          <cell r="BE34">
            <v>1141.0772510686097</v>
          </cell>
          <cell r="BF34">
            <v>1085.0477440885795</v>
          </cell>
          <cell r="BG34">
            <v>1141.0772510686097</v>
          </cell>
          <cell r="BH34">
            <v>1199.9999999999995</v>
          </cell>
          <cell r="BI34">
            <v>1199.9999999999998</v>
          </cell>
          <cell r="BJ34">
            <v>1327.1305413473522</v>
          </cell>
          <cell r="BK34">
            <v>1327.1305413473522</v>
          </cell>
          <cell r="BL34">
            <v>1141.0772510686097</v>
          </cell>
          <cell r="BM34">
            <v>1141.0772510686097</v>
          </cell>
          <cell r="BN34">
            <v>1327.1305413473522</v>
          </cell>
          <cell r="BO34">
            <v>1085.0477440885795</v>
          </cell>
          <cell r="BP34">
            <v>1141.0772510686097</v>
          </cell>
          <cell r="BQ34">
            <v>1200</v>
          </cell>
          <cell r="BR34">
            <v>1261.9653916081941</v>
          </cell>
          <cell r="BS34">
            <v>1467.7295614807633</v>
          </cell>
          <cell r="BT34">
            <v>1199.9999999999995</v>
          </cell>
          <cell r="BU34">
            <v>1141.0772510686097</v>
          </cell>
          <cell r="BV34">
            <v>1199.9999999999995</v>
          </cell>
          <cell r="BW34">
            <v>1261.9653916081938</v>
          </cell>
          <cell r="BX34">
            <v>1141.0772510686097</v>
          </cell>
          <cell r="BY34">
            <v>1261.9653916081941</v>
          </cell>
          <cell r="BZ34">
            <v>1200</v>
          </cell>
          <cell r="CA34">
            <v>1200</v>
          </cell>
          <cell r="CB34">
            <v>981.10717245976286</v>
          </cell>
          <cell r="CC34">
            <v>1031.7694142523274</v>
          </cell>
          <cell r="CD34">
            <v>1327.1305413473519</v>
          </cell>
          <cell r="CE34">
            <v>1031.7694142523274</v>
          </cell>
          <cell r="CF34">
            <v>1031.7694142523274</v>
          </cell>
          <cell r="CG34">
            <v>1031.7694142523274</v>
          </cell>
          <cell r="CH34">
            <v>1261.9653916081936</v>
          </cell>
          <cell r="CI34">
            <v>1467.7295614807633</v>
          </cell>
          <cell r="CJ34">
            <v>1199.9999999999995</v>
          </cell>
          <cell r="CK34">
            <v>1085.0477440885795</v>
          </cell>
          <cell r="CL34">
            <v>1141.0772510686097</v>
          </cell>
          <cell r="CM34">
            <v>1261.9653916081941</v>
          </cell>
          <cell r="CN34">
            <v>981.10717245976286</v>
          </cell>
          <cell r="CO34">
            <v>1261.9653916081941</v>
          </cell>
          <cell r="CP34">
            <v>981.10717245976264</v>
          </cell>
          <cell r="CQ34">
            <v>1395.6606777721715</v>
          </cell>
          <cell r="CR34">
            <v>1085.0477440885795</v>
          </cell>
          <cell r="CS34">
            <v>1467.7295614807631</v>
          </cell>
          <cell r="CT34">
            <v>981.10717245976275</v>
          </cell>
          <cell r="CU34">
            <v>1261.9653916081936</v>
          </cell>
          <cell r="CV34">
            <v>1200</v>
          </cell>
          <cell r="CW34">
            <v>1141.0772510686097</v>
          </cell>
          <cell r="CX34">
            <v>1199.9999999999995</v>
          </cell>
          <cell r="CY34">
            <v>1467.7295614807631</v>
          </cell>
        </row>
        <row r="35">
          <cell r="D35">
            <v>1230.5927311380608</v>
          </cell>
          <cell r="E35">
            <v>1230.5927311380608</v>
          </cell>
          <cell r="F35">
            <v>1294.1378648840334</v>
          </cell>
          <cell r="G35">
            <v>1112.7098890109644</v>
          </cell>
          <cell r="H35">
            <v>1230.5927311380608</v>
          </cell>
          <cell r="I35">
            <v>1058.0732844912411</v>
          </cell>
          <cell r="J35">
            <v>1230.5927311380608</v>
          </cell>
          <cell r="K35">
            <v>1170.1678090266935</v>
          </cell>
          <cell r="L35">
            <v>1750.5629694824099</v>
          </cell>
          <cell r="M35">
            <v>1170.1678090266932</v>
          </cell>
          <cell r="N35">
            <v>1230.5927311380608</v>
          </cell>
          <cell r="O35">
            <v>1505.1477746955679</v>
          </cell>
          <cell r="P35">
            <v>1431.2415710013786</v>
          </cell>
          <cell r="Q35">
            <v>1170.167809026693</v>
          </cell>
          <cell r="R35">
            <v>1505.1477746955677</v>
          </cell>
          <cell r="S35">
            <v>1360.9643312111432</v>
          </cell>
          <cell r="T35">
            <v>1006.1194624136672</v>
          </cell>
          <cell r="U35">
            <v>1112.7098890109644</v>
          </cell>
          <cell r="V35">
            <v>1431.2415710013786</v>
          </cell>
          <cell r="W35">
            <v>1431.2415710013781</v>
          </cell>
          <cell r="X35">
            <v>1431.2415710013786</v>
          </cell>
          <cell r="Y35">
            <v>1112.7098890109644</v>
          </cell>
          <cell r="Z35">
            <v>1230.592731138061</v>
          </cell>
          <cell r="AA35">
            <v>1230.592731138061</v>
          </cell>
          <cell r="AB35">
            <v>1230.5927311380608</v>
          </cell>
          <cell r="AC35">
            <v>1112.7098890109644</v>
          </cell>
          <cell r="AD35">
            <v>1431.2415710013781</v>
          </cell>
          <cell r="AE35">
            <v>1170.167809026693</v>
          </cell>
          <cell r="AF35">
            <v>1294.1378648840334</v>
          </cell>
          <cell r="AG35">
            <v>1170.167809026693</v>
          </cell>
          <cell r="AH35">
            <v>1112.7098890109644</v>
          </cell>
          <cell r="AI35">
            <v>1230.5927311380608</v>
          </cell>
          <cell r="AJ35">
            <v>1058.0732844912411</v>
          </cell>
          <cell r="AK35">
            <v>1112.7098890109644</v>
          </cell>
          <cell r="AL35">
            <v>1294.1378648840339</v>
          </cell>
          <cell r="AM35">
            <v>1170.1678090266935</v>
          </cell>
          <cell r="AN35">
            <v>1360.9643312111432</v>
          </cell>
          <cell r="AO35">
            <v>1230.5927311380608</v>
          </cell>
          <cell r="AP35">
            <v>1058.0732844912411</v>
          </cell>
          <cell r="AQ35">
            <v>1230.5927311380613</v>
          </cell>
          <cell r="AR35">
            <v>1360.9643312111432</v>
          </cell>
          <cell r="AS35">
            <v>1170.167809026693</v>
          </cell>
          <cell r="AT35">
            <v>1230.5927311380613</v>
          </cell>
          <cell r="AU35">
            <v>1170.167809026693</v>
          </cell>
          <cell r="AV35">
            <v>1294.1378648840339</v>
          </cell>
          <cell r="AW35">
            <v>1112.7098890109644</v>
          </cell>
          <cell r="AX35">
            <v>1170.1678090266935</v>
          </cell>
          <cell r="AY35">
            <v>1058.0732844912411</v>
          </cell>
          <cell r="AZ35">
            <v>1170.1678090266932</v>
          </cell>
          <cell r="BA35">
            <v>1112.7098890109644</v>
          </cell>
          <cell r="BB35">
            <v>1112.7098890109644</v>
          </cell>
          <cell r="BC35">
            <v>1360.964331211143</v>
          </cell>
          <cell r="BD35">
            <v>1230.5927311380613</v>
          </cell>
          <cell r="BE35">
            <v>1170.167809026693</v>
          </cell>
          <cell r="BF35">
            <v>1058.0732844912411</v>
          </cell>
          <cell r="BG35">
            <v>1112.7098890109644</v>
          </cell>
          <cell r="BH35">
            <v>1230.5927311380608</v>
          </cell>
          <cell r="BI35">
            <v>1230.592731138061</v>
          </cell>
          <cell r="BJ35">
            <v>1294.1378648840339</v>
          </cell>
          <cell r="BK35">
            <v>1294.1378648840339</v>
          </cell>
          <cell r="BL35">
            <v>1170.167809026693</v>
          </cell>
          <cell r="BM35">
            <v>1170.167809026693</v>
          </cell>
          <cell r="BN35">
            <v>1294.1378648840339</v>
          </cell>
          <cell r="BO35">
            <v>1112.7098890109644</v>
          </cell>
          <cell r="BP35">
            <v>1112.7098890109644</v>
          </cell>
          <cell r="BQ35">
            <v>1230.5927311380613</v>
          </cell>
          <cell r="BR35">
            <v>1294.1378648840339</v>
          </cell>
          <cell r="BS35">
            <v>1505.1477746955679</v>
          </cell>
          <cell r="BT35">
            <v>1230.5927311380608</v>
          </cell>
          <cell r="BU35">
            <v>1170.167809026693</v>
          </cell>
          <cell r="BV35">
            <v>1170.167809026693</v>
          </cell>
          <cell r="BW35">
            <v>1230.592731138061</v>
          </cell>
          <cell r="BX35">
            <v>1170.167809026693</v>
          </cell>
          <cell r="BY35">
            <v>1294.1378648840339</v>
          </cell>
          <cell r="BZ35">
            <v>1170.1678090266935</v>
          </cell>
          <cell r="CA35">
            <v>1230.5927311380613</v>
          </cell>
          <cell r="CB35">
            <v>956.7166920146791</v>
          </cell>
          <cell r="CC35">
            <v>1058.0732844912411</v>
          </cell>
          <cell r="CD35">
            <v>1294.1378648840337</v>
          </cell>
          <cell r="CE35">
            <v>1058.0732844912411</v>
          </cell>
          <cell r="CF35">
            <v>1006.1194624136672</v>
          </cell>
          <cell r="CG35">
            <v>1058.0732844912411</v>
          </cell>
          <cell r="CH35">
            <v>1294.1378648840334</v>
          </cell>
          <cell r="CI35">
            <v>1431.2415710013786</v>
          </cell>
          <cell r="CJ35">
            <v>1170.167809026693</v>
          </cell>
          <cell r="CK35">
            <v>1112.7098890109644</v>
          </cell>
          <cell r="CL35">
            <v>1112.7098890109644</v>
          </cell>
          <cell r="CM35">
            <v>1230.5927311380613</v>
          </cell>
          <cell r="CN35">
            <v>956.7166920146791</v>
          </cell>
          <cell r="CO35">
            <v>1230.5927311380613</v>
          </cell>
          <cell r="CP35">
            <v>956.71669201467887</v>
          </cell>
          <cell r="CQ35">
            <v>1360.9643312111432</v>
          </cell>
          <cell r="CR35">
            <v>1058.0732844912411</v>
          </cell>
          <cell r="CS35">
            <v>1431.2415710013784</v>
          </cell>
          <cell r="CT35">
            <v>956.71669201467898</v>
          </cell>
          <cell r="CU35">
            <v>1294.1378648840334</v>
          </cell>
          <cell r="CV35">
            <v>1230.5927311380613</v>
          </cell>
          <cell r="CW35">
            <v>1170.167809026693</v>
          </cell>
          <cell r="CX35">
            <v>1230.5927311380608</v>
          </cell>
          <cell r="CY35">
            <v>1505.1477746955677</v>
          </cell>
        </row>
        <row r="36">
          <cell r="D36">
            <v>1261.9653916081936</v>
          </cell>
          <cell r="E36">
            <v>1199.9999999999995</v>
          </cell>
          <cell r="F36">
            <v>1261.9653916081936</v>
          </cell>
          <cell r="G36">
            <v>1141.0772510686097</v>
          </cell>
          <cell r="H36">
            <v>1261.9653916081936</v>
          </cell>
          <cell r="I36">
            <v>1031.7694142523274</v>
          </cell>
          <cell r="J36">
            <v>1199.9999999999995</v>
          </cell>
          <cell r="K36">
            <v>1200</v>
          </cell>
          <cell r="L36">
            <v>1795.191721370428</v>
          </cell>
          <cell r="M36">
            <v>1199.9999999999998</v>
          </cell>
          <cell r="N36">
            <v>1199.9999999999995</v>
          </cell>
          <cell r="O36">
            <v>1467.7295614807631</v>
          </cell>
          <cell r="P36">
            <v>1395.6606777721715</v>
          </cell>
          <cell r="Q36">
            <v>1141.0772510686097</v>
          </cell>
          <cell r="R36">
            <v>1543.5199256908284</v>
          </cell>
          <cell r="S36">
            <v>1395.6606777721715</v>
          </cell>
          <cell r="T36">
            <v>981.10717245976286</v>
          </cell>
          <cell r="U36">
            <v>1141.0772510686097</v>
          </cell>
          <cell r="V36">
            <v>1467.7295614807633</v>
          </cell>
          <cell r="W36">
            <v>1395.6606777721711</v>
          </cell>
          <cell r="X36">
            <v>1467.7295614807633</v>
          </cell>
          <cell r="Y36">
            <v>1141.0772510686097</v>
          </cell>
          <cell r="Z36">
            <v>1261.9653916081938</v>
          </cell>
          <cell r="AA36">
            <v>1199.9999999999998</v>
          </cell>
          <cell r="AB36">
            <v>1199.9999999999995</v>
          </cell>
          <cell r="AC36">
            <v>1141.0772510686097</v>
          </cell>
          <cell r="AD36">
            <v>1467.7295614807629</v>
          </cell>
          <cell r="AE36">
            <v>1141.0772510686097</v>
          </cell>
          <cell r="AF36">
            <v>1261.9653916081936</v>
          </cell>
          <cell r="AG36">
            <v>1199.9999999999995</v>
          </cell>
          <cell r="AH36">
            <v>1085.0477440885795</v>
          </cell>
          <cell r="AI36">
            <v>1261.9653916081936</v>
          </cell>
          <cell r="AJ36">
            <v>1085.0477440885795</v>
          </cell>
          <cell r="AK36">
            <v>1085.0477440885795</v>
          </cell>
          <cell r="AL36">
            <v>1327.1305413473522</v>
          </cell>
          <cell r="AM36">
            <v>1200</v>
          </cell>
          <cell r="AN36">
            <v>1327.1305413473522</v>
          </cell>
          <cell r="AO36">
            <v>1261.9653916081936</v>
          </cell>
          <cell r="AP36">
            <v>1031.7694142523274</v>
          </cell>
          <cell r="AQ36">
            <v>1200</v>
          </cell>
          <cell r="AR36">
            <v>1395.6606777721715</v>
          </cell>
          <cell r="AS36">
            <v>1141.0772510686097</v>
          </cell>
          <cell r="AT36">
            <v>1200</v>
          </cell>
          <cell r="AU36">
            <v>1199.9999999999995</v>
          </cell>
          <cell r="AV36">
            <v>1261.9653916081941</v>
          </cell>
          <cell r="AW36">
            <v>1141.0772510686097</v>
          </cell>
          <cell r="AX36">
            <v>1141.0772510686099</v>
          </cell>
          <cell r="AY36">
            <v>1085.0477440885795</v>
          </cell>
          <cell r="AZ36">
            <v>1141.0772510686097</v>
          </cell>
          <cell r="BA36">
            <v>1085.0477440885795</v>
          </cell>
          <cell r="BB36">
            <v>1141.0772510686097</v>
          </cell>
          <cell r="BC36">
            <v>1327.1305413473519</v>
          </cell>
          <cell r="BD36">
            <v>1261.9653916081941</v>
          </cell>
          <cell r="BE36">
            <v>1141.0772510686097</v>
          </cell>
          <cell r="BF36">
            <v>1085.0477440885795</v>
          </cell>
          <cell r="BG36">
            <v>1085.0477440885795</v>
          </cell>
          <cell r="BH36">
            <v>1261.9653916081936</v>
          </cell>
          <cell r="BI36">
            <v>1261.9653916081938</v>
          </cell>
          <cell r="BJ36">
            <v>1327.1305413473522</v>
          </cell>
          <cell r="BK36">
            <v>1261.9653916081941</v>
          </cell>
          <cell r="BL36">
            <v>1199.9999999999995</v>
          </cell>
          <cell r="BM36">
            <v>1199.9999999999995</v>
          </cell>
          <cell r="BN36">
            <v>1327.1305413473522</v>
          </cell>
          <cell r="BO36">
            <v>1085.0477440885795</v>
          </cell>
          <cell r="BP36">
            <v>1085.0477440885795</v>
          </cell>
          <cell r="BQ36">
            <v>1261.9653916081941</v>
          </cell>
          <cell r="BR36">
            <v>1327.1305413473522</v>
          </cell>
          <cell r="BS36">
            <v>1467.7295614807631</v>
          </cell>
          <cell r="BT36">
            <v>1261.9653916081936</v>
          </cell>
          <cell r="BU36">
            <v>1199.9999999999995</v>
          </cell>
          <cell r="BV36">
            <v>1199.9999999999995</v>
          </cell>
          <cell r="BW36">
            <v>1261.9653916081938</v>
          </cell>
          <cell r="BX36">
            <v>1141.0772510686097</v>
          </cell>
          <cell r="BY36">
            <v>1261.9653916081941</v>
          </cell>
          <cell r="BZ36">
            <v>1141.0772510686099</v>
          </cell>
          <cell r="CA36">
            <v>1200</v>
          </cell>
          <cell r="CB36">
            <v>981.10717245976286</v>
          </cell>
          <cell r="CC36">
            <v>1031.7694142523274</v>
          </cell>
          <cell r="CD36">
            <v>1261.9653916081938</v>
          </cell>
          <cell r="CE36">
            <v>1085.0477440885795</v>
          </cell>
          <cell r="CF36">
            <v>981.10717245976286</v>
          </cell>
          <cell r="CG36">
            <v>1085.0477440885795</v>
          </cell>
          <cell r="CH36">
            <v>1261.9653916081936</v>
          </cell>
          <cell r="CI36">
            <v>1467.7295614807633</v>
          </cell>
          <cell r="CJ36">
            <v>1199.9999999999995</v>
          </cell>
          <cell r="CK36">
            <v>1085.0477440885795</v>
          </cell>
          <cell r="CL36">
            <v>1085.0477440885795</v>
          </cell>
          <cell r="CM36">
            <v>1261.9653916081941</v>
          </cell>
          <cell r="CN36">
            <v>981.10717245976286</v>
          </cell>
          <cell r="CO36">
            <v>1261.9653916081941</v>
          </cell>
          <cell r="CP36">
            <v>981.10717245976264</v>
          </cell>
          <cell r="CQ36">
            <v>1395.6606777721715</v>
          </cell>
          <cell r="CR36">
            <v>1031.7694142523274</v>
          </cell>
          <cell r="CS36">
            <v>1395.6606777721713</v>
          </cell>
          <cell r="CT36">
            <v>932.93256279506886</v>
          </cell>
          <cell r="CU36">
            <v>1327.1305413473517</v>
          </cell>
          <cell r="CV36">
            <v>1261.9653916081941</v>
          </cell>
          <cell r="CW36">
            <v>1199.9999999999995</v>
          </cell>
          <cell r="CX36">
            <v>1199.9999999999995</v>
          </cell>
          <cell r="CY36">
            <v>1467.7295614807629</v>
          </cell>
        </row>
        <row r="37">
          <cell r="D37">
            <v>1230.5927311380608</v>
          </cell>
          <cell r="E37">
            <v>1230.5927311380608</v>
          </cell>
          <cell r="F37">
            <v>1294.1378648840334</v>
          </cell>
          <cell r="G37">
            <v>1170.167809026693</v>
          </cell>
          <cell r="H37">
            <v>1230.5927311380608</v>
          </cell>
          <cell r="I37">
            <v>1006.1194624136672</v>
          </cell>
          <cell r="J37">
            <v>1230.5927311380608</v>
          </cell>
          <cell r="K37">
            <v>1230.5927311380613</v>
          </cell>
          <cell r="L37">
            <v>1840.9582360980605</v>
          </cell>
          <cell r="M37">
            <v>1230.592731138061</v>
          </cell>
          <cell r="N37">
            <v>1170.167809026693</v>
          </cell>
          <cell r="O37">
            <v>1431.2415710013784</v>
          </cell>
          <cell r="P37">
            <v>1431.2415710013786</v>
          </cell>
          <cell r="Q37">
            <v>1170.167809026693</v>
          </cell>
          <cell r="R37">
            <v>1505.1477746955677</v>
          </cell>
          <cell r="S37">
            <v>1360.9643312111432</v>
          </cell>
          <cell r="T37">
            <v>1006.1194624136671</v>
          </cell>
          <cell r="U37">
            <v>1112.7098890109644</v>
          </cell>
          <cell r="V37">
            <v>1505.1477746955679</v>
          </cell>
          <cell r="W37">
            <v>1360.9643312111427</v>
          </cell>
          <cell r="X37">
            <v>1505.1477746955679</v>
          </cell>
          <cell r="Y37">
            <v>1112.7098890109644</v>
          </cell>
          <cell r="Z37">
            <v>1230.592731138061</v>
          </cell>
          <cell r="AA37">
            <v>1170.1678090266932</v>
          </cell>
          <cell r="AB37">
            <v>1230.5927311380608</v>
          </cell>
          <cell r="AC37">
            <v>1170.167809026693</v>
          </cell>
          <cell r="AD37">
            <v>1431.2415710013781</v>
          </cell>
          <cell r="AE37">
            <v>1112.7098890109644</v>
          </cell>
          <cell r="AF37">
            <v>1294.1378648840334</v>
          </cell>
          <cell r="AG37">
            <v>1170.167809026693</v>
          </cell>
          <cell r="AH37">
            <v>1058.0732844912411</v>
          </cell>
          <cell r="AI37">
            <v>1294.1378648840334</v>
          </cell>
          <cell r="AJ37">
            <v>1112.7098890109644</v>
          </cell>
          <cell r="AK37">
            <v>1058.0732844912411</v>
          </cell>
          <cell r="AL37">
            <v>1294.1378648840339</v>
          </cell>
          <cell r="AM37">
            <v>1230.5927311380613</v>
          </cell>
          <cell r="AN37">
            <v>1294.1378648840339</v>
          </cell>
          <cell r="AO37">
            <v>1230.5927311380608</v>
          </cell>
          <cell r="AP37">
            <v>1006.1194624136672</v>
          </cell>
          <cell r="AQ37">
            <v>1170.1678090266935</v>
          </cell>
          <cell r="AR37">
            <v>1431.2415710013786</v>
          </cell>
          <cell r="AS37">
            <v>1112.7098890109644</v>
          </cell>
          <cell r="AT37">
            <v>1230.5927311380613</v>
          </cell>
          <cell r="AU37">
            <v>1230.5927311380608</v>
          </cell>
          <cell r="AV37">
            <v>1230.5927311380613</v>
          </cell>
          <cell r="AW37">
            <v>1170.167809026693</v>
          </cell>
          <cell r="AX37">
            <v>1170.1678090266932</v>
          </cell>
          <cell r="AY37">
            <v>1058.0732844912411</v>
          </cell>
          <cell r="AZ37">
            <v>1112.7098890109644</v>
          </cell>
          <cell r="BA37">
            <v>1058.0732844912411</v>
          </cell>
          <cell r="BB37">
            <v>1170.167809026693</v>
          </cell>
          <cell r="BC37">
            <v>1360.964331211143</v>
          </cell>
          <cell r="BD37">
            <v>1230.5927311380613</v>
          </cell>
          <cell r="BE37">
            <v>1170.167809026693</v>
          </cell>
          <cell r="BF37">
            <v>1058.0732844912411</v>
          </cell>
          <cell r="BG37">
            <v>1058.0732844912411</v>
          </cell>
          <cell r="BH37">
            <v>1230.5927311380608</v>
          </cell>
          <cell r="BI37">
            <v>1230.592731138061</v>
          </cell>
          <cell r="BJ37">
            <v>1360.9643312111432</v>
          </cell>
          <cell r="BK37">
            <v>1294.1378648840339</v>
          </cell>
          <cell r="BL37">
            <v>1170.167809026693</v>
          </cell>
          <cell r="BM37">
            <v>1170.167809026693</v>
          </cell>
          <cell r="BN37">
            <v>1294.1378648840339</v>
          </cell>
          <cell r="BO37">
            <v>1058.0732844912411</v>
          </cell>
          <cell r="BP37">
            <v>1058.0732844912411</v>
          </cell>
          <cell r="BQ37">
            <v>1294.1378648840339</v>
          </cell>
          <cell r="BR37">
            <v>1294.1378648840339</v>
          </cell>
          <cell r="BS37">
            <v>1505.1477746955677</v>
          </cell>
          <cell r="BT37">
            <v>1294.1378648840334</v>
          </cell>
          <cell r="BU37">
            <v>1230.5927311380608</v>
          </cell>
          <cell r="BV37">
            <v>1170.167809026693</v>
          </cell>
          <cell r="BW37">
            <v>1294.1378648840337</v>
          </cell>
          <cell r="BX37">
            <v>1170.167809026693</v>
          </cell>
          <cell r="BY37">
            <v>1294.1378648840339</v>
          </cell>
          <cell r="BZ37">
            <v>1112.7098890109644</v>
          </cell>
          <cell r="CA37">
            <v>1170.1678090266935</v>
          </cell>
          <cell r="CB37">
            <v>1006.1194624136671</v>
          </cell>
          <cell r="CC37">
            <v>1058.0732844912411</v>
          </cell>
          <cell r="CD37">
            <v>1294.1378648840337</v>
          </cell>
          <cell r="CE37">
            <v>1058.0732844912411</v>
          </cell>
          <cell r="CF37">
            <v>1006.1194624136671</v>
          </cell>
          <cell r="CG37">
            <v>1112.7098890109644</v>
          </cell>
          <cell r="CH37">
            <v>1294.1378648840334</v>
          </cell>
          <cell r="CI37">
            <v>1431.2415710013786</v>
          </cell>
          <cell r="CJ37">
            <v>1170.167809026693</v>
          </cell>
          <cell r="CK37">
            <v>1058.0732844912411</v>
          </cell>
          <cell r="CL37">
            <v>1112.7098890109644</v>
          </cell>
          <cell r="CM37">
            <v>1230.5927311380613</v>
          </cell>
          <cell r="CN37">
            <v>956.7166920146791</v>
          </cell>
          <cell r="CO37">
            <v>1294.1378648840339</v>
          </cell>
          <cell r="CP37">
            <v>956.71669201467887</v>
          </cell>
          <cell r="CQ37">
            <v>1431.2415710013786</v>
          </cell>
          <cell r="CR37">
            <v>1006.1194624136672</v>
          </cell>
          <cell r="CS37">
            <v>1360.964331211143</v>
          </cell>
          <cell r="CT37">
            <v>956.71669201467887</v>
          </cell>
          <cell r="CU37">
            <v>1360.9643312111427</v>
          </cell>
          <cell r="CV37">
            <v>1230.5927311380613</v>
          </cell>
          <cell r="CW37">
            <v>1230.5927311380608</v>
          </cell>
          <cell r="CX37">
            <v>1170.167809026693</v>
          </cell>
          <cell r="CY37">
            <v>1505.1477746955675</v>
          </cell>
        </row>
        <row r="38">
          <cell r="D38">
            <v>1261.9653916081936</v>
          </cell>
          <cell r="E38">
            <v>1261.9653916081936</v>
          </cell>
          <cell r="F38">
            <v>1261.9653916081936</v>
          </cell>
          <cell r="G38">
            <v>1199.9999999999995</v>
          </cell>
          <cell r="H38">
            <v>1261.9653916081936</v>
          </cell>
          <cell r="I38">
            <v>1031.7694142523274</v>
          </cell>
          <cell r="J38">
            <v>1199.9999999999995</v>
          </cell>
          <cell r="K38">
            <v>1261.9653916081941</v>
          </cell>
          <cell r="L38">
            <v>1795.191721370428</v>
          </cell>
          <cell r="M38">
            <v>1199.9999999999998</v>
          </cell>
          <cell r="N38">
            <v>1199.9999999999995</v>
          </cell>
          <cell r="O38">
            <v>1467.7295614807631</v>
          </cell>
          <cell r="P38">
            <v>1467.7295614807633</v>
          </cell>
          <cell r="Q38">
            <v>1141.0772510686097</v>
          </cell>
          <cell r="R38">
            <v>1467.7295614807629</v>
          </cell>
          <cell r="S38">
            <v>1327.1305413473522</v>
          </cell>
          <cell r="T38">
            <v>981.10717245976275</v>
          </cell>
          <cell r="U38">
            <v>1085.0477440885795</v>
          </cell>
          <cell r="V38">
            <v>1543.5199256908286</v>
          </cell>
          <cell r="W38">
            <v>1327.1305413473517</v>
          </cell>
          <cell r="X38">
            <v>1467.7295614807631</v>
          </cell>
          <cell r="Y38">
            <v>1141.0772510686097</v>
          </cell>
          <cell r="Z38">
            <v>1199.9999999999998</v>
          </cell>
          <cell r="AA38">
            <v>1141.0772510686097</v>
          </cell>
          <cell r="AB38">
            <v>1199.9999999999995</v>
          </cell>
          <cell r="AC38">
            <v>1141.0772510686097</v>
          </cell>
          <cell r="AD38">
            <v>1395.6606777721711</v>
          </cell>
          <cell r="AE38">
            <v>1141.0772510686097</v>
          </cell>
          <cell r="AF38">
            <v>1261.9653916081936</v>
          </cell>
          <cell r="AG38">
            <v>1199.9999999999995</v>
          </cell>
          <cell r="AH38">
            <v>1085.0477440885795</v>
          </cell>
          <cell r="AI38">
            <v>1261.9653916081936</v>
          </cell>
          <cell r="AJ38">
            <v>1085.0477440885795</v>
          </cell>
          <cell r="AK38">
            <v>1085.0477440885795</v>
          </cell>
          <cell r="AL38">
            <v>1327.1305413473522</v>
          </cell>
          <cell r="AM38">
            <v>1200</v>
          </cell>
          <cell r="AN38">
            <v>1261.9653916081941</v>
          </cell>
          <cell r="AO38">
            <v>1199.9999999999995</v>
          </cell>
          <cell r="AP38">
            <v>981.10717245976286</v>
          </cell>
          <cell r="AQ38">
            <v>1200</v>
          </cell>
          <cell r="AR38">
            <v>1467.7295614807633</v>
          </cell>
          <cell r="AS38">
            <v>1141.0772510686097</v>
          </cell>
          <cell r="AT38">
            <v>1200</v>
          </cell>
          <cell r="AU38">
            <v>1199.9999999999995</v>
          </cell>
          <cell r="AV38">
            <v>1200</v>
          </cell>
          <cell r="AW38">
            <v>1199.9999999999995</v>
          </cell>
          <cell r="AX38">
            <v>1141.0772510686097</v>
          </cell>
          <cell r="AY38">
            <v>1031.7694142523274</v>
          </cell>
          <cell r="AZ38">
            <v>1141.0772510686097</v>
          </cell>
          <cell r="BA38">
            <v>1031.7694142523274</v>
          </cell>
          <cell r="BB38">
            <v>1141.0772510686097</v>
          </cell>
          <cell r="BC38">
            <v>1395.6606777721713</v>
          </cell>
          <cell r="BD38">
            <v>1261.9653916081941</v>
          </cell>
          <cell r="BE38">
            <v>1199.9999999999995</v>
          </cell>
          <cell r="BF38">
            <v>1031.7694142523274</v>
          </cell>
          <cell r="BG38">
            <v>1031.7694142523274</v>
          </cell>
          <cell r="BH38">
            <v>1199.9999999999995</v>
          </cell>
          <cell r="BI38">
            <v>1261.9653916081938</v>
          </cell>
          <cell r="BJ38">
            <v>1327.1305413473522</v>
          </cell>
          <cell r="BK38">
            <v>1261.9653916081941</v>
          </cell>
          <cell r="BL38">
            <v>1141.0772510686097</v>
          </cell>
          <cell r="BM38">
            <v>1199.9999999999995</v>
          </cell>
          <cell r="BN38">
            <v>1261.9653916081941</v>
          </cell>
          <cell r="BO38">
            <v>1031.7694142523274</v>
          </cell>
          <cell r="BP38">
            <v>1085.0477440885795</v>
          </cell>
          <cell r="BQ38">
            <v>1327.1305413473522</v>
          </cell>
          <cell r="BR38">
            <v>1327.1305413473522</v>
          </cell>
          <cell r="BS38">
            <v>1543.5199256908284</v>
          </cell>
          <cell r="BT38">
            <v>1261.9653916081936</v>
          </cell>
          <cell r="BU38">
            <v>1199.9999999999995</v>
          </cell>
          <cell r="BV38">
            <v>1199.9999999999995</v>
          </cell>
          <cell r="BW38">
            <v>1327.1305413473519</v>
          </cell>
          <cell r="BX38">
            <v>1141.0772510686097</v>
          </cell>
          <cell r="BY38">
            <v>1327.1305413473522</v>
          </cell>
          <cell r="BZ38">
            <v>1141.0772510686097</v>
          </cell>
          <cell r="CA38">
            <v>1141.0772510686099</v>
          </cell>
          <cell r="CB38">
            <v>981.10717245976275</v>
          </cell>
          <cell r="CC38">
            <v>1085.0477440885795</v>
          </cell>
          <cell r="CD38">
            <v>1327.1305413473519</v>
          </cell>
          <cell r="CE38">
            <v>1031.7694142523274</v>
          </cell>
          <cell r="CF38">
            <v>1031.7694142523271</v>
          </cell>
          <cell r="CG38">
            <v>1141.0772510686097</v>
          </cell>
          <cell r="CH38">
            <v>1261.9653916081936</v>
          </cell>
          <cell r="CI38">
            <v>1467.7295614807633</v>
          </cell>
          <cell r="CJ38">
            <v>1141.0772510686097</v>
          </cell>
          <cell r="CK38">
            <v>1085.0477440885795</v>
          </cell>
          <cell r="CL38">
            <v>1141.0772510686097</v>
          </cell>
          <cell r="CM38">
            <v>1200</v>
          </cell>
          <cell r="CN38">
            <v>981.10717245976286</v>
          </cell>
          <cell r="CO38">
            <v>1327.1305413473522</v>
          </cell>
          <cell r="CP38">
            <v>932.93256279506875</v>
          </cell>
          <cell r="CQ38">
            <v>1395.6606777721715</v>
          </cell>
          <cell r="CR38">
            <v>981.10717245976286</v>
          </cell>
          <cell r="CS38">
            <v>1395.6606777721713</v>
          </cell>
          <cell r="CT38">
            <v>981.10717245976264</v>
          </cell>
          <cell r="CU38">
            <v>1395.6606777721711</v>
          </cell>
          <cell r="CV38">
            <v>1261.9653916081941</v>
          </cell>
          <cell r="CW38">
            <v>1199.9999999999995</v>
          </cell>
          <cell r="CX38">
            <v>1199.9999999999995</v>
          </cell>
          <cell r="CY38">
            <v>1543.5199256908281</v>
          </cell>
        </row>
        <row r="39">
          <cell r="D39">
            <v>1294.1378648840334</v>
          </cell>
          <cell r="E39">
            <v>1230.5927311380608</v>
          </cell>
          <cell r="F39">
            <v>1230.5927311380608</v>
          </cell>
          <cell r="G39">
            <v>1230.5927311380608</v>
          </cell>
          <cell r="H39">
            <v>1294.1378648840334</v>
          </cell>
          <cell r="I39">
            <v>1006.1194624136672</v>
          </cell>
          <cell r="J39">
            <v>1170.167809026693</v>
          </cell>
          <cell r="K39">
            <v>1230.5927311380613</v>
          </cell>
          <cell r="L39">
            <v>1750.5629694824099</v>
          </cell>
          <cell r="M39">
            <v>1230.592731138061</v>
          </cell>
          <cell r="N39">
            <v>1230.5927311380608</v>
          </cell>
          <cell r="O39">
            <v>1505.1477746955677</v>
          </cell>
          <cell r="P39">
            <v>1431.2415710013786</v>
          </cell>
          <cell r="Q39">
            <v>1112.7098890109644</v>
          </cell>
          <cell r="R39">
            <v>1505.1477746955675</v>
          </cell>
          <cell r="S39">
            <v>1294.1378648840339</v>
          </cell>
          <cell r="T39">
            <v>956.71669201467898</v>
          </cell>
          <cell r="U39">
            <v>1058.0732844912411</v>
          </cell>
          <cell r="V39">
            <v>1582.8703341015785</v>
          </cell>
          <cell r="W39">
            <v>1294.1378648840334</v>
          </cell>
          <cell r="X39">
            <v>1505.1477746955677</v>
          </cell>
          <cell r="Y39">
            <v>1112.7098890109644</v>
          </cell>
          <cell r="Z39">
            <v>1230.592731138061</v>
          </cell>
          <cell r="AA39">
            <v>1112.7098890109644</v>
          </cell>
          <cell r="AB39">
            <v>1230.5927311380608</v>
          </cell>
          <cell r="AC39">
            <v>1170.167809026693</v>
          </cell>
          <cell r="AD39">
            <v>1431.2415710013781</v>
          </cell>
          <cell r="AE39">
            <v>1170.167809026693</v>
          </cell>
          <cell r="AF39">
            <v>1230.5927311380608</v>
          </cell>
          <cell r="AG39">
            <v>1170.167809026693</v>
          </cell>
          <cell r="AH39">
            <v>1112.7098890109644</v>
          </cell>
          <cell r="AI39">
            <v>1294.1378648840334</v>
          </cell>
          <cell r="AJ39">
            <v>1058.0732844912411</v>
          </cell>
          <cell r="AK39">
            <v>1112.7098890109644</v>
          </cell>
          <cell r="AL39">
            <v>1294.1378648840339</v>
          </cell>
          <cell r="AM39">
            <v>1230.5927311380613</v>
          </cell>
          <cell r="AN39">
            <v>1294.1378648840339</v>
          </cell>
          <cell r="AO39">
            <v>1230.5927311380608</v>
          </cell>
          <cell r="AP39">
            <v>1006.1194624136671</v>
          </cell>
          <cell r="AQ39">
            <v>1230.5927311380613</v>
          </cell>
          <cell r="AR39">
            <v>1505.1477746955679</v>
          </cell>
          <cell r="AS39">
            <v>1112.7098890109644</v>
          </cell>
          <cell r="AT39">
            <v>1170.1678090266935</v>
          </cell>
          <cell r="AU39">
            <v>1170.167809026693</v>
          </cell>
          <cell r="AV39">
            <v>1230.5927311380613</v>
          </cell>
          <cell r="AW39">
            <v>1230.5927311380608</v>
          </cell>
          <cell r="AX39">
            <v>1170.167809026693</v>
          </cell>
          <cell r="AY39">
            <v>1058.0732844912411</v>
          </cell>
          <cell r="AZ39">
            <v>1170.167809026693</v>
          </cell>
          <cell r="BA39">
            <v>1058.0732844912411</v>
          </cell>
          <cell r="BB39">
            <v>1112.7098890109644</v>
          </cell>
          <cell r="BC39">
            <v>1431.2415710013784</v>
          </cell>
          <cell r="BD39">
            <v>1230.5927311380613</v>
          </cell>
          <cell r="BE39">
            <v>1170.167809026693</v>
          </cell>
          <cell r="BF39">
            <v>1006.1194624136672</v>
          </cell>
          <cell r="BG39">
            <v>1006.1194624136672</v>
          </cell>
          <cell r="BH39">
            <v>1230.5927311380608</v>
          </cell>
          <cell r="BI39">
            <v>1294.1378648840337</v>
          </cell>
          <cell r="BJ39">
            <v>1360.9643312111432</v>
          </cell>
          <cell r="BK39">
            <v>1230.5927311380613</v>
          </cell>
          <cell r="BL39">
            <v>1170.167809026693</v>
          </cell>
          <cell r="BM39">
            <v>1170.167809026693</v>
          </cell>
          <cell r="BN39">
            <v>1294.1378648840339</v>
          </cell>
          <cell r="BO39">
            <v>1058.0732844912411</v>
          </cell>
          <cell r="BP39">
            <v>1112.7098890109644</v>
          </cell>
          <cell r="BQ39">
            <v>1360.9643312111432</v>
          </cell>
          <cell r="BR39">
            <v>1360.9643312111432</v>
          </cell>
          <cell r="BS39">
            <v>1582.8703341015782</v>
          </cell>
          <cell r="BT39">
            <v>1230.5927311380608</v>
          </cell>
          <cell r="BU39">
            <v>1230.5927311380608</v>
          </cell>
          <cell r="BV39">
            <v>1230.5927311380608</v>
          </cell>
          <cell r="BW39">
            <v>1294.1378648840337</v>
          </cell>
          <cell r="BX39">
            <v>1112.7098890109644</v>
          </cell>
          <cell r="BY39">
            <v>1360.9643312111432</v>
          </cell>
          <cell r="BZ39">
            <v>1112.7098890109644</v>
          </cell>
          <cell r="CA39">
            <v>1170.1678090266932</v>
          </cell>
          <cell r="CB39">
            <v>956.71669201467898</v>
          </cell>
          <cell r="CC39">
            <v>1112.7098890109644</v>
          </cell>
          <cell r="CD39">
            <v>1360.964331211143</v>
          </cell>
          <cell r="CE39">
            <v>1058.0732844912411</v>
          </cell>
          <cell r="CF39">
            <v>1006.119462413667</v>
          </cell>
          <cell r="CG39">
            <v>1112.7098890109644</v>
          </cell>
          <cell r="CH39">
            <v>1230.5927311380608</v>
          </cell>
          <cell r="CI39">
            <v>1505.1477746955679</v>
          </cell>
          <cell r="CJ39">
            <v>1112.7098890109644</v>
          </cell>
          <cell r="CK39">
            <v>1058.0732844912411</v>
          </cell>
          <cell r="CL39">
            <v>1170.167809026693</v>
          </cell>
          <cell r="CM39">
            <v>1230.5927311380613</v>
          </cell>
          <cell r="CN39">
            <v>1006.1194624136671</v>
          </cell>
          <cell r="CO39">
            <v>1294.1378648840339</v>
          </cell>
          <cell r="CP39">
            <v>956.71669201467876</v>
          </cell>
          <cell r="CQ39">
            <v>1360.9643312111432</v>
          </cell>
          <cell r="CR39">
            <v>956.7166920146791</v>
          </cell>
          <cell r="CS39">
            <v>1431.2415710013784</v>
          </cell>
          <cell r="CT39">
            <v>956.71669201467887</v>
          </cell>
          <cell r="CU39">
            <v>1431.2415710013781</v>
          </cell>
          <cell r="CV39">
            <v>1294.1378648840339</v>
          </cell>
          <cell r="CW39">
            <v>1230.5927311380608</v>
          </cell>
          <cell r="CX39">
            <v>1170.167809026693</v>
          </cell>
          <cell r="CY39">
            <v>1505.1477746955675</v>
          </cell>
        </row>
        <row r="40">
          <cell r="D40">
            <v>1327.1305413473517</v>
          </cell>
          <cell r="E40">
            <v>1261.9653916081936</v>
          </cell>
          <cell r="F40">
            <v>1261.9653916081936</v>
          </cell>
          <cell r="G40">
            <v>1199.9999999999995</v>
          </cell>
          <cell r="H40">
            <v>1327.1305413473517</v>
          </cell>
          <cell r="I40">
            <v>1031.7694142523274</v>
          </cell>
          <cell r="J40">
            <v>1199.9999999999995</v>
          </cell>
          <cell r="K40">
            <v>1261.9653916081941</v>
          </cell>
          <cell r="L40">
            <v>1795.191721370428</v>
          </cell>
          <cell r="M40">
            <v>1199.9999999999998</v>
          </cell>
          <cell r="N40">
            <v>1261.9653916081936</v>
          </cell>
          <cell r="O40">
            <v>1467.7295614807629</v>
          </cell>
          <cell r="P40">
            <v>1395.6606777721715</v>
          </cell>
          <cell r="Q40">
            <v>1141.0772510686097</v>
          </cell>
          <cell r="R40">
            <v>1543.5199256908281</v>
          </cell>
          <cell r="S40">
            <v>1261.9653916081941</v>
          </cell>
          <cell r="T40">
            <v>932.93256279506886</v>
          </cell>
          <cell r="U40">
            <v>1085.0477440885795</v>
          </cell>
          <cell r="V40">
            <v>1623.2239395662309</v>
          </cell>
          <cell r="W40">
            <v>1261.9653916081936</v>
          </cell>
          <cell r="X40">
            <v>1543.5199256908284</v>
          </cell>
          <cell r="Y40">
            <v>1085.0477440885795</v>
          </cell>
          <cell r="Z40">
            <v>1261.9653916081938</v>
          </cell>
          <cell r="AA40">
            <v>1085.0477440885795</v>
          </cell>
          <cell r="AB40">
            <v>1199.9999999999995</v>
          </cell>
          <cell r="AC40">
            <v>1141.0772510686097</v>
          </cell>
          <cell r="AD40">
            <v>1467.7295614807629</v>
          </cell>
          <cell r="AE40">
            <v>1141.0772510686097</v>
          </cell>
          <cell r="AF40">
            <v>1199.9999999999995</v>
          </cell>
          <cell r="AG40">
            <v>1199.9999999999995</v>
          </cell>
          <cell r="AH40">
            <v>1141.0772510686097</v>
          </cell>
          <cell r="AI40">
            <v>1261.9653916081936</v>
          </cell>
          <cell r="AJ40">
            <v>1085.0477440885795</v>
          </cell>
          <cell r="AK40">
            <v>1141.0772510686097</v>
          </cell>
          <cell r="AL40">
            <v>1327.1305413473522</v>
          </cell>
          <cell r="AM40">
            <v>1261.9653916081941</v>
          </cell>
          <cell r="AN40">
            <v>1327.1305413473522</v>
          </cell>
          <cell r="AO40">
            <v>1261.9653916081936</v>
          </cell>
          <cell r="AP40">
            <v>981.10717245976275</v>
          </cell>
          <cell r="AQ40">
            <v>1261.9653916081941</v>
          </cell>
          <cell r="AR40">
            <v>1543.5199256908286</v>
          </cell>
          <cell r="AS40">
            <v>1141.0772510686097</v>
          </cell>
          <cell r="AT40">
            <v>1200</v>
          </cell>
          <cell r="AU40">
            <v>1141.0772510686097</v>
          </cell>
          <cell r="AV40">
            <v>1200</v>
          </cell>
          <cell r="AW40">
            <v>1199.9999999999995</v>
          </cell>
          <cell r="AX40">
            <v>1141.0772510686097</v>
          </cell>
          <cell r="AY40">
            <v>1085.0477440885795</v>
          </cell>
          <cell r="AZ40">
            <v>1199.9999999999995</v>
          </cell>
          <cell r="BA40">
            <v>1031.7694142523274</v>
          </cell>
          <cell r="BB40">
            <v>1141.0772510686097</v>
          </cell>
          <cell r="BC40">
            <v>1395.6606777721713</v>
          </cell>
          <cell r="BD40">
            <v>1200</v>
          </cell>
          <cell r="BE40">
            <v>1141.0772510686097</v>
          </cell>
          <cell r="BF40">
            <v>981.10717245976286</v>
          </cell>
          <cell r="BG40">
            <v>981.10717245976286</v>
          </cell>
          <cell r="BH40">
            <v>1261.9653916081936</v>
          </cell>
          <cell r="BI40">
            <v>1327.1305413473519</v>
          </cell>
          <cell r="BJ40">
            <v>1327.1305413473522</v>
          </cell>
          <cell r="BK40">
            <v>1200</v>
          </cell>
          <cell r="BL40">
            <v>1199.9999999999995</v>
          </cell>
          <cell r="BM40">
            <v>1199.9999999999995</v>
          </cell>
          <cell r="BN40">
            <v>1261.9653916081941</v>
          </cell>
          <cell r="BO40">
            <v>1085.0477440885795</v>
          </cell>
          <cell r="BP40">
            <v>1085.0477440885795</v>
          </cell>
          <cell r="BQ40">
            <v>1327.1305413473522</v>
          </cell>
          <cell r="BR40">
            <v>1395.6606777721715</v>
          </cell>
          <cell r="BS40">
            <v>1543.5199256908284</v>
          </cell>
          <cell r="BT40">
            <v>1261.9653916081936</v>
          </cell>
          <cell r="BU40">
            <v>1199.9999999999995</v>
          </cell>
          <cell r="BV40">
            <v>1199.9999999999995</v>
          </cell>
          <cell r="BW40">
            <v>1261.9653916081938</v>
          </cell>
          <cell r="BX40">
            <v>1141.0772510686097</v>
          </cell>
          <cell r="BY40">
            <v>1395.6606777721715</v>
          </cell>
          <cell r="BZ40">
            <v>1085.0477440885795</v>
          </cell>
          <cell r="CA40">
            <v>1199.9999999999998</v>
          </cell>
          <cell r="CB40">
            <v>932.93256279506886</v>
          </cell>
          <cell r="CC40">
            <v>1085.0477440885795</v>
          </cell>
          <cell r="CD40">
            <v>1327.1305413473519</v>
          </cell>
          <cell r="CE40">
            <v>1031.7694142523274</v>
          </cell>
          <cell r="CF40">
            <v>981.10717245976264</v>
          </cell>
          <cell r="CG40">
            <v>1085.0477440885795</v>
          </cell>
          <cell r="CH40">
            <v>1199.9999999999995</v>
          </cell>
          <cell r="CI40">
            <v>1467.7295614807631</v>
          </cell>
          <cell r="CJ40">
            <v>1085.0477440885795</v>
          </cell>
          <cell r="CK40">
            <v>1085.0477440885795</v>
          </cell>
          <cell r="CL40">
            <v>1141.0772510686097</v>
          </cell>
          <cell r="CM40">
            <v>1200</v>
          </cell>
          <cell r="CN40">
            <v>981.10717245976275</v>
          </cell>
          <cell r="CO40">
            <v>1327.1305413473522</v>
          </cell>
          <cell r="CP40">
            <v>932.93256279506875</v>
          </cell>
          <cell r="CQ40">
            <v>1395.6606777721715</v>
          </cell>
          <cell r="CR40">
            <v>981.10717245976286</v>
          </cell>
          <cell r="CS40">
            <v>1467.7295614807631</v>
          </cell>
          <cell r="CT40">
            <v>981.10717245976264</v>
          </cell>
          <cell r="CU40">
            <v>1467.7295614807629</v>
          </cell>
          <cell r="CV40">
            <v>1261.9653916081941</v>
          </cell>
          <cell r="CW40">
            <v>1261.9653916081936</v>
          </cell>
          <cell r="CX40">
            <v>1199.9999999999995</v>
          </cell>
          <cell r="CY40">
            <v>1467.7295614807629</v>
          </cell>
        </row>
        <row r="41">
          <cell r="D41">
            <v>1360.9643312111427</v>
          </cell>
          <cell r="E41">
            <v>1294.1378648840334</v>
          </cell>
          <cell r="F41">
            <v>1230.5927311380608</v>
          </cell>
          <cell r="G41">
            <v>1230.5927311380608</v>
          </cell>
          <cell r="H41">
            <v>1294.1378648840334</v>
          </cell>
          <cell r="I41">
            <v>1058.0732844912411</v>
          </cell>
          <cell r="J41">
            <v>1170.167809026693</v>
          </cell>
          <cell r="K41">
            <v>1230.5927311380613</v>
          </cell>
          <cell r="L41">
            <v>1750.5629694824099</v>
          </cell>
          <cell r="M41">
            <v>1230.592731138061</v>
          </cell>
          <cell r="N41">
            <v>1230.5927311380608</v>
          </cell>
          <cell r="O41">
            <v>1431.2415710013781</v>
          </cell>
          <cell r="P41">
            <v>1431.2415710013786</v>
          </cell>
          <cell r="Q41">
            <v>1170.167809026693</v>
          </cell>
          <cell r="R41">
            <v>1505.1477746955675</v>
          </cell>
          <cell r="S41">
            <v>1230.5927311380613</v>
          </cell>
          <cell r="T41">
            <v>909.73971081296975</v>
          </cell>
          <cell r="U41">
            <v>1058.0732844912411</v>
          </cell>
          <cell r="V41">
            <v>1664.6063175329095</v>
          </cell>
          <cell r="W41">
            <v>1230.5927311380608</v>
          </cell>
          <cell r="X41">
            <v>1582.8703341015782</v>
          </cell>
          <cell r="Y41">
            <v>1112.7098890109644</v>
          </cell>
          <cell r="Z41">
            <v>1230.592731138061</v>
          </cell>
          <cell r="AA41">
            <v>1058.0732844912411</v>
          </cell>
          <cell r="AB41">
            <v>1170.167809026693</v>
          </cell>
          <cell r="AC41">
            <v>1170.167809026693</v>
          </cell>
          <cell r="AD41">
            <v>1431.2415710013781</v>
          </cell>
          <cell r="AE41">
            <v>1170.167809026693</v>
          </cell>
          <cell r="AF41">
            <v>1230.5927311380608</v>
          </cell>
          <cell r="AG41">
            <v>1230.5927311380608</v>
          </cell>
          <cell r="AH41">
            <v>1170.167809026693</v>
          </cell>
          <cell r="AI41">
            <v>1230.5927311380608</v>
          </cell>
          <cell r="AJ41">
            <v>1058.0732844912411</v>
          </cell>
          <cell r="AK41">
            <v>1112.7098890109644</v>
          </cell>
          <cell r="AL41">
            <v>1294.1378648840339</v>
          </cell>
          <cell r="AM41">
            <v>1294.1378648840339</v>
          </cell>
          <cell r="AN41">
            <v>1360.9643312111432</v>
          </cell>
          <cell r="AO41">
            <v>1230.5927311380608</v>
          </cell>
          <cell r="AP41">
            <v>1006.119462413667</v>
          </cell>
          <cell r="AQ41">
            <v>1230.5927311380613</v>
          </cell>
          <cell r="AR41">
            <v>1582.8703341015785</v>
          </cell>
          <cell r="AS41">
            <v>1112.7098890109644</v>
          </cell>
          <cell r="AT41">
            <v>1230.5927311380613</v>
          </cell>
          <cell r="AU41">
            <v>1170.167809026693</v>
          </cell>
          <cell r="AV41">
            <v>1170.1678090266935</v>
          </cell>
          <cell r="AW41">
            <v>1170.167809026693</v>
          </cell>
          <cell r="AX41">
            <v>1112.7098890109644</v>
          </cell>
          <cell r="AY41">
            <v>1112.7098890109644</v>
          </cell>
          <cell r="AZ41">
            <v>1230.5927311380608</v>
          </cell>
          <cell r="BA41">
            <v>1058.0732844912411</v>
          </cell>
          <cell r="BB41">
            <v>1170.167809026693</v>
          </cell>
          <cell r="BC41">
            <v>1431.2415710013784</v>
          </cell>
          <cell r="BD41">
            <v>1230.5927311380613</v>
          </cell>
          <cell r="BE41">
            <v>1170.167809026693</v>
          </cell>
          <cell r="BF41">
            <v>1006.1194624136671</v>
          </cell>
          <cell r="BG41">
            <v>956.7166920146791</v>
          </cell>
          <cell r="BH41">
            <v>1294.1378648840334</v>
          </cell>
          <cell r="BI41">
            <v>1294.1378648840337</v>
          </cell>
          <cell r="BJ41">
            <v>1360.9643312111432</v>
          </cell>
          <cell r="BK41">
            <v>1230.5927311380613</v>
          </cell>
          <cell r="BL41">
            <v>1170.167809026693</v>
          </cell>
          <cell r="BM41">
            <v>1230.5927311380608</v>
          </cell>
          <cell r="BN41">
            <v>1230.5927311380613</v>
          </cell>
          <cell r="BO41">
            <v>1112.7098890109644</v>
          </cell>
          <cell r="BP41">
            <v>1058.0732844912411</v>
          </cell>
          <cell r="BQ41">
            <v>1294.1378648840339</v>
          </cell>
          <cell r="BR41">
            <v>1431.2415710013786</v>
          </cell>
          <cell r="BS41">
            <v>1505.1477746955677</v>
          </cell>
          <cell r="BT41">
            <v>1230.5927311380608</v>
          </cell>
          <cell r="BU41">
            <v>1170.167809026693</v>
          </cell>
          <cell r="BV41">
            <v>1230.5927311380608</v>
          </cell>
          <cell r="BW41">
            <v>1294.1378648840337</v>
          </cell>
          <cell r="BX41">
            <v>1112.7098890109644</v>
          </cell>
          <cell r="BY41">
            <v>1360.9643312111432</v>
          </cell>
          <cell r="BZ41">
            <v>1058.0732844912411</v>
          </cell>
          <cell r="CA41">
            <v>1230.592731138061</v>
          </cell>
          <cell r="CB41">
            <v>956.71669201467887</v>
          </cell>
          <cell r="CC41">
            <v>1058.0732844912411</v>
          </cell>
          <cell r="CD41">
            <v>1360.964331211143</v>
          </cell>
          <cell r="CE41">
            <v>1058.0732844912411</v>
          </cell>
          <cell r="CF41">
            <v>1006.1194624136668</v>
          </cell>
          <cell r="CG41">
            <v>1112.7098890109644</v>
          </cell>
          <cell r="CH41">
            <v>1170.167809026693</v>
          </cell>
          <cell r="CI41">
            <v>1505.1477746955677</v>
          </cell>
          <cell r="CJ41">
            <v>1112.7098890109644</v>
          </cell>
          <cell r="CK41">
            <v>1112.7098890109644</v>
          </cell>
          <cell r="CL41">
            <v>1112.7098890109644</v>
          </cell>
          <cell r="CM41">
            <v>1170.1678090266935</v>
          </cell>
          <cell r="CN41">
            <v>956.71669201467898</v>
          </cell>
          <cell r="CO41">
            <v>1360.9643312111432</v>
          </cell>
          <cell r="CP41">
            <v>909.73971081296975</v>
          </cell>
          <cell r="CQ41">
            <v>1360.9643312111432</v>
          </cell>
          <cell r="CR41">
            <v>1006.1194624136671</v>
          </cell>
          <cell r="CS41">
            <v>1431.2415710013784</v>
          </cell>
          <cell r="CT41">
            <v>956.71669201467887</v>
          </cell>
          <cell r="CU41">
            <v>1431.2415710013781</v>
          </cell>
          <cell r="CV41">
            <v>1230.5927311380613</v>
          </cell>
          <cell r="CW41">
            <v>1294.1378648840334</v>
          </cell>
          <cell r="CX41">
            <v>1170.167809026693</v>
          </cell>
          <cell r="CY41">
            <v>1431.2415710013781</v>
          </cell>
        </row>
        <row r="42">
          <cell r="D42">
            <v>1327.1305413473517</v>
          </cell>
          <cell r="E42">
            <v>1261.9653916081936</v>
          </cell>
          <cell r="F42">
            <v>1261.9653916081936</v>
          </cell>
          <cell r="G42">
            <v>1261.9653916081936</v>
          </cell>
          <cell r="H42">
            <v>1261.9653916081936</v>
          </cell>
          <cell r="I42">
            <v>1085.0477440885795</v>
          </cell>
          <cell r="J42">
            <v>1199.9999999999995</v>
          </cell>
          <cell r="K42">
            <v>1261.9653916081941</v>
          </cell>
          <cell r="L42">
            <v>1707.043695468745</v>
          </cell>
          <cell r="M42">
            <v>1261.9653916081938</v>
          </cell>
          <cell r="N42">
            <v>1261.9653916081936</v>
          </cell>
          <cell r="O42">
            <v>1467.7295614807629</v>
          </cell>
          <cell r="P42">
            <v>1467.7295614807633</v>
          </cell>
          <cell r="Q42">
            <v>1141.0772510686097</v>
          </cell>
          <cell r="R42">
            <v>1543.5199256908281</v>
          </cell>
          <cell r="S42">
            <v>1261.9653916081941</v>
          </cell>
          <cell r="T42">
            <v>932.93256279506875</v>
          </cell>
          <cell r="U42">
            <v>1085.0477440885795</v>
          </cell>
          <cell r="V42">
            <v>1623.2239395662309</v>
          </cell>
          <cell r="W42">
            <v>1261.9653916081936</v>
          </cell>
          <cell r="X42">
            <v>1623.2239395662307</v>
          </cell>
          <cell r="Y42">
            <v>1141.0772510686097</v>
          </cell>
          <cell r="Z42">
            <v>1261.9653916081938</v>
          </cell>
          <cell r="AA42">
            <v>1085.0477440885795</v>
          </cell>
          <cell r="AB42">
            <v>1141.0772510686097</v>
          </cell>
          <cell r="AC42">
            <v>1141.0772510686097</v>
          </cell>
          <cell r="AD42">
            <v>1395.6606777721711</v>
          </cell>
          <cell r="AE42">
            <v>1141.0772510686097</v>
          </cell>
          <cell r="AF42">
            <v>1199.9999999999995</v>
          </cell>
          <cell r="AG42">
            <v>1199.9999999999995</v>
          </cell>
          <cell r="AH42">
            <v>1141.0772510686097</v>
          </cell>
          <cell r="AI42">
            <v>1199.9999999999995</v>
          </cell>
          <cell r="AJ42">
            <v>1031.7694142523274</v>
          </cell>
          <cell r="AK42">
            <v>1085.0477440885795</v>
          </cell>
          <cell r="AL42">
            <v>1261.9653916081941</v>
          </cell>
          <cell r="AM42">
            <v>1261.9653916081941</v>
          </cell>
          <cell r="AN42">
            <v>1395.6606777721715</v>
          </cell>
          <cell r="AO42">
            <v>1261.9653916081936</v>
          </cell>
          <cell r="AP42">
            <v>1031.7694142523271</v>
          </cell>
          <cell r="AQ42">
            <v>1261.9653916081941</v>
          </cell>
          <cell r="AR42">
            <v>1543.5199256908286</v>
          </cell>
          <cell r="AS42">
            <v>1141.0772510686097</v>
          </cell>
          <cell r="AT42">
            <v>1261.9653916081941</v>
          </cell>
          <cell r="AU42">
            <v>1199.9999999999995</v>
          </cell>
          <cell r="AV42">
            <v>1200</v>
          </cell>
          <cell r="AW42">
            <v>1141.0772510686097</v>
          </cell>
          <cell r="AX42">
            <v>1141.0772510686097</v>
          </cell>
          <cell r="AY42">
            <v>1085.0477440885795</v>
          </cell>
          <cell r="AZ42">
            <v>1199.9999999999995</v>
          </cell>
          <cell r="BA42">
            <v>1031.7694142523274</v>
          </cell>
          <cell r="BB42">
            <v>1141.0772510686097</v>
          </cell>
          <cell r="BC42">
            <v>1467.7295614807631</v>
          </cell>
          <cell r="BD42">
            <v>1261.9653916081941</v>
          </cell>
          <cell r="BE42">
            <v>1199.9999999999995</v>
          </cell>
          <cell r="BF42">
            <v>1031.7694142523271</v>
          </cell>
          <cell r="BG42">
            <v>932.93256279506897</v>
          </cell>
          <cell r="BH42">
            <v>1327.1305413473517</v>
          </cell>
          <cell r="BI42">
            <v>1327.1305413473519</v>
          </cell>
          <cell r="BJ42">
            <v>1395.6606777721715</v>
          </cell>
          <cell r="BK42">
            <v>1261.9653916081941</v>
          </cell>
          <cell r="BL42">
            <v>1199.9999999999995</v>
          </cell>
          <cell r="BM42">
            <v>1261.9653916081936</v>
          </cell>
          <cell r="BN42">
            <v>1261.9653916081941</v>
          </cell>
          <cell r="BO42">
            <v>1085.0477440885795</v>
          </cell>
          <cell r="BP42">
            <v>1085.0477440885795</v>
          </cell>
          <cell r="BQ42">
            <v>1261.9653916081941</v>
          </cell>
          <cell r="BR42">
            <v>1395.6606777721715</v>
          </cell>
          <cell r="BS42">
            <v>1467.7295614807629</v>
          </cell>
          <cell r="BT42">
            <v>1261.9653916081936</v>
          </cell>
          <cell r="BU42">
            <v>1141.0772510686097</v>
          </cell>
          <cell r="BV42">
            <v>1261.9653916081936</v>
          </cell>
          <cell r="BW42">
            <v>1261.9653916081938</v>
          </cell>
          <cell r="BX42">
            <v>1141.0772510686097</v>
          </cell>
          <cell r="BY42">
            <v>1395.6606777721715</v>
          </cell>
          <cell r="BZ42">
            <v>1085.0477440885795</v>
          </cell>
          <cell r="CA42">
            <v>1199.9999999999998</v>
          </cell>
          <cell r="CB42">
            <v>932.93256279506875</v>
          </cell>
          <cell r="CC42">
            <v>1031.7694142523274</v>
          </cell>
          <cell r="CD42">
            <v>1327.1305413473519</v>
          </cell>
          <cell r="CE42">
            <v>1085.0477440885795</v>
          </cell>
          <cell r="CF42">
            <v>981.10717245976264</v>
          </cell>
          <cell r="CG42">
            <v>1141.0772510686097</v>
          </cell>
          <cell r="CH42">
            <v>1199.9999999999995</v>
          </cell>
          <cell r="CI42">
            <v>1543.5199256908284</v>
          </cell>
          <cell r="CJ42">
            <v>1141.0772510686097</v>
          </cell>
          <cell r="CK42">
            <v>1141.0772510686097</v>
          </cell>
          <cell r="CL42">
            <v>1085.0477440885795</v>
          </cell>
          <cell r="CM42">
            <v>1200</v>
          </cell>
          <cell r="CN42">
            <v>932.93256279506886</v>
          </cell>
          <cell r="CO42">
            <v>1327.1305413473522</v>
          </cell>
          <cell r="CP42">
            <v>932.93256279506875</v>
          </cell>
          <cell r="CQ42">
            <v>1395.6606777721715</v>
          </cell>
          <cell r="CR42">
            <v>981.10717245976275</v>
          </cell>
          <cell r="CS42">
            <v>1395.6606777721713</v>
          </cell>
          <cell r="CT42">
            <v>981.10717245976264</v>
          </cell>
          <cell r="CU42">
            <v>1395.6606777721711</v>
          </cell>
          <cell r="CV42">
            <v>1261.9653916081941</v>
          </cell>
          <cell r="CW42">
            <v>1261.9653916081936</v>
          </cell>
          <cell r="CX42">
            <v>1199.9999999999995</v>
          </cell>
          <cell r="CY42">
            <v>1467.7295614807629</v>
          </cell>
        </row>
        <row r="43">
          <cell r="D43">
            <v>1294.1378648840334</v>
          </cell>
          <cell r="E43">
            <v>1294.1378648840334</v>
          </cell>
          <cell r="F43">
            <v>1294.1378648840334</v>
          </cell>
          <cell r="G43">
            <v>1294.1378648840334</v>
          </cell>
          <cell r="H43">
            <v>1294.1378648840334</v>
          </cell>
          <cell r="I43">
            <v>1112.7098890109644</v>
          </cell>
          <cell r="J43">
            <v>1230.5927311380608</v>
          </cell>
          <cell r="K43">
            <v>1230.5927311380613</v>
          </cell>
          <cell r="L43">
            <v>1664.6063175329095</v>
          </cell>
          <cell r="M43">
            <v>1230.592731138061</v>
          </cell>
          <cell r="N43">
            <v>1230.5927311380608</v>
          </cell>
          <cell r="O43">
            <v>1505.1477746955675</v>
          </cell>
          <cell r="P43">
            <v>1505.1477746955679</v>
          </cell>
          <cell r="Q43">
            <v>1112.7098890109644</v>
          </cell>
          <cell r="R43">
            <v>1505.1477746955675</v>
          </cell>
          <cell r="S43">
            <v>1294.1378648840339</v>
          </cell>
          <cell r="T43">
            <v>909.73971081296975</v>
          </cell>
          <cell r="U43">
            <v>1112.7098890109644</v>
          </cell>
          <cell r="V43">
            <v>1582.8703341015785</v>
          </cell>
          <cell r="W43">
            <v>1294.1378648840334</v>
          </cell>
          <cell r="X43">
            <v>1582.8703341015782</v>
          </cell>
          <cell r="Y43">
            <v>1170.167809026693</v>
          </cell>
          <cell r="Z43">
            <v>1230.592731138061</v>
          </cell>
          <cell r="AA43">
            <v>1112.7098890109644</v>
          </cell>
          <cell r="AB43">
            <v>1112.7098890109644</v>
          </cell>
          <cell r="AC43">
            <v>1112.7098890109644</v>
          </cell>
          <cell r="AD43">
            <v>1360.9643312111427</v>
          </cell>
          <cell r="AE43">
            <v>1112.7098890109644</v>
          </cell>
          <cell r="AF43">
            <v>1230.5927311380608</v>
          </cell>
          <cell r="AG43">
            <v>1230.5927311380608</v>
          </cell>
          <cell r="AH43">
            <v>1112.7098890109644</v>
          </cell>
          <cell r="AI43">
            <v>1170.167809026693</v>
          </cell>
          <cell r="AJ43">
            <v>1006.1194624136672</v>
          </cell>
          <cell r="AK43">
            <v>1112.7098890109644</v>
          </cell>
          <cell r="AL43">
            <v>1294.1378648840339</v>
          </cell>
          <cell r="AM43">
            <v>1294.1378648840339</v>
          </cell>
          <cell r="AN43">
            <v>1431.2415710013786</v>
          </cell>
          <cell r="AO43">
            <v>1230.5927311380608</v>
          </cell>
          <cell r="AP43">
            <v>1058.0732844912409</v>
          </cell>
          <cell r="AQ43">
            <v>1230.5927311380613</v>
          </cell>
          <cell r="AR43">
            <v>1582.8703341015785</v>
          </cell>
          <cell r="AS43">
            <v>1170.167809026693</v>
          </cell>
          <cell r="AT43">
            <v>1294.1378648840339</v>
          </cell>
          <cell r="AU43">
            <v>1170.167809026693</v>
          </cell>
          <cell r="AV43">
            <v>1230.5927311380613</v>
          </cell>
          <cell r="AW43">
            <v>1170.167809026693</v>
          </cell>
          <cell r="AX43">
            <v>1112.7098890109644</v>
          </cell>
          <cell r="AY43">
            <v>1112.7098890109644</v>
          </cell>
          <cell r="AZ43">
            <v>1170.167809026693</v>
          </cell>
          <cell r="BA43">
            <v>1006.1194624136672</v>
          </cell>
          <cell r="BB43">
            <v>1170.167809026693</v>
          </cell>
          <cell r="BC43">
            <v>1431.2415710013784</v>
          </cell>
          <cell r="BD43">
            <v>1294.1378648840339</v>
          </cell>
          <cell r="BE43">
            <v>1170.167809026693</v>
          </cell>
          <cell r="BF43">
            <v>1058.0732844912409</v>
          </cell>
          <cell r="BG43">
            <v>909.73971081296986</v>
          </cell>
          <cell r="BH43">
            <v>1360.9643312111427</v>
          </cell>
          <cell r="BI43">
            <v>1360.964331211143</v>
          </cell>
          <cell r="BJ43">
            <v>1431.2415710013786</v>
          </cell>
          <cell r="BK43">
            <v>1230.5927311380613</v>
          </cell>
          <cell r="BL43">
            <v>1170.167809026693</v>
          </cell>
          <cell r="BM43">
            <v>1230.5927311380608</v>
          </cell>
          <cell r="BN43">
            <v>1294.1378648840339</v>
          </cell>
          <cell r="BO43">
            <v>1058.0732844912411</v>
          </cell>
          <cell r="BP43">
            <v>1112.7098890109644</v>
          </cell>
          <cell r="BQ43">
            <v>1294.1378648840339</v>
          </cell>
          <cell r="BR43">
            <v>1431.2415710013786</v>
          </cell>
          <cell r="BS43">
            <v>1505.1477746955675</v>
          </cell>
          <cell r="BT43">
            <v>1230.5927311380608</v>
          </cell>
          <cell r="BU43">
            <v>1112.7098890109644</v>
          </cell>
          <cell r="BV43">
            <v>1294.1378648840334</v>
          </cell>
          <cell r="BW43">
            <v>1294.1378648840337</v>
          </cell>
          <cell r="BX43">
            <v>1112.7098890109644</v>
          </cell>
          <cell r="BY43">
            <v>1431.2415710013786</v>
          </cell>
          <cell r="BZ43">
            <v>1112.7098890109644</v>
          </cell>
          <cell r="CA43">
            <v>1170.1678090266932</v>
          </cell>
          <cell r="CB43">
            <v>956.71669201467876</v>
          </cell>
          <cell r="CC43">
            <v>1058.0732844912411</v>
          </cell>
          <cell r="CD43">
            <v>1294.1378648840337</v>
          </cell>
          <cell r="CE43">
            <v>1112.7098890109644</v>
          </cell>
          <cell r="CF43">
            <v>956.71669201467887</v>
          </cell>
          <cell r="CG43">
            <v>1170.167809026693</v>
          </cell>
          <cell r="CH43">
            <v>1230.5927311380608</v>
          </cell>
          <cell r="CI43">
            <v>1505.1477746955677</v>
          </cell>
          <cell r="CJ43">
            <v>1170.167809026693</v>
          </cell>
          <cell r="CK43">
            <v>1112.7098890109644</v>
          </cell>
          <cell r="CL43">
            <v>1112.7098890109644</v>
          </cell>
          <cell r="CM43">
            <v>1230.5927311380613</v>
          </cell>
          <cell r="CN43">
            <v>909.73971081296975</v>
          </cell>
          <cell r="CO43">
            <v>1294.1378648840339</v>
          </cell>
          <cell r="CP43">
            <v>909.73971081296975</v>
          </cell>
          <cell r="CQ43">
            <v>1360.9643312111432</v>
          </cell>
          <cell r="CR43">
            <v>956.71669201467898</v>
          </cell>
          <cell r="CS43">
            <v>1431.2415710013784</v>
          </cell>
          <cell r="CT43">
            <v>956.71669201467887</v>
          </cell>
          <cell r="CU43">
            <v>1360.9643312111427</v>
          </cell>
          <cell r="CV43">
            <v>1294.1378648840339</v>
          </cell>
          <cell r="CW43">
            <v>1294.1378648840334</v>
          </cell>
          <cell r="CX43">
            <v>1170.167809026693</v>
          </cell>
          <cell r="CY43">
            <v>1431.2415710013781</v>
          </cell>
        </row>
        <row r="44">
          <cell r="D44">
            <v>1261.9653916081936</v>
          </cell>
          <cell r="E44">
            <v>1327.1305413473517</v>
          </cell>
          <cell r="F44">
            <v>1327.1305413473517</v>
          </cell>
          <cell r="G44">
            <v>1261.9653916081936</v>
          </cell>
          <cell r="H44">
            <v>1261.9653916081936</v>
          </cell>
          <cell r="I44">
            <v>1085.0477440885795</v>
          </cell>
          <cell r="J44">
            <v>1199.9999999999995</v>
          </cell>
          <cell r="K44">
            <v>1200</v>
          </cell>
          <cell r="L44">
            <v>1623.2239395662309</v>
          </cell>
          <cell r="M44">
            <v>1261.9653916081938</v>
          </cell>
          <cell r="N44">
            <v>1261.9653916081936</v>
          </cell>
          <cell r="O44">
            <v>1543.5199256908281</v>
          </cell>
          <cell r="P44">
            <v>1467.7295614807631</v>
          </cell>
          <cell r="Q44">
            <v>1085.0477440885795</v>
          </cell>
          <cell r="R44">
            <v>1543.5199256908281</v>
          </cell>
          <cell r="S44">
            <v>1327.1305413473522</v>
          </cell>
          <cell r="T44">
            <v>887.12343682215874</v>
          </cell>
          <cell r="U44">
            <v>1085.0477440885795</v>
          </cell>
          <cell r="V44">
            <v>1543.5199256908286</v>
          </cell>
          <cell r="W44">
            <v>1327.1305413473517</v>
          </cell>
          <cell r="X44">
            <v>1623.2239395662307</v>
          </cell>
          <cell r="Y44">
            <v>1199.9999999999995</v>
          </cell>
          <cell r="Z44">
            <v>1261.9653916081938</v>
          </cell>
          <cell r="AA44">
            <v>1141.0772510686097</v>
          </cell>
          <cell r="AB44">
            <v>1085.0477440885795</v>
          </cell>
          <cell r="AC44">
            <v>1085.0477440885795</v>
          </cell>
          <cell r="AD44">
            <v>1327.1305413473517</v>
          </cell>
          <cell r="AE44">
            <v>1141.0772510686097</v>
          </cell>
          <cell r="AF44">
            <v>1199.9999999999995</v>
          </cell>
          <cell r="AG44">
            <v>1199.9999999999995</v>
          </cell>
          <cell r="AH44">
            <v>1141.0772510686097</v>
          </cell>
          <cell r="AI44">
            <v>1199.9999999999995</v>
          </cell>
          <cell r="AJ44">
            <v>1031.7694142523274</v>
          </cell>
          <cell r="AK44">
            <v>1085.0477440885795</v>
          </cell>
          <cell r="AL44">
            <v>1327.1305413473522</v>
          </cell>
          <cell r="AM44">
            <v>1327.1305413473522</v>
          </cell>
          <cell r="AN44">
            <v>1395.6606777721715</v>
          </cell>
          <cell r="AO44">
            <v>1261.9653916081936</v>
          </cell>
          <cell r="AP44">
            <v>1085.0477440885793</v>
          </cell>
          <cell r="AQ44">
            <v>1200</v>
          </cell>
          <cell r="AR44">
            <v>1623.2239395662309</v>
          </cell>
          <cell r="AS44">
            <v>1141.0772510686097</v>
          </cell>
          <cell r="AT44">
            <v>1327.1305413473522</v>
          </cell>
          <cell r="AU44">
            <v>1141.0772510686097</v>
          </cell>
          <cell r="AV44">
            <v>1200</v>
          </cell>
          <cell r="AW44">
            <v>1141.0772510686097</v>
          </cell>
          <cell r="AX44">
            <v>1141.0772510686097</v>
          </cell>
          <cell r="AY44">
            <v>1141.0772510686097</v>
          </cell>
          <cell r="AZ44">
            <v>1141.0772510686097</v>
          </cell>
          <cell r="BA44">
            <v>1031.7694142523274</v>
          </cell>
          <cell r="BB44">
            <v>1141.0772510686097</v>
          </cell>
          <cell r="BC44">
            <v>1395.6606777721713</v>
          </cell>
          <cell r="BD44">
            <v>1327.1305413473522</v>
          </cell>
          <cell r="BE44">
            <v>1141.0772510686097</v>
          </cell>
          <cell r="BF44">
            <v>1031.7694142523271</v>
          </cell>
          <cell r="BG44">
            <v>887.12343682215885</v>
          </cell>
          <cell r="BH44">
            <v>1395.6606777721711</v>
          </cell>
          <cell r="BI44">
            <v>1327.1305413473519</v>
          </cell>
          <cell r="BJ44">
            <v>1467.7295614807633</v>
          </cell>
          <cell r="BK44">
            <v>1200</v>
          </cell>
          <cell r="BL44">
            <v>1141.0772510686097</v>
          </cell>
          <cell r="BM44">
            <v>1199.9999999999995</v>
          </cell>
          <cell r="BN44">
            <v>1327.1305413473522</v>
          </cell>
          <cell r="BO44">
            <v>1031.7694142523274</v>
          </cell>
          <cell r="BP44">
            <v>1085.0477440885795</v>
          </cell>
          <cell r="BQ44">
            <v>1261.9653916081941</v>
          </cell>
          <cell r="BR44">
            <v>1467.7295614807633</v>
          </cell>
          <cell r="BS44">
            <v>1467.7295614807629</v>
          </cell>
          <cell r="BT44">
            <v>1199.9999999999995</v>
          </cell>
          <cell r="BU44">
            <v>1141.0772510686097</v>
          </cell>
          <cell r="BV44">
            <v>1261.9653916081936</v>
          </cell>
          <cell r="BW44">
            <v>1261.9653916081938</v>
          </cell>
          <cell r="BX44">
            <v>1141.0772510686097</v>
          </cell>
          <cell r="BY44">
            <v>1395.6606777721715</v>
          </cell>
          <cell r="BZ44">
            <v>1141.0772510686097</v>
          </cell>
          <cell r="CA44">
            <v>1141.0772510686097</v>
          </cell>
          <cell r="CB44">
            <v>932.93256279506875</v>
          </cell>
          <cell r="CC44">
            <v>1085.0477440885795</v>
          </cell>
          <cell r="CD44">
            <v>1327.1305413473519</v>
          </cell>
          <cell r="CE44">
            <v>1085.0477440885795</v>
          </cell>
          <cell r="CF44">
            <v>932.93256279506875</v>
          </cell>
          <cell r="CG44">
            <v>1199.9999999999995</v>
          </cell>
          <cell r="CH44">
            <v>1199.9999999999995</v>
          </cell>
          <cell r="CI44">
            <v>1467.7295614807629</v>
          </cell>
          <cell r="CJ44">
            <v>1141.0772510686097</v>
          </cell>
          <cell r="CK44">
            <v>1085.0477440885795</v>
          </cell>
          <cell r="CL44">
            <v>1085.0477440885795</v>
          </cell>
          <cell r="CM44">
            <v>1200</v>
          </cell>
          <cell r="CN44">
            <v>887.12343682215874</v>
          </cell>
          <cell r="CO44">
            <v>1327.1305413473522</v>
          </cell>
          <cell r="CP44">
            <v>932.93256279506875</v>
          </cell>
          <cell r="CQ44">
            <v>1395.6606777721715</v>
          </cell>
          <cell r="CR44">
            <v>932.93256279506886</v>
          </cell>
          <cell r="CS44">
            <v>1395.6606777721713</v>
          </cell>
          <cell r="CT44">
            <v>981.10717245976264</v>
          </cell>
          <cell r="CU44">
            <v>1327.1305413473517</v>
          </cell>
          <cell r="CV44">
            <v>1327.1305413473522</v>
          </cell>
          <cell r="CW44">
            <v>1327.1305413473517</v>
          </cell>
          <cell r="CX44">
            <v>1141.0772510686097</v>
          </cell>
          <cell r="CY44">
            <v>1395.6606777721711</v>
          </cell>
        </row>
        <row r="45">
          <cell r="D45">
            <v>1294.1378648840334</v>
          </cell>
          <cell r="E45">
            <v>1360.9643312111427</v>
          </cell>
          <cell r="F45">
            <v>1360.9643312111427</v>
          </cell>
          <cell r="G45">
            <v>1294.1378648840334</v>
          </cell>
          <cell r="H45">
            <v>1230.5927311380608</v>
          </cell>
          <cell r="I45">
            <v>1112.7098890109644</v>
          </cell>
          <cell r="J45">
            <v>1170.167809026693</v>
          </cell>
          <cell r="K45">
            <v>1230.5927311380613</v>
          </cell>
          <cell r="L45">
            <v>1582.8703341015785</v>
          </cell>
          <cell r="M45">
            <v>1294.1378648840337</v>
          </cell>
          <cell r="N45">
            <v>1230.5927311380608</v>
          </cell>
          <cell r="O45">
            <v>1582.870334101578</v>
          </cell>
          <cell r="P45">
            <v>1505.1477746955677</v>
          </cell>
          <cell r="Q45">
            <v>1112.7098890109644</v>
          </cell>
          <cell r="R45">
            <v>1505.1477746955675</v>
          </cell>
          <cell r="S45">
            <v>1294.1378648840339</v>
          </cell>
          <cell r="T45">
            <v>909.73971081296975</v>
          </cell>
          <cell r="U45">
            <v>1112.7098890109644</v>
          </cell>
          <cell r="V45">
            <v>1505.1477746955679</v>
          </cell>
          <cell r="W45">
            <v>1360.9643312111427</v>
          </cell>
          <cell r="X45">
            <v>1664.6063175329093</v>
          </cell>
          <cell r="Y45">
            <v>1170.167809026693</v>
          </cell>
          <cell r="Z45">
            <v>1294.1378648840337</v>
          </cell>
          <cell r="AA45">
            <v>1170.167809026693</v>
          </cell>
          <cell r="AB45">
            <v>1058.0732844912411</v>
          </cell>
          <cell r="AC45">
            <v>1058.0732844912411</v>
          </cell>
          <cell r="AD45">
            <v>1360.9643312111427</v>
          </cell>
          <cell r="AE45">
            <v>1170.167809026693</v>
          </cell>
          <cell r="AF45">
            <v>1170.167809026693</v>
          </cell>
          <cell r="AG45">
            <v>1170.167809026693</v>
          </cell>
          <cell r="AH45">
            <v>1112.7098890109644</v>
          </cell>
          <cell r="AI45">
            <v>1230.5927311380608</v>
          </cell>
          <cell r="AJ45">
            <v>1006.1194624136672</v>
          </cell>
          <cell r="AK45">
            <v>1112.7098890109644</v>
          </cell>
          <cell r="AL45">
            <v>1360.9643312111432</v>
          </cell>
          <cell r="AM45">
            <v>1294.1378648840339</v>
          </cell>
          <cell r="AN45">
            <v>1360.9643312111432</v>
          </cell>
          <cell r="AO45">
            <v>1294.1378648840334</v>
          </cell>
          <cell r="AP45">
            <v>1112.7098890109642</v>
          </cell>
          <cell r="AQ45">
            <v>1170.1678090266935</v>
          </cell>
          <cell r="AR45">
            <v>1582.8703341015785</v>
          </cell>
          <cell r="AS45">
            <v>1170.167809026693</v>
          </cell>
          <cell r="AT45">
            <v>1360.9643312111432</v>
          </cell>
          <cell r="AU45">
            <v>1112.7098890109644</v>
          </cell>
          <cell r="AV45">
            <v>1230.5927311380613</v>
          </cell>
          <cell r="AW45">
            <v>1170.167809026693</v>
          </cell>
          <cell r="AX45">
            <v>1170.167809026693</v>
          </cell>
          <cell r="AY45">
            <v>1170.167809026693</v>
          </cell>
          <cell r="AZ45">
            <v>1170.167809026693</v>
          </cell>
          <cell r="BA45">
            <v>1058.0732844912411</v>
          </cell>
          <cell r="BB45">
            <v>1112.7098890109644</v>
          </cell>
          <cell r="BC45">
            <v>1360.964331211143</v>
          </cell>
          <cell r="BD45">
            <v>1360.9643312111432</v>
          </cell>
          <cell r="BE45">
            <v>1112.7098890109644</v>
          </cell>
          <cell r="BF45">
            <v>1058.0732844912409</v>
          </cell>
          <cell r="BG45">
            <v>865.06940700201324</v>
          </cell>
          <cell r="BH45">
            <v>1360.9643312111427</v>
          </cell>
          <cell r="BI45">
            <v>1360.964331211143</v>
          </cell>
          <cell r="BJ45">
            <v>1505.1477746955679</v>
          </cell>
          <cell r="BK45">
            <v>1170.1678090266935</v>
          </cell>
          <cell r="BL45">
            <v>1170.167809026693</v>
          </cell>
          <cell r="BM45">
            <v>1170.167809026693</v>
          </cell>
          <cell r="BN45">
            <v>1294.1378648840339</v>
          </cell>
          <cell r="BO45">
            <v>1006.1194624136672</v>
          </cell>
          <cell r="BP45">
            <v>1112.7098890109644</v>
          </cell>
          <cell r="BQ45">
            <v>1230.5927311380613</v>
          </cell>
          <cell r="BR45">
            <v>1431.2415710013786</v>
          </cell>
          <cell r="BS45">
            <v>1505.1477746955675</v>
          </cell>
          <cell r="BT45">
            <v>1230.5927311380608</v>
          </cell>
          <cell r="BU45">
            <v>1112.7098890109644</v>
          </cell>
          <cell r="BV45">
            <v>1230.5927311380608</v>
          </cell>
          <cell r="BW45">
            <v>1230.592731138061</v>
          </cell>
          <cell r="BX45">
            <v>1112.7098890109644</v>
          </cell>
          <cell r="BY45">
            <v>1360.9643312111432</v>
          </cell>
          <cell r="BZ45">
            <v>1170.167809026693</v>
          </cell>
          <cell r="CA45">
            <v>1170.167809026693</v>
          </cell>
          <cell r="CB45">
            <v>956.71669201467876</v>
          </cell>
          <cell r="CC45">
            <v>1058.0732844912411</v>
          </cell>
          <cell r="CD45">
            <v>1294.1378648840337</v>
          </cell>
          <cell r="CE45">
            <v>1112.7098890109644</v>
          </cell>
          <cell r="CF45">
            <v>956.71669201467876</v>
          </cell>
          <cell r="CG45">
            <v>1170.167809026693</v>
          </cell>
          <cell r="CH45">
            <v>1230.5927311380608</v>
          </cell>
          <cell r="CI45">
            <v>1505.1477746955675</v>
          </cell>
          <cell r="CJ45">
            <v>1112.7098890109644</v>
          </cell>
          <cell r="CK45">
            <v>1112.7098890109644</v>
          </cell>
          <cell r="CL45">
            <v>1058.0732844912411</v>
          </cell>
          <cell r="CM45">
            <v>1170.1678090266935</v>
          </cell>
          <cell r="CN45">
            <v>865.06940700201312</v>
          </cell>
          <cell r="CO45">
            <v>1294.1378648840339</v>
          </cell>
          <cell r="CP45">
            <v>909.73971081296975</v>
          </cell>
          <cell r="CQ45">
            <v>1360.9643312111432</v>
          </cell>
          <cell r="CR45">
            <v>909.73971081296975</v>
          </cell>
          <cell r="CS45">
            <v>1431.2415710013784</v>
          </cell>
          <cell r="CT45">
            <v>1006.1194624136668</v>
          </cell>
          <cell r="CU45">
            <v>1294.1378648840334</v>
          </cell>
          <cell r="CV45">
            <v>1360.9643312111432</v>
          </cell>
          <cell r="CW45">
            <v>1294.1378648840334</v>
          </cell>
          <cell r="CX45">
            <v>1112.7098890109644</v>
          </cell>
          <cell r="CY45">
            <v>1431.2415710013781</v>
          </cell>
        </row>
        <row r="46">
          <cell r="D46">
            <v>1261.9653916081936</v>
          </cell>
          <cell r="E46">
            <v>1395.6606777721711</v>
          </cell>
          <cell r="F46">
            <v>1395.6606777721711</v>
          </cell>
          <cell r="G46">
            <v>1261.9653916081936</v>
          </cell>
          <cell r="H46">
            <v>1199.9999999999995</v>
          </cell>
          <cell r="I46">
            <v>1141.0772510686097</v>
          </cell>
          <cell r="J46">
            <v>1141.0772510686097</v>
          </cell>
          <cell r="K46">
            <v>1200</v>
          </cell>
          <cell r="L46">
            <v>1623.2239395662309</v>
          </cell>
          <cell r="M46">
            <v>1327.1305413473519</v>
          </cell>
          <cell r="N46">
            <v>1261.9653916081936</v>
          </cell>
          <cell r="O46">
            <v>1543.5199256908281</v>
          </cell>
          <cell r="P46">
            <v>1543.5199256908284</v>
          </cell>
          <cell r="Q46">
            <v>1085.0477440885795</v>
          </cell>
          <cell r="R46">
            <v>1467.7295614807629</v>
          </cell>
          <cell r="S46">
            <v>1261.9653916081941</v>
          </cell>
          <cell r="T46">
            <v>887.12343682215874</v>
          </cell>
          <cell r="U46">
            <v>1085.0477440885795</v>
          </cell>
          <cell r="V46">
            <v>1543.5199256908286</v>
          </cell>
          <cell r="W46">
            <v>1395.6606777721711</v>
          </cell>
          <cell r="X46">
            <v>1623.2239395662307</v>
          </cell>
          <cell r="Y46">
            <v>1141.0772510686097</v>
          </cell>
          <cell r="Z46">
            <v>1261.9653916081938</v>
          </cell>
          <cell r="AA46">
            <v>1199.9999999999995</v>
          </cell>
          <cell r="AB46">
            <v>1031.7694142523274</v>
          </cell>
          <cell r="AC46">
            <v>1085.0477440885795</v>
          </cell>
          <cell r="AD46">
            <v>1395.6606777721711</v>
          </cell>
          <cell r="AE46">
            <v>1199.9999999999995</v>
          </cell>
          <cell r="AF46">
            <v>1141.0772510686097</v>
          </cell>
          <cell r="AG46">
            <v>1141.0772510686097</v>
          </cell>
          <cell r="AH46">
            <v>1141.0772510686097</v>
          </cell>
          <cell r="AI46">
            <v>1261.9653916081936</v>
          </cell>
          <cell r="AJ46">
            <v>1031.7694142523274</v>
          </cell>
          <cell r="AK46">
            <v>1085.0477440885795</v>
          </cell>
          <cell r="AL46">
            <v>1327.1305413473522</v>
          </cell>
          <cell r="AM46">
            <v>1327.1305413473522</v>
          </cell>
          <cell r="AN46">
            <v>1395.6606777721715</v>
          </cell>
          <cell r="AO46">
            <v>1261.9653916081936</v>
          </cell>
          <cell r="AP46">
            <v>1141.0772510686095</v>
          </cell>
          <cell r="AQ46">
            <v>1200</v>
          </cell>
          <cell r="AR46">
            <v>1543.5199256908286</v>
          </cell>
          <cell r="AS46">
            <v>1141.0772510686097</v>
          </cell>
          <cell r="AT46">
            <v>1395.6606777721715</v>
          </cell>
          <cell r="AU46">
            <v>1141.0772510686097</v>
          </cell>
          <cell r="AV46">
            <v>1261.9653916081941</v>
          </cell>
          <cell r="AW46">
            <v>1199.9999999999995</v>
          </cell>
          <cell r="AX46">
            <v>1199.9999999999995</v>
          </cell>
          <cell r="AY46">
            <v>1141.0772510686097</v>
          </cell>
          <cell r="AZ46">
            <v>1199.9999999999995</v>
          </cell>
          <cell r="BA46">
            <v>1085.0477440885795</v>
          </cell>
          <cell r="BB46">
            <v>1141.0772510686097</v>
          </cell>
          <cell r="BC46">
            <v>1395.6606777721713</v>
          </cell>
          <cell r="BD46">
            <v>1327.1305413473522</v>
          </cell>
          <cell r="BE46">
            <v>1141.0772510686097</v>
          </cell>
          <cell r="BF46">
            <v>1031.7694142523271</v>
          </cell>
          <cell r="BG46">
            <v>843.56364387297231</v>
          </cell>
          <cell r="BH46">
            <v>1327.1305413473517</v>
          </cell>
          <cell r="BI46">
            <v>1395.6606777721713</v>
          </cell>
          <cell r="BJ46">
            <v>1467.7295614807631</v>
          </cell>
          <cell r="BK46">
            <v>1141.0772510686099</v>
          </cell>
          <cell r="BL46">
            <v>1199.9999999999995</v>
          </cell>
          <cell r="BM46">
            <v>1199.9999999999995</v>
          </cell>
          <cell r="BN46">
            <v>1261.9653916081941</v>
          </cell>
          <cell r="BO46">
            <v>1031.7694142523274</v>
          </cell>
          <cell r="BP46">
            <v>1085.0477440885795</v>
          </cell>
          <cell r="BQ46">
            <v>1261.9653916081941</v>
          </cell>
          <cell r="BR46">
            <v>1467.7295614807633</v>
          </cell>
          <cell r="BS46">
            <v>1467.7295614807629</v>
          </cell>
          <cell r="BT46">
            <v>1199.9999999999995</v>
          </cell>
          <cell r="BU46">
            <v>1141.0772510686097</v>
          </cell>
          <cell r="BV46">
            <v>1199.9999999999995</v>
          </cell>
          <cell r="BW46">
            <v>1199.9999999999998</v>
          </cell>
          <cell r="BX46">
            <v>1085.0477440885795</v>
          </cell>
          <cell r="BY46">
            <v>1327.1305413473522</v>
          </cell>
          <cell r="BZ46">
            <v>1141.0772510686097</v>
          </cell>
          <cell r="CA46">
            <v>1199.9999999999995</v>
          </cell>
          <cell r="CB46">
            <v>932.93256279506875</v>
          </cell>
          <cell r="CC46">
            <v>1085.0477440885795</v>
          </cell>
          <cell r="CD46">
            <v>1327.1305413473519</v>
          </cell>
          <cell r="CE46">
            <v>1085.0477440885795</v>
          </cell>
          <cell r="CF46">
            <v>981.10717245976252</v>
          </cell>
          <cell r="CG46">
            <v>1141.0772510686097</v>
          </cell>
          <cell r="CH46">
            <v>1261.9653916081936</v>
          </cell>
          <cell r="CI46">
            <v>1543.5199256908281</v>
          </cell>
          <cell r="CJ46">
            <v>1141.0772510686097</v>
          </cell>
          <cell r="CK46">
            <v>1141.0772510686097</v>
          </cell>
          <cell r="CL46">
            <v>1085.0477440885795</v>
          </cell>
          <cell r="CM46">
            <v>1200</v>
          </cell>
          <cell r="CN46">
            <v>887.12343682215874</v>
          </cell>
          <cell r="CO46">
            <v>1327.1305413473522</v>
          </cell>
          <cell r="CP46">
            <v>887.12343682215874</v>
          </cell>
          <cell r="CQ46">
            <v>1327.1305413473522</v>
          </cell>
          <cell r="CR46">
            <v>887.12343682215874</v>
          </cell>
          <cell r="CS46">
            <v>1395.6606777721713</v>
          </cell>
          <cell r="CT46">
            <v>1031.7694142523269</v>
          </cell>
          <cell r="CU46">
            <v>1327.1305413473517</v>
          </cell>
          <cell r="CV46">
            <v>1395.6606777721715</v>
          </cell>
          <cell r="CW46">
            <v>1261.9653916081936</v>
          </cell>
          <cell r="CX46">
            <v>1085.0477440885795</v>
          </cell>
          <cell r="CY46">
            <v>1467.7295614807629</v>
          </cell>
        </row>
        <row r="47">
          <cell r="D47">
            <v>1294.1378648840334</v>
          </cell>
          <cell r="E47">
            <v>1360.9643312111427</v>
          </cell>
          <cell r="F47">
            <v>1431.2415710013781</v>
          </cell>
          <cell r="G47">
            <v>1230.5927311380608</v>
          </cell>
          <cell r="H47">
            <v>1170.167809026693</v>
          </cell>
          <cell r="I47">
            <v>1170.167809026693</v>
          </cell>
          <cell r="J47">
            <v>1112.7098890109644</v>
          </cell>
          <cell r="K47">
            <v>1230.5927311380613</v>
          </cell>
          <cell r="L47">
            <v>1664.6063175329095</v>
          </cell>
          <cell r="M47">
            <v>1294.1378648840337</v>
          </cell>
          <cell r="N47">
            <v>1230.5927311380608</v>
          </cell>
          <cell r="O47">
            <v>1505.1477746955675</v>
          </cell>
          <cell r="P47">
            <v>1582.8703341015782</v>
          </cell>
          <cell r="Q47">
            <v>1112.7098890109644</v>
          </cell>
          <cell r="R47">
            <v>1431.2415710013781</v>
          </cell>
          <cell r="S47">
            <v>1294.1378648840339</v>
          </cell>
          <cell r="T47">
            <v>909.73971081296975</v>
          </cell>
          <cell r="U47">
            <v>1112.7098890109644</v>
          </cell>
          <cell r="V47">
            <v>1582.8703341015785</v>
          </cell>
          <cell r="W47">
            <v>1431.2415710013781</v>
          </cell>
          <cell r="X47">
            <v>1664.6063175329093</v>
          </cell>
          <cell r="Y47">
            <v>1170.167809026693</v>
          </cell>
          <cell r="Z47">
            <v>1230.592731138061</v>
          </cell>
          <cell r="AA47">
            <v>1170.167809026693</v>
          </cell>
          <cell r="AB47">
            <v>1058.0732844912411</v>
          </cell>
          <cell r="AC47">
            <v>1058.0732844912411</v>
          </cell>
          <cell r="AD47">
            <v>1431.2415710013781</v>
          </cell>
          <cell r="AE47">
            <v>1170.167809026693</v>
          </cell>
          <cell r="AF47">
            <v>1170.167809026693</v>
          </cell>
          <cell r="AG47">
            <v>1170.167809026693</v>
          </cell>
          <cell r="AH47">
            <v>1112.7098890109644</v>
          </cell>
          <cell r="AI47">
            <v>1294.1378648840334</v>
          </cell>
          <cell r="AJ47">
            <v>1006.1194624136672</v>
          </cell>
          <cell r="AK47">
            <v>1112.7098890109644</v>
          </cell>
          <cell r="AL47">
            <v>1360.9643312111432</v>
          </cell>
          <cell r="AM47">
            <v>1294.1378648840339</v>
          </cell>
          <cell r="AN47">
            <v>1360.9643312111432</v>
          </cell>
          <cell r="AO47">
            <v>1294.1378648840334</v>
          </cell>
          <cell r="AP47">
            <v>1170.1678090266928</v>
          </cell>
          <cell r="AQ47">
            <v>1170.1678090266935</v>
          </cell>
          <cell r="AR47">
            <v>1582.8703341015785</v>
          </cell>
          <cell r="AS47">
            <v>1112.7098890109644</v>
          </cell>
          <cell r="AT47">
            <v>1431.2415710013786</v>
          </cell>
          <cell r="AU47">
            <v>1112.7098890109644</v>
          </cell>
          <cell r="AV47">
            <v>1230.5927311380613</v>
          </cell>
          <cell r="AW47">
            <v>1230.5927311380608</v>
          </cell>
          <cell r="AX47">
            <v>1230.5927311380608</v>
          </cell>
          <cell r="AY47">
            <v>1170.167809026693</v>
          </cell>
          <cell r="AZ47">
            <v>1230.5927311380608</v>
          </cell>
          <cell r="BA47">
            <v>1112.7098890109644</v>
          </cell>
          <cell r="BB47">
            <v>1112.7098890109644</v>
          </cell>
          <cell r="BC47">
            <v>1360.964331211143</v>
          </cell>
          <cell r="BD47">
            <v>1294.1378648840339</v>
          </cell>
          <cell r="BE47">
            <v>1170.167809026693</v>
          </cell>
          <cell r="BF47">
            <v>1058.0732844912409</v>
          </cell>
          <cell r="BG47">
            <v>822.59251743784148</v>
          </cell>
          <cell r="BH47">
            <v>1360.9643312111427</v>
          </cell>
          <cell r="BI47">
            <v>1360.964331211143</v>
          </cell>
          <cell r="BJ47">
            <v>1431.2415710013784</v>
          </cell>
          <cell r="BK47">
            <v>1112.7098890109644</v>
          </cell>
          <cell r="BL47">
            <v>1230.5927311380608</v>
          </cell>
          <cell r="BM47">
            <v>1170.167809026693</v>
          </cell>
          <cell r="BN47">
            <v>1294.1378648840339</v>
          </cell>
          <cell r="BO47">
            <v>1058.0732844912411</v>
          </cell>
          <cell r="BP47">
            <v>1058.0732844912411</v>
          </cell>
          <cell r="BQ47">
            <v>1294.1378648840339</v>
          </cell>
          <cell r="BR47">
            <v>1505.1477746955679</v>
          </cell>
          <cell r="BS47">
            <v>1431.2415710013781</v>
          </cell>
          <cell r="BT47">
            <v>1230.5927311380608</v>
          </cell>
          <cell r="BU47">
            <v>1112.7098890109644</v>
          </cell>
          <cell r="BV47">
            <v>1230.5927311380608</v>
          </cell>
          <cell r="BW47">
            <v>1170.1678090266932</v>
          </cell>
          <cell r="BX47">
            <v>1058.0732844912411</v>
          </cell>
          <cell r="BY47">
            <v>1294.1378648840339</v>
          </cell>
          <cell r="BZ47">
            <v>1170.167809026693</v>
          </cell>
          <cell r="CA47">
            <v>1230.5927311380608</v>
          </cell>
          <cell r="CB47">
            <v>956.71669201467876</v>
          </cell>
          <cell r="CC47">
            <v>1112.7098890109644</v>
          </cell>
          <cell r="CD47">
            <v>1360.964331211143</v>
          </cell>
          <cell r="CE47">
            <v>1058.0732844912411</v>
          </cell>
          <cell r="CF47">
            <v>1006.1194624136667</v>
          </cell>
          <cell r="CG47">
            <v>1112.7098890109644</v>
          </cell>
          <cell r="CH47">
            <v>1230.5927311380608</v>
          </cell>
          <cell r="CI47">
            <v>1505.1477746955675</v>
          </cell>
          <cell r="CJ47">
            <v>1170.167809026693</v>
          </cell>
          <cell r="CK47">
            <v>1112.7098890109644</v>
          </cell>
          <cell r="CL47">
            <v>1112.7098890109644</v>
          </cell>
          <cell r="CM47">
            <v>1230.5927311380613</v>
          </cell>
          <cell r="CN47">
            <v>909.73971081296975</v>
          </cell>
          <cell r="CO47">
            <v>1294.1378648840339</v>
          </cell>
          <cell r="CP47">
            <v>909.73971081296975</v>
          </cell>
          <cell r="CQ47">
            <v>1294.1378648840339</v>
          </cell>
          <cell r="CR47">
            <v>865.06940700201312</v>
          </cell>
          <cell r="CS47">
            <v>1360.964331211143</v>
          </cell>
          <cell r="CT47">
            <v>1006.1194624136668</v>
          </cell>
          <cell r="CU47">
            <v>1360.9643312111427</v>
          </cell>
          <cell r="CV47">
            <v>1431.2415710013786</v>
          </cell>
          <cell r="CW47">
            <v>1294.1378648840334</v>
          </cell>
          <cell r="CX47">
            <v>1112.7098890109644</v>
          </cell>
          <cell r="CY47">
            <v>1505.1477746955675</v>
          </cell>
        </row>
        <row r="48">
          <cell r="D48">
            <v>1261.9653916081936</v>
          </cell>
          <cell r="E48">
            <v>1395.6606777721711</v>
          </cell>
          <cell r="F48">
            <v>1467.7295614807629</v>
          </cell>
          <cell r="G48">
            <v>1199.9999999999995</v>
          </cell>
          <cell r="H48">
            <v>1199.9999999999995</v>
          </cell>
          <cell r="I48">
            <v>1141.0772510686097</v>
          </cell>
          <cell r="J48">
            <v>1085.0477440885795</v>
          </cell>
          <cell r="K48">
            <v>1200</v>
          </cell>
          <cell r="L48">
            <v>1623.2239395662309</v>
          </cell>
          <cell r="M48">
            <v>1327.1305413473519</v>
          </cell>
          <cell r="N48">
            <v>1199.9999999999995</v>
          </cell>
          <cell r="O48">
            <v>1467.7295614807629</v>
          </cell>
          <cell r="P48">
            <v>1543.5199256908284</v>
          </cell>
          <cell r="Q48">
            <v>1141.0772510686097</v>
          </cell>
          <cell r="R48">
            <v>1395.6606777721711</v>
          </cell>
          <cell r="S48">
            <v>1327.1305413473522</v>
          </cell>
          <cell r="T48">
            <v>887.12343682215874</v>
          </cell>
          <cell r="U48">
            <v>1085.0477440885795</v>
          </cell>
          <cell r="V48">
            <v>1623.2239395662309</v>
          </cell>
          <cell r="W48">
            <v>1395.6606777721711</v>
          </cell>
          <cell r="X48">
            <v>1623.2239395662307</v>
          </cell>
          <cell r="Y48">
            <v>1141.0772510686097</v>
          </cell>
          <cell r="Z48">
            <v>1199.9999999999998</v>
          </cell>
          <cell r="AA48">
            <v>1141.0772510686097</v>
          </cell>
          <cell r="AB48">
            <v>1085.0477440885795</v>
          </cell>
          <cell r="AC48">
            <v>1085.0477440885795</v>
          </cell>
          <cell r="AD48">
            <v>1395.6606777721711</v>
          </cell>
          <cell r="AE48">
            <v>1199.9999999999995</v>
          </cell>
          <cell r="AF48">
            <v>1141.0772510686097</v>
          </cell>
          <cell r="AG48">
            <v>1141.0772510686097</v>
          </cell>
          <cell r="AH48">
            <v>1141.0772510686097</v>
          </cell>
          <cell r="AI48">
            <v>1261.9653916081936</v>
          </cell>
          <cell r="AJ48">
            <v>1031.7694142523274</v>
          </cell>
          <cell r="AK48">
            <v>1085.0477440885795</v>
          </cell>
          <cell r="AL48">
            <v>1327.1305413473522</v>
          </cell>
          <cell r="AM48">
            <v>1261.9653916081941</v>
          </cell>
          <cell r="AN48">
            <v>1327.1305413473522</v>
          </cell>
          <cell r="AO48">
            <v>1261.9653916081936</v>
          </cell>
          <cell r="AP48">
            <v>1199.9999999999993</v>
          </cell>
          <cell r="AQ48">
            <v>1200</v>
          </cell>
          <cell r="AR48">
            <v>1543.5199256908286</v>
          </cell>
          <cell r="AS48">
            <v>1141.0772510686097</v>
          </cell>
          <cell r="AT48">
            <v>1467.7295614807633</v>
          </cell>
          <cell r="AU48">
            <v>1141.0772510686097</v>
          </cell>
          <cell r="AV48">
            <v>1200</v>
          </cell>
          <cell r="AW48">
            <v>1261.9653916081936</v>
          </cell>
          <cell r="AX48">
            <v>1261.9653916081936</v>
          </cell>
          <cell r="AY48">
            <v>1141.0772510686097</v>
          </cell>
          <cell r="AZ48">
            <v>1261.9653916081936</v>
          </cell>
          <cell r="BA48">
            <v>1141.0772510686097</v>
          </cell>
          <cell r="BB48">
            <v>1085.0477440885795</v>
          </cell>
          <cell r="BC48">
            <v>1395.6606777721713</v>
          </cell>
          <cell r="BD48">
            <v>1327.1305413473522</v>
          </cell>
          <cell r="BE48">
            <v>1199.9999999999995</v>
          </cell>
          <cell r="BF48">
            <v>1085.0477440885793</v>
          </cell>
          <cell r="BG48">
            <v>802.1427365433259</v>
          </cell>
          <cell r="BH48">
            <v>1327.1305413473517</v>
          </cell>
          <cell r="BI48">
            <v>1395.6606777721713</v>
          </cell>
          <cell r="BJ48">
            <v>1467.7295614807631</v>
          </cell>
          <cell r="BK48">
            <v>1085.0477440885795</v>
          </cell>
          <cell r="BL48">
            <v>1199.9999999999995</v>
          </cell>
          <cell r="BM48">
            <v>1199.9999999999995</v>
          </cell>
          <cell r="BN48">
            <v>1327.1305413473522</v>
          </cell>
          <cell r="BO48">
            <v>1085.0477440885795</v>
          </cell>
          <cell r="BP48">
            <v>1085.0477440885795</v>
          </cell>
          <cell r="BQ48">
            <v>1261.9653916081941</v>
          </cell>
          <cell r="BR48">
            <v>1543.5199256908286</v>
          </cell>
          <cell r="BS48">
            <v>1395.6606777721711</v>
          </cell>
          <cell r="BT48">
            <v>1261.9653916081936</v>
          </cell>
          <cell r="BU48">
            <v>1141.0772510686097</v>
          </cell>
          <cell r="BV48">
            <v>1261.9653916081936</v>
          </cell>
          <cell r="BW48">
            <v>1141.0772510686097</v>
          </cell>
          <cell r="BX48">
            <v>1085.0477440885795</v>
          </cell>
          <cell r="BY48">
            <v>1327.1305413473522</v>
          </cell>
          <cell r="BZ48">
            <v>1141.0772510686097</v>
          </cell>
          <cell r="CA48">
            <v>1199.9999999999995</v>
          </cell>
          <cell r="CB48">
            <v>981.10717245976252</v>
          </cell>
          <cell r="CC48">
            <v>1141.0772510686097</v>
          </cell>
          <cell r="CD48">
            <v>1327.1305413473519</v>
          </cell>
          <cell r="CE48">
            <v>1085.0477440885795</v>
          </cell>
          <cell r="CF48">
            <v>1031.7694142523269</v>
          </cell>
          <cell r="CG48">
            <v>1085.0477440885795</v>
          </cell>
          <cell r="CH48">
            <v>1261.9653916081936</v>
          </cell>
          <cell r="CI48">
            <v>1543.5199256908281</v>
          </cell>
          <cell r="CJ48">
            <v>1141.0772510686097</v>
          </cell>
          <cell r="CK48">
            <v>1085.0477440885795</v>
          </cell>
          <cell r="CL48">
            <v>1141.0772510686097</v>
          </cell>
          <cell r="CM48">
            <v>1261.9653916081941</v>
          </cell>
          <cell r="CN48">
            <v>932.93256279506875</v>
          </cell>
          <cell r="CO48">
            <v>1261.9653916081941</v>
          </cell>
          <cell r="CP48">
            <v>887.12343682215874</v>
          </cell>
          <cell r="CQ48">
            <v>1261.9653916081941</v>
          </cell>
          <cell r="CR48">
            <v>887.12343682215874</v>
          </cell>
          <cell r="CS48">
            <v>1327.1305413473519</v>
          </cell>
          <cell r="CT48">
            <v>1031.7694142523269</v>
          </cell>
          <cell r="CU48">
            <v>1327.1305413473517</v>
          </cell>
          <cell r="CV48">
            <v>1467.7295614807633</v>
          </cell>
          <cell r="CW48">
            <v>1261.9653916081936</v>
          </cell>
          <cell r="CX48">
            <v>1141.0772510686097</v>
          </cell>
          <cell r="CY48">
            <v>1543.5199256908281</v>
          </cell>
        </row>
        <row r="49">
          <cell r="D49">
            <v>1294.1378648840334</v>
          </cell>
          <cell r="E49">
            <v>1431.2415710013781</v>
          </cell>
          <cell r="F49">
            <v>1505.1477746955675</v>
          </cell>
          <cell r="G49">
            <v>1230.5927311380608</v>
          </cell>
          <cell r="H49">
            <v>1170.167809026693</v>
          </cell>
          <cell r="I49">
            <v>1170.167809026693</v>
          </cell>
          <cell r="J49">
            <v>1058.0732844912411</v>
          </cell>
          <cell r="K49">
            <v>1230.5927311380613</v>
          </cell>
          <cell r="L49">
            <v>1582.8703341015785</v>
          </cell>
          <cell r="M49">
            <v>1360.964331211143</v>
          </cell>
          <cell r="N49">
            <v>1230.5927311380608</v>
          </cell>
          <cell r="O49">
            <v>1505.1477746955675</v>
          </cell>
          <cell r="P49">
            <v>1505.1477746955677</v>
          </cell>
          <cell r="Q49">
            <v>1170.167809026693</v>
          </cell>
          <cell r="R49">
            <v>1360.9643312111427</v>
          </cell>
          <cell r="S49">
            <v>1294.1378648840339</v>
          </cell>
          <cell r="T49">
            <v>909.73971081296975</v>
          </cell>
          <cell r="U49">
            <v>1058.0732844912411</v>
          </cell>
          <cell r="V49">
            <v>1582.8703341015785</v>
          </cell>
          <cell r="W49">
            <v>1431.2415710013781</v>
          </cell>
          <cell r="X49">
            <v>1664.6063175329093</v>
          </cell>
          <cell r="Y49">
            <v>1112.7098890109644</v>
          </cell>
          <cell r="Z49">
            <v>1170.1678090266932</v>
          </cell>
          <cell r="AA49">
            <v>1170.167809026693</v>
          </cell>
          <cell r="AB49">
            <v>1058.0732844912411</v>
          </cell>
          <cell r="AC49">
            <v>1112.7098890109644</v>
          </cell>
          <cell r="AD49">
            <v>1360.9643312111427</v>
          </cell>
          <cell r="AE49">
            <v>1230.5927311380608</v>
          </cell>
          <cell r="AF49">
            <v>1170.167809026693</v>
          </cell>
          <cell r="AG49">
            <v>1112.7098890109644</v>
          </cell>
          <cell r="AH49">
            <v>1170.167809026693</v>
          </cell>
          <cell r="AI49">
            <v>1294.1378648840334</v>
          </cell>
          <cell r="AJ49">
            <v>1006.1194624136672</v>
          </cell>
          <cell r="AK49">
            <v>1112.7098890109644</v>
          </cell>
          <cell r="AL49">
            <v>1360.9643312111432</v>
          </cell>
          <cell r="AM49">
            <v>1294.1378648840339</v>
          </cell>
          <cell r="AN49">
            <v>1294.1378648840339</v>
          </cell>
          <cell r="AO49">
            <v>1294.1378648840334</v>
          </cell>
          <cell r="AP49">
            <v>1170.1678090266928</v>
          </cell>
          <cell r="AQ49">
            <v>1230.5927311380613</v>
          </cell>
          <cell r="AR49">
            <v>1582.8703341015785</v>
          </cell>
          <cell r="AS49">
            <v>1112.7098890109644</v>
          </cell>
          <cell r="AT49">
            <v>1505.1477746955679</v>
          </cell>
          <cell r="AU49">
            <v>1170.167809026693</v>
          </cell>
          <cell r="AV49">
            <v>1230.5927311380613</v>
          </cell>
          <cell r="AW49">
            <v>1230.5927311380608</v>
          </cell>
          <cell r="AX49">
            <v>1294.1378648840334</v>
          </cell>
          <cell r="AY49">
            <v>1170.167809026693</v>
          </cell>
          <cell r="AZ49">
            <v>1294.1378648840334</v>
          </cell>
          <cell r="BA49">
            <v>1170.167809026693</v>
          </cell>
          <cell r="BB49">
            <v>1112.7098890109644</v>
          </cell>
          <cell r="BC49">
            <v>1360.964331211143</v>
          </cell>
          <cell r="BD49">
            <v>1294.1378648840339</v>
          </cell>
          <cell r="BE49">
            <v>1230.5927311380608</v>
          </cell>
          <cell r="BF49">
            <v>1058.0732844912409</v>
          </cell>
          <cell r="BG49">
            <v>782.20134045631653</v>
          </cell>
          <cell r="BH49">
            <v>1294.1378648840334</v>
          </cell>
          <cell r="BI49">
            <v>1360.964331211143</v>
          </cell>
          <cell r="BJ49">
            <v>1431.2415710013784</v>
          </cell>
          <cell r="BK49">
            <v>1112.7098890109644</v>
          </cell>
          <cell r="BL49">
            <v>1170.167809026693</v>
          </cell>
          <cell r="BM49">
            <v>1230.5927311380608</v>
          </cell>
          <cell r="BN49">
            <v>1360.9643312111432</v>
          </cell>
          <cell r="BO49">
            <v>1112.7098890109644</v>
          </cell>
          <cell r="BP49">
            <v>1058.0732844912411</v>
          </cell>
          <cell r="BQ49">
            <v>1230.5927311380613</v>
          </cell>
          <cell r="BR49">
            <v>1582.8703341015785</v>
          </cell>
          <cell r="BS49">
            <v>1431.2415710013781</v>
          </cell>
          <cell r="BT49">
            <v>1294.1378648840334</v>
          </cell>
          <cell r="BU49">
            <v>1170.167809026693</v>
          </cell>
          <cell r="BV49">
            <v>1230.5927311380608</v>
          </cell>
          <cell r="BW49">
            <v>1112.7098890109644</v>
          </cell>
          <cell r="BX49">
            <v>1058.0732844912411</v>
          </cell>
          <cell r="BY49">
            <v>1360.9643312111432</v>
          </cell>
          <cell r="BZ49">
            <v>1112.7098890109644</v>
          </cell>
          <cell r="CA49">
            <v>1170.167809026693</v>
          </cell>
          <cell r="CB49">
            <v>956.71669201467876</v>
          </cell>
          <cell r="CC49">
            <v>1170.167809026693</v>
          </cell>
          <cell r="CD49">
            <v>1360.964331211143</v>
          </cell>
          <cell r="CE49">
            <v>1112.7098890109644</v>
          </cell>
          <cell r="CF49">
            <v>1006.1194624136668</v>
          </cell>
          <cell r="CG49">
            <v>1058.0732844912411</v>
          </cell>
          <cell r="CH49">
            <v>1230.5927311380608</v>
          </cell>
          <cell r="CI49">
            <v>1582.870334101578</v>
          </cell>
          <cell r="CJ49">
            <v>1112.7098890109644</v>
          </cell>
          <cell r="CK49">
            <v>1058.0732844912411</v>
          </cell>
          <cell r="CL49">
            <v>1170.167809026693</v>
          </cell>
          <cell r="CM49">
            <v>1294.1378648840339</v>
          </cell>
          <cell r="CN49">
            <v>956.71669201467876</v>
          </cell>
          <cell r="CO49">
            <v>1230.5927311380613</v>
          </cell>
          <cell r="CP49">
            <v>865.06940700201312</v>
          </cell>
          <cell r="CQ49">
            <v>1294.1378648840339</v>
          </cell>
          <cell r="CR49">
            <v>909.73971081296975</v>
          </cell>
          <cell r="CS49">
            <v>1294.1378648840337</v>
          </cell>
          <cell r="CT49">
            <v>1058.0732844912407</v>
          </cell>
          <cell r="CU49">
            <v>1360.9643312111427</v>
          </cell>
          <cell r="CV49">
            <v>1431.2415710013786</v>
          </cell>
          <cell r="CW49">
            <v>1230.5927311380608</v>
          </cell>
          <cell r="CX49">
            <v>1112.7098890109644</v>
          </cell>
          <cell r="CY49">
            <v>1582.870334101578</v>
          </cell>
        </row>
        <row r="50">
          <cell r="D50">
            <v>1261.9653916081936</v>
          </cell>
          <cell r="E50">
            <v>1395.6606777721711</v>
          </cell>
          <cell r="F50">
            <v>1467.7295614807629</v>
          </cell>
          <cell r="G50">
            <v>1261.9653916081936</v>
          </cell>
          <cell r="H50">
            <v>1199.9999999999995</v>
          </cell>
          <cell r="I50">
            <v>1141.0772510686097</v>
          </cell>
          <cell r="J50">
            <v>1031.7694142523274</v>
          </cell>
          <cell r="K50">
            <v>1261.9653916081941</v>
          </cell>
          <cell r="L50">
            <v>1623.2239395662309</v>
          </cell>
          <cell r="M50">
            <v>1327.1305413473519</v>
          </cell>
          <cell r="N50">
            <v>1199.9999999999995</v>
          </cell>
          <cell r="O50">
            <v>1543.5199256908281</v>
          </cell>
          <cell r="P50">
            <v>1543.5199256908284</v>
          </cell>
          <cell r="Q50">
            <v>1141.0772510686097</v>
          </cell>
          <cell r="R50">
            <v>1395.6606777721711</v>
          </cell>
          <cell r="S50">
            <v>1327.1305413473522</v>
          </cell>
          <cell r="T50">
            <v>887.12343682215874</v>
          </cell>
          <cell r="U50">
            <v>1031.7694142523274</v>
          </cell>
          <cell r="V50">
            <v>1623.2239395662309</v>
          </cell>
          <cell r="W50">
            <v>1467.7295614807629</v>
          </cell>
          <cell r="X50">
            <v>1707.0436954687448</v>
          </cell>
          <cell r="Y50">
            <v>1085.0477440885795</v>
          </cell>
          <cell r="Z50">
            <v>1141.0772510686097</v>
          </cell>
          <cell r="AA50">
            <v>1199.9999999999995</v>
          </cell>
          <cell r="AB50">
            <v>1085.0477440885795</v>
          </cell>
          <cell r="AC50">
            <v>1085.0477440885795</v>
          </cell>
          <cell r="AD50">
            <v>1327.1305413473517</v>
          </cell>
          <cell r="AE50">
            <v>1261.9653916081936</v>
          </cell>
          <cell r="AF50">
            <v>1199.9999999999995</v>
          </cell>
          <cell r="AG50">
            <v>1085.0477440885795</v>
          </cell>
          <cell r="AH50">
            <v>1141.0772510686097</v>
          </cell>
          <cell r="AI50">
            <v>1327.1305413473517</v>
          </cell>
          <cell r="AJ50">
            <v>981.10717245976286</v>
          </cell>
          <cell r="AK50">
            <v>1141.0772510686097</v>
          </cell>
          <cell r="AL50">
            <v>1395.6606777721715</v>
          </cell>
          <cell r="AM50">
            <v>1261.9653916081941</v>
          </cell>
          <cell r="AN50">
            <v>1261.9653916081941</v>
          </cell>
          <cell r="AO50">
            <v>1327.1305413473517</v>
          </cell>
          <cell r="AP50">
            <v>1141.0772510686095</v>
          </cell>
          <cell r="AQ50">
            <v>1261.9653916081941</v>
          </cell>
          <cell r="AR50">
            <v>1543.5199256908286</v>
          </cell>
          <cell r="AS50">
            <v>1085.0477440885795</v>
          </cell>
          <cell r="AT50">
            <v>1467.7295614807631</v>
          </cell>
          <cell r="AU50">
            <v>1141.0772510686097</v>
          </cell>
          <cell r="AV50">
            <v>1200</v>
          </cell>
          <cell r="AW50">
            <v>1199.9999999999995</v>
          </cell>
          <cell r="AX50">
            <v>1261.9653916081936</v>
          </cell>
          <cell r="AY50">
            <v>1141.0772510686097</v>
          </cell>
          <cell r="AZ50">
            <v>1327.1305413473517</v>
          </cell>
          <cell r="BA50">
            <v>1199.9999999999995</v>
          </cell>
          <cell r="BB50">
            <v>1141.0772510686097</v>
          </cell>
          <cell r="BC50">
            <v>1395.6606777721713</v>
          </cell>
          <cell r="BD50">
            <v>1327.1305413473522</v>
          </cell>
          <cell r="BE50">
            <v>1199.9999999999995</v>
          </cell>
          <cell r="BF50">
            <v>1031.7694142523271</v>
          </cell>
          <cell r="BG50">
            <v>762.75569064959211</v>
          </cell>
          <cell r="BH50">
            <v>1261.9653916081936</v>
          </cell>
          <cell r="BI50">
            <v>1395.6606777721713</v>
          </cell>
          <cell r="BJ50">
            <v>1395.6606777721713</v>
          </cell>
          <cell r="BK50">
            <v>1085.0477440885795</v>
          </cell>
          <cell r="BL50">
            <v>1141.0772510686097</v>
          </cell>
          <cell r="BM50">
            <v>1261.9653916081936</v>
          </cell>
          <cell r="BN50">
            <v>1395.6606777721715</v>
          </cell>
          <cell r="BO50">
            <v>1141.0772510686097</v>
          </cell>
          <cell r="BP50">
            <v>1031.7694142523274</v>
          </cell>
          <cell r="BQ50">
            <v>1261.9653916081941</v>
          </cell>
          <cell r="BR50">
            <v>1623.2239395662309</v>
          </cell>
          <cell r="BS50">
            <v>1467.7295614807629</v>
          </cell>
          <cell r="BT50">
            <v>1327.1305413473517</v>
          </cell>
          <cell r="BU50">
            <v>1199.9999999999995</v>
          </cell>
          <cell r="BV50">
            <v>1261.9653916081936</v>
          </cell>
          <cell r="BW50">
            <v>1141.0772510686097</v>
          </cell>
          <cell r="BX50">
            <v>1085.0477440885795</v>
          </cell>
          <cell r="BY50">
            <v>1395.6606777721715</v>
          </cell>
          <cell r="BZ50">
            <v>1085.0477440885795</v>
          </cell>
          <cell r="CA50">
            <v>1199.9999999999995</v>
          </cell>
          <cell r="CB50">
            <v>932.93256279506875</v>
          </cell>
          <cell r="CC50">
            <v>1199.9999999999995</v>
          </cell>
          <cell r="CD50">
            <v>1327.1305413473519</v>
          </cell>
          <cell r="CE50">
            <v>1085.0477440885795</v>
          </cell>
          <cell r="CF50">
            <v>1031.7694142523269</v>
          </cell>
          <cell r="CG50">
            <v>1031.7694142523274</v>
          </cell>
          <cell r="CH50">
            <v>1199.9999999999995</v>
          </cell>
          <cell r="CI50">
            <v>1543.5199256908281</v>
          </cell>
          <cell r="CJ50">
            <v>1085.0477440885795</v>
          </cell>
          <cell r="CK50">
            <v>1085.0477440885795</v>
          </cell>
          <cell r="CL50">
            <v>1199.9999999999995</v>
          </cell>
          <cell r="CM50">
            <v>1327.1305413473522</v>
          </cell>
          <cell r="CN50">
            <v>981.10717245976252</v>
          </cell>
          <cell r="CO50">
            <v>1200</v>
          </cell>
          <cell r="CP50">
            <v>887.12343682215874</v>
          </cell>
          <cell r="CQ50">
            <v>1261.9653916081941</v>
          </cell>
          <cell r="CR50">
            <v>932.93256279506875</v>
          </cell>
          <cell r="CS50">
            <v>1261.9653916081938</v>
          </cell>
          <cell r="CT50">
            <v>1031.7694142523269</v>
          </cell>
          <cell r="CU50">
            <v>1327.1305413473517</v>
          </cell>
          <cell r="CV50">
            <v>1395.6606777721715</v>
          </cell>
          <cell r="CW50">
            <v>1261.9653916081936</v>
          </cell>
          <cell r="CX50">
            <v>1085.0477440885795</v>
          </cell>
          <cell r="CY50">
            <v>1623.2239395662305</v>
          </cell>
        </row>
        <row r="51">
          <cell r="D51">
            <v>1230.5927311380608</v>
          </cell>
          <cell r="E51">
            <v>1360.9643312111427</v>
          </cell>
          <cell r="F51">
            <v>1505.1477746955675</v>
          </cell>
          <cell r="G51">
            <v>1294.1378648840334</v>
          </cell>
          <cell r="H51">
            <v>1230.5927311380608</v>
          </cell>
          <cell r="I51">
            <v>1112.7098890109644</v>
          </cell>
          <cell r="J51">
            <v>1058.0732844912411</v>
          </cell>
          <cell r="K51">
            <v>1230.5927311380613</v>
          </cell>
          <cell r="L51">
            <v>1664.6063175329095</v>
          </cell>
          <cell r="M51">
            <v>1360.964331211143</v>
          </cell>
          <cell r="N51">
            <v>1170.167809026693</v>
          </cell>
          <cell r="O51">
            <v>1505.1477746955675</v>
          </cell>
          <cell r="P51">
            <v>1582.8703341015782</v>
          </cell>
          <cell r="Q51">
            <v>1112.7098890109644</v>
          </cell>
          <cell r="R51">
            <v>1360.9643312111427</v>
          </cell>
          <cell r="S51">
            <v>1294.1378648840339</v>
          </cell>
          <cell r="T51">
            <v>865.06940700201312</v>
          </cell>
          <cell r="U51">
            <v>1058.0732844912411</v>
          </cell>
          <cell r="V51">
            <v>1664.6063175329095</v>
          </cell>
          <cell r="W51">
            <v>1505.1477746955675</v>
          </cell>
          <cell r="X51">
            <v>1664.6063175329093</v>
          </cell>
          <cell r="Y51">
            <v>1112.7098890109644</v>
          </cell>
          <cell r="Z51">
            <v>1112.7098890109644</v>
          </cell>
          <cell r="AA51">
            <v>1230.5927311380608</v>
          </cell>
          <cell r="AB51">
            <v>1058.0732844912411</v>
          </cell>
          <cell r="AC51">
            <v>1112.7098890109644</v>
          </cell>
          <cell r="AD51">
            <v>1294.1378648840334</v>
          </cell>
          <cell r="AE51">
            <v>1294.1378648840334</v>
          </cell>
          <cell r="AF51">
            <v>1230.5927311380608</v>
          </cell>
          <cell r="AG51">
            <v>1112.7098890109644</v>
          </cell>
          <cell r="AH51">
            <v>1112.7098890109644</v>
          </cell>
          <cell r="AI51">
            <v>1294.1378648840334</v>
          </cell>
          <cell r="AJ51">
            <v>956.7166920146791</v>
          </cell>
          <cell r="AK51">
            <v>1170.167809026693</v>
          </cell>
          <cell r="AL51">
            <v>1360.9643312111432</v>
          </cell>
          <cell r="AM51">
            <v>1294.1378648840339</v>
          </cell>
          <cell r="AN51">
            <v>1294.1378648840339</v>
          </cell>
          <cell r="AO51">
            <v>1294.1378648840334</v>
          </cell>
          <cell r="AP51">
            <v>1170.1678090266928</v>
          </cell>
          <cell r="AQ51">
            <v>1294.1378648840339</v>
          </cell>
          <cell r="AR51">
            <v>1582.8703341015785</v>
          </cell>
          <cell r="AS51">
            <v>1112.7098890109644</v>
          </cell>
          <cell r="AT51">
            <v>1431.2415710013784</v>
          </cell>
          <cell r="AU51">
            <v>1170.167809026693</v>
          </cell>
          <cell r="AV51">
            <v>1170.1678090266935</v>
          </cell>
          <cell r="AW51">
            <v>1170.167809026693</v>
          </cell>
          <cell r="AX51">
            <v>1230.5927311380608</v>
          </cell>
          <cell r="AY51">
            <v>1170.167809026693</v>
          </cell>
          <cell r="AZ51">
            <v>1294.1378648840334</v>
          </cell>
          <cell r="BA51">
            <v>1170.167809026693</v>
          </cell>
          <cell r="BB51">
            <v>1170.167809026693</v>
          </cell>
          <cell r="BC51">
            <v>1360.964331211143</v>
          </cell>
          <cell r="BD51">
            <v>1294.1378648840339</v>
          </cell>
          <cell r="BE51">
            <v>1170.167809026693</v>
          </cell>
          <cell r="BF51">
            <v>1006.119462413667</v>
          </cell>
          <cell r="BG51">
            <v>782.20134045631653</v>
          </cell>
          <cell r="BH51">
            <v>1230.5927311380608</v>
          </cell>
          <cell r="BI51">
            <v>1360.964331211143</v>
          </cell>
          <cell r="BJ51">
            <v>1431.2415710013784</v>
          </cell>
          <cell r="BK51">
            <v>1058.0732844912411</v>
          </cell>
          <cell r="BL51">
            <v>1112.7098890109644</v>
          </cell>
          <cell r="BM51">
            <v>1294.1378648840334</v>
          </cell>
          <cell r="BN51">
            <v>1431.2415710013786</v>
          </cell>
          <cell r="BO51">
            <v>1112.7098890109644</v>
          </cell>
          <cell r="BP51">
            <v>1058.0732844912411</v>
          </cell>
          <cell r="BQ51">
            <v>1294.1378648840339</v>
          </cell>
          <cell r="BR51">
            <v>1664.6063175329095</v>
          </cell>
          <cell r="BS51">
            <v>1431.2415710013781</v>
          </cell>
          <cell r="BT51">
            <v>1294.1378648840334</v>
          </cell>
          <cell r="BU51">
            <v>1230.5927311380608</v>
          </cell>
          <cell r="BV51">
            <v>1230.5927311380608</v>
          </cell>
          <cell r="BW51">
            <v>1170.167809026693</v>
          </cell>
          <cell r="BX51">
            <v>1058.0732844912411</v>
          </cell>
          <cell r="BY51">
            <v>1431.2415710013786</v>
          </cell>
          <cell r="BZ51">
            <v>1058.0732844912411</v>
          </cell>
          <cell r="CA51">
            <v>1170.167809026693</v>
          </cell>
          <cell r="CB51">
            <v>909.73971081296975</v>
          </cell>
          <cell r="CC51">
            <v>1230.5927311380608</v>
          </cell>
          <cell r="CD51">
            <v>1294.1378648840337</v>
          </cell>
          <cell r="CE51">
            <v>1058.0732844912411</v>
          </cell>
          <cell r="CF51">
            <v>1006.1194624136668</v>
          </cell>
          <cell r="CG51">
            <v>1006.1194624136672</v>
          </cell>
          <cell r="CH51">
            <v>1170.167809026693</v>
          </cell>
          <cell r="CI51">
            <v>1505.1477746955675</v>
          </cell>
          <cell r="CJ51">
            <v>1058.0732844912411</v>
          </cell>
          <cell r="CK51">
            <v>1112.7098890109644</v>
          </cell>
          <cell r="CL51">
            <v>1230.5927311380608</v>
          </cell>
          <cell r="CM51">
            <v>1294.1378648840339</v>
          </cell>
          <cell r="CN51">
            <v>956.71669201467876</v>
          </cell>
          <cell r="CO51">
            <v>1230.5927311380613</v>
          </cell>
          <cell r="CP51">
            <v>909.73971081296975</v>
          </cell>
          <cell r="CQ51">
            <v>1230.5927311380613</v>
          </cell>
          <cell r="CR51">
            <v>909.73971081296975</v>
          </cell>
          <cell r="CS51">
            <v>1294.1378648840337</v>
          </cell>
          <cell r="CT51">
            <v>1006.1194624136668</v>
          </cell>
          <cell r="CU51">
            <v>1294.1378648840334</v>
          </cell>
          <cell r="CV51">
            <v>1360.9643312111432</v>
          </cell>
          <cell r="CW51">
            <v>1294.1378648840334</v>
          </cell>
          <cell r="CX51">
            <v>1058.0732844912411</v>
          </cell>
          <cell r="CY51">
            <v>1664.6063175329091</v>
          </cell>
        </row>
        <row r="52">
          <cell r="D52">
            <v>1261.9653916081936</v>
          </cell>
          <cell r="E52">
            <v>1395.6606777721711</v>
          </cell>
          <cell r="F52">
            <v>1543.5199256908281</v>
          </cell>
          <cell r="G52">
            <v>1261.9653916081936</v>
          </cell>
          <cell r="H52">
            <v>1261.9653916081936</v>
          </cell>
          <cell r="I52">
            <v>1141.0772510686097</v>
          </cell>
          <cell r="J52">
            <v>1085.0477440885795</v>
          </cell>
          <cell r="K52">
            <v>1200</v>
          </cell>
          <cell r="L52">
            <v>1707.043695468745</v>
          </cell>
          <cell r="M52">
            <v>1327.1305413473519</v>
          </cell>
          <cell r="N52">
            <v>1141.0772510686097</v>
          </cell>
          <cell r="O52">
            <v>1467.7295614807629</v>
          </cell>
          <cell r="P52">
            <v>1543.5199256908284</v>
          </cell>
          <cell r="Q52">
            <v>1085.0477440885795</v>
          </cell>
          <cell r="R52">
            <v>1327.1305413473517</v>
          </cell>
          <cell r="S52">
            <v>1327.1305413473522</v>
          </cell>
          <cell r="T52">
            <v>843.56364387297219</v>
          </cell>
          <cell r="U52">
            <v>1085.0477440885795</v>
          </cell>
          <cell r="V52">
            <v>1623.2239395662309</v>
          </cell>
          <cell r="W52">
            <v>1467.7295614807629</v>
          </cell>
          <cell r="X52">
            <v>1623.2239395662307</v>
          </cell>
          <cell r="Y52">
            <v>1141.0772510686097</v>
          </cell>
          <cell r="Z52">
            <v>1141.0772510686097</v>
          </cell>
          <cell r="AA52">
            <v>1261.9653916081936</v>
          </cell>
          <cell r="AB52">
            <v>1031.7694142523274</v>
          </cell>
          <cell r="AC52">
            <v>1085.0477440885795</v>
          </cell>
          <cell r="AD52">
            <v>1261.9653916081936</v>
          </cell>
          <cell r="AE52">
            <v>1261.9653916081936</v>
          </cell>
          <cell r="AF52">
            <v>1199.9999999999995</v>
          </cell>
          <cell r="AG52">
            <v>1085.0477440885795</v>
          </cell>
          <cell r="AH52">
            <v>1085.0477440885795</v>
          </cell>
          <cell r="AI52">
            <v>1327.1305413473517</v>
          </cell>
          <cell r="AJ52">
            <v>981.10717245976286</v>
          </cell>
          <cell r="AK52">
            <v>1199.9999999999995</v>
          </cell>
          <cell r="AL52">
            <v>1395.6606777721715</v>
          </cell>
          <cell r="AM52">
            <v>1261.9653916081941</v>
          </cell>
          <cell r="AN52">
            <v>1261.9653916081941</v>
          </cell>
          <cell r="AO52">
            <v>1327.1305413473517</v>
          </cell>
          <cell r="AP52">
            <v>1141.0772510686095</v>
          </cell>
          <cell r="AQ52">
            <v>1327.1305413473522</v>
          </cell>
          <cell r="AR52">
            <v>1623.2239395662309</v>
          </cell>
          <cell r="AS52">
            <v>1141.0772510686097</v>
          </cell>
          <cell r="AT52">
            <v>1395.6606777721713</v>
          </cell>
          <cell r="AU52">
            <v>1141.0772510686097</v>
          </cell>
          <cell r="AV52">
            <v>1200</v>
          </cell>
          <cell r="AW52">
            <v>1199.9999999999995</v>
          </cell>
          <cell r="AX52">
            <v>1261.9653916081936</v>
          </cell>
          <cell r="AY52">
            <v>1141.0772510686097</v>
          </cell>
          <cell r="AZ52">
            <v>1327.1305413473517</v>
          </cell>
          <cell r="BA52">
            <v>1141.0772510686097</v>
          </cell>
          <cell r="BB52">
            <v>1199.9999999999995</v>
          </cell>
          <cell r="BC52">
            <v>1395.6606777721713</v>
          </cell>
          <cell r="BD52">
            <v>1261.9653916081941</v>
          </cell>
          <cell r="BE52">
            <v>1141.0772510686097</v>
          </cell>
          <cell r="BF52">
            <v>981.10717245976264</v>
          </cell>
          <cell r="BG52">
            <v>802.1427365433259</v>
          </cell>
          <cell r="BH52">
            <v>1199.9999999999995</v>
          </cell>
          <cell r="BI52">
            <v>1327.1305413473519</v>
          </cell>
          <cell r="BJ52">
            <v>1467.7295614807631</v>
          </cell>
          <cell r="BK52">
            <v>1031.7694142523274</v>
          </cell>
          <cell r="BL52">
            <v>1085.0477440885795</v>
          </cell>
          <cell r="BM52">
            <v>1327.1305413473517</v>
          </cell>
          <cell r="BN52">
            <v>1395.6606777721715</v>
          </cell>
          <cell r="BO52">
            <v>1085.0477440885795</v>
          </cell>
          <cell r="BP52">
            <v>1031.7694142523274</v>
          </cell>
          <cell r="BQ52">
            <v>1261.9653916081941</v>
          </cell>
          <cell r="BR52">
            <v>1623.2239395662309</v>
          </cell>
          <cell r="BS52">
            <v>1467.7295614807629</v>
          </cell>
          <cell r="BT52">
            <v>1327.1305413473517</v>
          </cell>
          <cell r="BU52">
            <v>1261.9653916081936</v>
          </cell>
          <cell r="BV52">
            <v>1261.9653916081936</v>
          </cell>
          <cell r="BW52">
            <v>1199.9999999999995</v>
          </cell>
          <cell r="BX52">
            <v>1085.0477440885795</v>
          </cell>
          <cell r="BY52">
            <v>1395.6606777721715</v>
          </cell>
          <cell r="BZ52">
            <v>1085.0477440885795</v>
          </cell>
          <cell r="CA52">
            <v>1199.9999999999995</v>
          </cell>
          <cell r="CB52">
            <v>887.12343682215874</v>
          </cell>
          <cell r="CC52">
            <v>1199.9999999999995</v>
          </cell>
          <cell r="CD52">
            <v>1261.9653916081938</v>
          </cell>
          <cell r="CE52">
            <v>1031.7694142523274</v>
          </cell>
          <cell r="CF52">
            <v>1031.7694142523269</v>
          </cell>
          <cell r="CG52">
            <v>1031.7694142523274</v>
          </cell>
          <cell r="CH52">
            <v>1199.9999999999995</v>
          </cell>
          <cell r="CI52">
            <v>1467.7295614807629</v>
          </cell>
          <cell r="CJ52">
            <v>1031.7694142523274</v>
          </cell>
          <cell r="CK52">
            <v>1085.0477440885795</v>
          </cell>
          <cell r="CL52">
            <v>1199.9999999999995</v>
          </cell>
          <cell r="CM52">
            <v>1327.1305413473522</v>
          </cell>
          <cell r="CN52">
            <v>981.10717245976252</v>
          </cell>
          <cell r="CO52">
            <v>1200</v>
          </cell>
          <cell r="CP52">
            <v>932.93256279506875</v>
          </cell>
          <cell r="CQ52">
            <v>1200</v>
          </cell>
          <cell r="CR52">
            <v>932.93256279506875</v>
          </cell>
          <cell r="CS52">
            <v>1261.9653916081938</v>
          </cell>
          <cell r="CT52">
            <v>1031.7694142523269</v>
          </cell>
          <cell r="CU52">
            <v>1327.1305413473517</v>
          </cell>
          <cell r="CV52">
            <v>1327.1305413473522</v>
          </cell>
          <cell r="CW52">
            <v>1327.1305413473517</v>
          </cell>
          <cell r="CX52">
            <v>1085.0477440885795</v>
          </cell>
          <cell r="CY52">
            <v>1707.0436954687445</v>
          </cell>
        </row>
        <row r="53">
          <cell r="D53">
            <v>1294.1378648840334</v>
          </cell>
          <cell r="E53">
            <v>1360.9643312111427</v>
          </cell>
          <cell r="F53">
            <v>1505.1477746955675</v>
          </cell>
          <cell r="G53">
            <v>1294.1378648840334</v>
          </cell>
          <cell r="H53">
            <v>1230.5927311380608</v>
          </cell>
          <cell r="I53">
            <v>1112.7098890109644</v>
          </cell>
          <cell r="J53">
            <v>1112.7098890109644</v>
          </cell>
          <cell r="K53">
            <v>1170.1678090266935</v>
          </cell>
          <cell r="L53">
            <v>1750.5629694824099</v>
          </cell>
          <cell r="M53">
            <v>1360.964331211143</v>
          </cell>
          <cell r="N53">
            <v>1112.7098890109644</v>
          </cell>
          <cell r="O53">
            <v>1505.1477746955675</v>
          </cell>
          <cell r="P53">
            <v>1505.1477746955677</v>
          </cell>
          <cell r="Q53">
            <v>1112.7098890109644</v>
          </cell>
          <cell r="R53">
            <v>1360.9643312111427</v>
          </cell>
          <cell r="S53">
            <v>1360.9643312111432</v>
          </cell>
          <cell r="T53">
            <v>822.59251743784137</v>
          </cell>
          <cell r="U53">
            <v>1058.0732844912411</v>
          </cell>
          <cell r="V53">
            <v>1582.8703341015785</v>
          </cell>
          <cell r="W53">
            <v>1505.1477746955675</v>
          </cell>
          <cell r="X53">
            <v>1582.8703341015782</v>
          </cell>
          <cell r="Y53">
            <v>1112.7098890109644</v>
          </cell>
          <cell r="Z53">
            <v>1170.167809026693</v>
          </cell>
          <cell r="AA53">
            <v>1294.1378648840334</v>
          </cell>
          <cell r="AB53">
            <v>1006.1194624136672</v>
          </cell>
          <cell r="AC53">
            <v>1058.0732844912411</v>
          </cell>
          <cell r="AD53">
            <v>1294.1378648840334</v>
          </cell>
          <cell r="AE53">
            <v>1294.1378648840334</v>
          </cell>
          <cell r="AF53">
            <v>1170.167809026693</v>
          </cell>
          <cell r="AG53">
            <v>1112.7098890109644</v>
          </cell>
          <cell r="AH53">
            <v>1058.0732844912411</v>
          </cell>
          <cell r="AI53">
            <v>1294.1378648840334</v>
          </cell>
          <cell r="AJ53">
            <v>956.7166920146791</v>
          </cell>
          <cell r="AK53">
            <v>1230.5927311380608</v>
          </cell>
          <cell r="AL53">
            <v>1360.9643312111432</v>
          </cell>
          <cell r="AM53">
            <v>1230.5927311380613</v>
          </cell>
          <cell r="AN53">
            <v>1294.1378648840339</v>
          </cell>
          <cell r="AO53">
            <v>1294.1378648840334</v>
          </cell>
          <cell r="AP53">
            <v>1170.1678090266928</v>
          </cell>
          <cell r="AQ53">
            <v>1360.9643312111432</v>
          </cell>
          <cell r="AR53">
            <v>1582.8703341015785</v>
          </cell>
          <cell r="AS53">
            <v>1112.7098890109644</v>
          </cell>
          <cell r="AT53">
            <v>1360.964331211143</v>
          </cell>
          <cell r="AU53">
            <v>1170.167809026693</v>
          </cell>
          <cell r="AV53">
            <v>1230.5927311380613</v>
          </cell>
          <cell r="AW53">
            <v>1170.167809026693</v>
          </cell>
          <cell r="AX53">
            <v>1294.1378648840334</v>
          </cell>
          <cell r="AY53">
            <v>1170.167809026693</v>
          </cell>
          <cell r="AZ53">
            <v>1360.9643312111427</v>
          </cell>
          <cell r="BA53">
            <v>1170.167809026693</v>
          </cell>
          <cell r="BB53">
            <v>1230.5927311380608</v>
          </cell>
          <cell r="BC53">
            <v>1431.2415710013784</v>
          </cell>
          <cell r="BD53">
            <v>1230.5927311380613</v>
          </cell>
          <cell r="BE53">
            <v>1112.7098890109644</v>
          </cell>
          <cell r="BF53">
            <v>956.71669201467887</v>
          </cell>
          <cell r="BG53">
            <v>782.20134045631653</v>
          </cell>
          <cell r="BH53">
            <v>1230.5927311380608</v>
          </cell>
          <cell r="BI53">
            <v>1360.964331211143</v>
          </cell>
          <cell r="BJ53">
            <v>1431.2415710013784</v>
          </cell>
          <cell r="BK53">
            <v>1058.0732844912411</v>
          </cell>
          <cell r="BL53">
            <v>1058.0732844912411</v>
          </cell>
          <cell r="BM53">
            <v>1360.9643312111427</v>
          </cell>
          <cell r="BN53">
            <v>1360.9643312111432</v>
          </cell>
          <cell r="BO53">
            <v>1112.7098890109644</v>
          </cell>
          <cell r="BP53">
            <v>1058.0732844912411</v>
          </cell>
          <cell r="BQ53">
            <v>1294.1378648840339</v>
          </cell>
          <cell r="BR53">
            <v>1664.6063175329095</v>
          </cell>
          <cell r="BS53">
            <v>1505.1477746955675</v>
          </cell>
          <cell r="BT53">
            <v>1294.1378648840334</v>
          </cell>
          <cell r="BU53">
            <v>1230.5927311380608</v>
          </cell>
          <cell r="BV53">
            <v>1294.1378648840334</v>
          </cell>
          <cell r="BW53">
            <v>1230.5927311380608</v>
          </cell>
          <cell r="BX53">
            <v>1058.0732844912411</v>
          </cell>
          <cell r="BY53">
            <v>1431.2415710013786</v>
          </cell>
          <cell r="BZ53">
            <v>1112.7098890109644</v>
          </cell>
          <cell r="CA53">
            <v>1230.5927311380608</v>
          </cell>
          <cell r="CB53">
            <v>865.06940700201312</v>
          </cell>
          <cell r="CC53">
            <v>1230.5927311380608</v>
          </cell>
          <cell r="CD53">
            <v>1294.1378648840337</v>
          </cell>
          <cell r="CE53">
            <v>1006.1194624136672</v>
          </cell>
          <cell r="CF53">
            <v>1058.0732844912407</v>
          </cell>
          <cell r="CG53">
            <v>1058.0732844912411</v>
          </cell>
          <cell r="CH53">
            <v>1170.167809026693</v>
          </cell>
          <cell r="CI53">
            <v>1505.1477746955675</v>
          </cell>
          <cell r="CJ53">
            <v>1006.1194624136672</v>
          </cell>
          <cell r="CK53">
            <v>1112.7098890109644</v>
          </cell>
          <cell r="CL53">
            <v>1230.5927311380608</v>
          </cell>
          <cell r="CM53">
            <v>1294.1378648840339</v>
          </cell>
          <cell r="CN53">
            <v>956.71669201467876</v>
          </cell>
          <cell r="CO53">
            <v>1170.1678090266935</v>
          </cell>
          <cell r="CP53">
            <v>956.71669201467876</v>
          </cell>
          <cell r="CQ53">
            <v>1170.1678090266935</v>
          </cell>
          <cell r="CR53">
            <v>909.73971081296975</v>
          </cell>
          <cell r="CS53">
            <v>1230.592731138061</v>
          </cell>
          <cell r="CT53">
            <v>1006.1194624136668</v>
          </cell>
          <cell r="CU53">
            <v>1360.9643312111427</v>
          </cell>
          <cell r="CV53">
            <v>1360.9643312111432</v>
          </cell>
          <cell r="CW53">
            <v>1360.9643312111427</v>
          </cell>
          <cell r="CX53">
            <v>1058.0732844912411</v>
          </cell>
          <cell r="CY53">
            <v>1750.5629694824095</v>
          </cell>
        </row>
        <row r="54">
          <cell r="D54">
            <v>1261.9653916081936</v>
          </cell>
          <cell r="E54">
            <v>1395.6606777721711</v>
          </cell>
          <cell r="F54">
            <v>1467.7295614807629</v>
          </cell>
          <cell r="G54">
            <v>1327.1305413473517</v>
          </cell>
          <cell r="H54">
            <v>1261.9653916081936</v>
          </cell>
          <cell r="I54">
            <v>1085.0477440885795</v>
          </cell>
          <cell r="J54">
            <v>1085.0477440885795</v>
          </cell>
          <cell r="K54">
            <v>1141.0772510686099</v>
          </cell>
          <cell r="L54">
            <v>1795.191721370428</v>
          </cell>
          <cell r="M54">
            <v>1327.1305413473519</v>
          </cell>
          <cell r="N54">
            <v>1085.0477440885795</v>
          </cell>
          <cell r="O54">
            <v>1467.7295614807629</v>
          </cell>
          <cell r="P54">
            <v>1543.5199256908284</v>
          </cell>
          <cell r="Q54">
            <v>1085.0477440885795</v>
          </cell>
          <cell r="R54">
            <v>1395.6606777721711</v>
          </cell>
          <cell r="S54">
            <v>1395.6606777721715</v>
          </cell>
          <cell r="T54">
            <v>843.56364387297208</v>
          </cell>
          <cell r="U54">
            <v>1031.7694142523274</v>
          </cell>
          <cell r="V54">
            <v>1543.5199256908286</v>
          </cell>
          <cell r="W54">
            <v>1467.7295614807629</v>
          </cell>
          <cell r="X54">
            <v>1543.5199256908284</v>
          </cell>
          <cell r="Y54">
            <v>1141.0772510686097</v>
          </cell>
          <cell r="Z54">
            <v>1141.0772510686097</v>
          </cell>
          <cell r="AA54">
            <v>1327.1305413473517</v>
          </cell>
          <cell r="AB54">
            <v>981.10717245976286</v>
          </cell>
          <cell r="AC54">
            <v>1085.0477440885795</v>
          </cell>
          <cell r="AD54">
            <v>1261.9653916081936</v>
          </cell>
          <cell r="AE54">
            <v>1261.9653916081936</v>
          </cell>
          <cell r="AF54">
            <v>1199.9999999999995</v>
          </cell>
          <cell r="AG54">
            <v>1085.0477440885795</v>
          </cell>
          <cell r="AH54">
            <v>1085.0477440885795</v>
          </cell>
          <cell r="AI54">
            <v>1327.1305413473517</v>
          </cell>
          <cell r="AJ54">
            <v>932.93256279506897</v>
          </cell>
          <cell r="AK54">
            <v>1261.9653916081936</v>
          </cell>
          <cell r="AL54">
            <v>1395.6606777721715</v>
          </cell>
          <cell r="AM54">
            <v>1261.9653916081941</v>
          </cell>
          <cell r="AN54">
            <v>1327.1305413473522</v>
          </cell>
          <cell r="AO54">
            <v>1327.1305413473517</v>
          </cell>
          <cell r="AP54">
            <v>1141.0772510686095</v>
          </cell>
          <cell r="AQ54">
            <v>1395.6606777721715</v>
          </cell>
          <cell r="AR54">
            <v>1623.2239395662309</v>
          </cell>
          <cell r="AS54">
            <v>1141.0772510686097</v>
          </cell>
          <cell r="AT54">
            <v>1327.1305413473519</v>
          </cell>
          <cell r="AU54">
            <v>1199.9999999999995</v>
          </cell>
          <cell r="AV54">
            <v>1200</v>
          </cell>
          <cell r="AW54">
            <v>1199.9999999999995</v>
          </cell>
          <cell r="AX54">
            <v>1261.9653916081936</v>
          </cell>
          <cell r="AY54">
            <v>1199.9999999999995</v>
          </cell>
          <cell r="AZ54">
            <v>1327.1305413473517</v>
          </cell>
          <cell r="BA54">
            <v>1141.0772510686097</v>
          </cell>
          <cell r="BB54">
            <v>1199.9999999999995</v>
          </cell>
          <cell r="BC54">
            <v>1395.6606777721713</v>
          </cell>
          <cell r="BD54">
            <v>1261.9653916081941</v>
          </cell>
          <cell r="BE54">
            <v>1141.0772510686097</v>
          </cell>
          <cell r="BF54">
            <v>981.10717245976264</v>
          </cell>
          <cell r="BG54">
            <v>802.1427365433259</v>
          </cell>
          <cell r="BH54">
            <v>1261.9653916081936</v>
          </cell>
          <cell r="BI54">
            <v>1395.6606777721713</v>
          </cell>
          <cell r="BJ54">
            <v>1395.6606777721713</v>
          </cell>
          <cell r="BK54">
            <v>1085.0477440885795</v>
          </cell>
          <cell r="BL54">
            <v>1031.7694142523274</v>
          </cell>
          <cell r="BM54">
            <v>1395.6606777721711</v>
          </cell>
          <cell r="BN54">
            <v>1327.1305413473522</v>
          </cell>
          <cell r="BO54">
            <v>1141.0772510686097</v>
          </cell>
          <cell r="BP54">
            <v>1085.0477440885795</v>
          </cell>
          <cell r="BQ54">
            <v>1327.1305413473522</v>
          </cell>
          <cell r="BR54">
            <v>1707.043695468745</v>
          </cell>
          <cell r="BS54">
            <v>1467.7295614807629</v>
          </cell>
          <cell r="BT54">
            <v>1261.9653916081936</v>
          </cell>
          <cell r="BU54">
            <v>1261.9653916081936</v>
          </cell>
          <cell r="BV54">
            <v>1261.9653916081936</v>
          </cell>
          <cell r="BW54">
            <v>1199.9999999999995</v>
          </cell>
          <cell r="BX54">
            <v>1031.7694142523274</v>
          </cell>
          <cell r="BY54">
            <v>1467.7295614807633</v>
          </cell>
          <cell r="BZ54">
            <v>1085.0477440885795</v>
          </cell>
          <cell r="CA54">
            <v>1199.9999999999995</v>
          </cell>
          <cell r="CB54">
            <v>843.56364387297219</v>
          </cell>
          <cell r="CC54">
            <v>1261.9653916081936</v>
          </cell>
          <cell r="CD54">
            <v>1261.9653916081938</v>
          </cell>
          <cell r="CE54">
            <v>981.10717245976286</v>
          </cell>
          <cell r="CF54">
            <v>1031.7694142523269</v>
          </cell>
          <cell r="CG54">
            <v>1085.0477440885795</v>
          </cell>
          <cell r="CH54">
            <v>1141.0772510686097</v>
          </cell>
          <cell r="CI54">
            <v>1467.7295614807629</v>
          </cell>
          <cell r="CJ54">
            <v>1031.7694142523274</v>
          </cell>
          <cell r="CK54">
            <v>1085.0477440885795</v>
          </cell>
          <cell r="CL54">
            <v>1199.9999999999995</v>
          </cell>
          <cell r="CM54">
            <v>1327.1305413473522</v>
          </cell>
          <cell r="CN54">
            <v>932.93256279506875</v>
          </cell>
          <cell r="CO54">
            <v>1141.0772510686099</v>
          </cell>
          <cell r="CP54">
            <v>981.10717245976252</v>
          </cell>
          <cell r="CQ54">
            <v>1141.0772510686099</v>
          </cell>
          <cell r="CR54">
            <v>887.12343682215874</v>
          </cell>
          <cell r="CS54">
            <v>1199.9999999999998</v>
          </cell>
          <cell r="CT54">
            <v>981.10717245976264</v>
          </cell>
          <cell r="CU54">
            <v>1395.6606777721711</v>
          </cell>
          <cell r="CV54">
            <v>1395.6606777721715</v>
          </cell>
          <cell r="CW54">
            <v>1395.6606777721711</v>
          </cell>
          <cell r="CX54">
            <v>1085.0477440885795</v>
          </cell>
          <cell r="CY54">
            <v>1795.1917213704276</v>
          </cell>
        </row>
        <row r="55">
          <cell r="D55">
            <v>1230.5927311380608</v>
          </cell>
          <cell r="E55">
            <v>1360.9643312111427</v>
          </cell>
          <cell r="F55">
            <v>1431.2415710013781</v>
          </cell>
          <cell r="G55">
            <v>1360.9643312111427</v>
          </cell>
          <cell r="H55">
            <v>1230.5927311380608</v>
          </cell>
          <cell r="I55">
            <v>1058.0732844912411</v>
          </cell>
          <cell r="J55">
            <v>1112.7098890109644</v>
          </cell>
          <cell r="K55">
            <v>1112.7098890109644</v>
          </cell>
          <cell r="L55">
            <v>1750.5629694824099</v>
          </cell>
          <cell r="M55">
            <v>1294.1378648840337</v>
          </cell>
          <cell r="N55">
            <v>1112.7098890109644</v>
          </cell>
          <cell r="O55">
            <v>1431.2415710013781</v>
          </cell>
          <cell r="P55">
            <v>1505.1477746955677</v>
          </cell>
          <cell r="Q55">
            <v>1058.0732844912411</v>
          </cell>
          <cell r="R55">
            <v>1431.2415710013781</v>
          </cell>
          <cell r="S55">
            <v>1431.2415710013786</v>
          </cell>
          <cell r="T55">
            <v>865.06940700201301</v>
          </cell>
          <cell r="U55">
            <v>1006.1194624136672</v>
          </cell>
          <cell r="V55">
            <v>1582.8703341015785</v>
          </cell>
          <cell r="W55">
            <v>1431.2415710013781</v>
          </cell>
          <cell r="X55">
            <v>1582.8703341015782</v>
          </cell>
          <cell r="Y55">
            <v>1170.167809026693</v>
          </cell>
          <cell r="Z55">
            <v>1112.7098890109644</v>
          </cell>
          <cell r="AA55">
            <v>1294.1378648840334</v>
          </cell>
          <cell r="AB55">
            <v>1006.1194624136671</v>
          </cell>
          <cell r="AC55">
            <v>1058.0732844912411</v>
          </cell>
          <cell r="AD55">
            <v>1294.1378648840334</v>
          </cell>
          <cell r="AE55">
            <v>1230.5927311380608</v>
          </cell>
          <cell r="AF55">
            <v>1230.5927311380608</v>
          </cell>
          <cell r="AG55">
            <v>1058.0732844912411</v>
          </cell>
          <cell r="AH55">
            <v>1058.0732844912411</v>
          </cell>
          <cell r="AI55">
            <v>1294.1378648840334</v>
          </cell>
          <cell r="AJ55">
            <v>909.73971081296986</v>
          </cell>
          <cell r="AK55">
            <v>1294.1378648840334</v>
          </cell>
          <cell r="AL55">
            <v>1360.9643312111432</v>
          </cell>
          <cell r="AM55">
            <v>1294.1378648840339</v>
          </cell>
          <cell r="AN55">
            <v>1294.1378648840339</v>
          </cell>
          <cell r="AO55">
            <v>1294.1378648840334</v>
          </cell>
          <cell r="AP55">
            <v>1170.1678090266928</v>
          </cell>
          <cell r="AQ55">
            <v>1431.2415710013786</v>
          </cell>
          <cell r="AR55">
            <v>1664.6063175329095</v>
          </cell>
          <cell r="AS55">
            <v>1170.167809026693</v>
          </cell>
          <cell r="AT55">
            <v>1360.964331211143</v>
          </cell>
          <cell r="AU55">
            <v>1170.167809026693</v>
          </cell>
          <cell r="AV55">
            <v>1230.5927311380613</v>
          </cell>
          <cell r="AW55">
            <v>1230.5927311380608</v>
          </cell>
          <cell r="AX55">
            <v>1294.1378648840334</v>
          </cell>
          <cell r="AY55">
            <v>1230.5927311380608</v>
          </cell>
          <cell r="AZ55">
            <v>1360.9643312111427</v>
          </cell>
          <cell r="BA55">
            <v>1170.167809026693</v>
          </cell>
          <cell r="BB55">
            <v>1170.167809026693</v>
          </cell>
          <cell r="BC55">
            <v>1431.2415710013784</v>
          </cell>
          <cell r="BD55">
            <v>1230.5927311380613</v>
          </cell>
          <cell r="BE55">
            <v>1170.167809026693</v>
          </cell>
          <cell r="BF55">
            <v>956.71669201467887</v>
          </cell>
          <cell r="BG55">
            <v>822.59251743784148</v>
          </cell>
          <cell r="BH55">
            <v>1294.1378648840334</v>
          </cell>
          <cell r="BI55">
            <v>1360.964331211143</v>
          </cell>
          <cell r="BJ55">
            <v>1360.964331211143</v>
          </cell>
          <cell r="BK55">
            <v>1058.0732844912411</v>
          </cell>
          <cell r="BL55">
            <v>1006.1194624136672</v>
          </cell>
          <cell r="BM55">
            <v>1360.9643312111427</v>
          </cell>
          <cell r="BN55">
            <v>1294.1378648840339</v>
          </cell>
          <cell r="BO55">
            <v>1112.7098890109644</v>
          </cell>
          <cell r="BP55">
            <v>1058.0732844912411</v>
          </cell>
          <cell r="BQ55">
            <v>1294.1378648840339</v>
          </cell>
          <cell r="BR55">
            <v>1664.6063175329095</v>
          </cell>
          <cell r="BS55">
            <v>1505.1477746955675</v>
          </cell>
          <cell r="BT55">
            <v>1230.5927311380608</v>
          </cell>
          <cell r="BU55">
            <v>1230.5927311380608</v>
          </cell>
          <cell r="BV55">
            <v>1294.1378648840334</v>
          </cell>
          <cell r="BW55">
            <v>1170.167809026693</v>
          </cell>
          <cell r="BX55">
            <v>1058.0732844912411</v>
          </cell>
          <cell r="BY55">
            <v>1431.2415710013786</v>
          </cell>
          <cell r="BZ55">
            <v>1058.0732844912411</v>
          </cell>
          <cell r="CA55">
            <v>1170.167809026693</v>
          </cell>
          <cell r="CB55">
            <v>822.59251743784137</v>
          </cell>
          <cell r="CC55">
            <v>1294.1378648840334</v>
          </cell>
          <cell r="CD55">
            <v>1230.592731138061</v>
          </cell>
          <cell r="CE55">
            <v>956.7166920146791</v>
          </cell>
          <cell r="CF55">
            <v>1006.1194624136668</v>
          </cell>
          <cell r="CG55">
            <v>1058.0732844912411</v>
          </cell>
          <cell r="CH55">
            <v>1112.7098890109644</v>
          </cell>
          <cell r="CI55">
            <v>1505.1477746955675</v>
          </cell>
          <cell r="CJ55">
            <v>1058.0732844912411</v>
          </cell>
          <cell r="CK55">
            <v>1058.0732844912411</v>
          </cell>
          <cell r="CL55">
            <v>1230.5927311380608</v>
          </cell>
          <cell r="CM55">
            <v>1360.9643312111432</v>
          </cell>
          <cell r="CN55">
            <v>956.71669201467876</v>
          </cell>
          <cell r="CO55">
            <v>1112.7098890109644</v>
          </cell>
          <cell r="CP55">
            <v>1006.1194624136667</v>
          </cell>
          <cell r="CQ55">
            <v>1112.7098890109644</v>
          </cell>
          <cell r="CR55">
            <v>909.73971081296975</v>
          </cell>
          <cell r="CS55">
            <v>1170.1678090266932</v>
          </cell>
          <cell r="CT55">
            <v>1006.1194624136668</v>
          </cell>
          <cell r="CU55">
            <v>1431.2415710013781</v>
          </cell>
          <cell r="CV55">
            <v>1431.2415710013786</v>
          </cell>
          <cell r="CW55">
            <v>1431.2415710013781</v>
          </cell>
          <cell r="CX55">
            <v>1112.7098890109644</v>
          </cell>
          <cell r="CY55">
            <v>1840.9582360980601</v>
          </cell>
        </row>
        <row r="56">
          <cell r="D56">
            <v>1199.9999999999995</v>
          </cell>
          <cell r="E56">
            <v>1327.1305413473517</v>
          </cell>
          <cell r="F56">
            <v>1395.6606777721711</v>
          </cell>
          <cell r="G56">
            <v>1327.1305413473517</v>
          </cell>
          <cell r="H56">
            <v>1199.9999999999995</v>
          </cell>
          <cell r="I56">
            <v>1031.7694142523274</v>
          </cell>
          <cell r="J56">
            <v>1141.0772510686097</v>
          </cell>
          <cell r="K56">
            <v>1085.0477440885795</v>
          </cell>
          <cell r="L56">
            <v>1707.043695468745</v>
          </cell>
          <cell r="M56">
            <v>1261.9653916081938</v>
          </cell>
          <cell r="N56">
            <v>1085.0477440885795</v>
          </cell>
          <cell r="O56">
            <v>1395.6606777721711</v>
          </cell>
          <cell r="P56">
            <v>1467.7295614807629</v>
          </cell>
          <cell r="Q56">
            <v>1085.0477440885795</v>
          </cell>
          <cell r="R56">
            <v>1395.6606777721711</v>
          </cell>
          <cell r="S56">
            <v>1467.7295614807633</v>
          </cell>
          <cell r="T56">
            <v>887.12343682215862</v>
          </cell>
          <cell r="U56">
            <v>981.10717245976286</v>
          </cell>
          <cell r="V56">
            <v>1543.5199256908286</v>
          </cell>
          <cell r="W56">
            <v>1467.7295614807629</v>
          </cell>
          <cell r="X56">
            <v>1543.5199256908284</v>
          </cell>
          <cell r="Y56">
            <v>1199.9999999999995</v>
          </cell>
          <cell r="Z56">
            <v>1141.0772510686097</v>
          </cell>
          <cell r="AA56">
            <v>1261.9653916081936</v>
          </cell>
          <cell r="AB56">
            <v>981.10717245976275</v>
          </cell>
          <cell r="AC56">
            <v>1085.0477440885795</v>
          </cell>
          <cell r="AD56">
            <v>1261.9653916081936</v>
          </cell>
          <cell r="AE56">
            <v>1199.9999999999995</v>
          </cell>
          <cell r="AF56">
            <v>1199.9999999999995</v>
          </cell>
          <cell r="AG56">
            <v>1085.0477440885795</v>
          </cell>
          <cell r="AH56">
            <v>1085.0477440885795</v>
          </cell>
          <cell r="AI56">
            <v>1327.1305413473517</v>
          </cell>
          <cell r="AJ56">
            <v>887.12343682215885</v>
          </cell>
          <cell r="AK56">
            <v>1327.1305413473517</v>
          </cell>
          <cell r="AL56">
            <v>1395.6606777721715</v>
          </cell>
          <cell r="AM56">
            <v>1327.1305413473522</v>
          </cell>
          <cell r="AN56">
            <v>1261.9653916081941</v>
          </cell>
          <cell r="AO56">
            <v>1261.9653916081936</v>
          </cell>
          <cell r="AP56">
            <v>1199.9999999999993</v>
          </cell>
          <cell r="AQ56">
            <v>1395.6606777721715</v>
          </cell>
          <cell r="AR56">
            <v>1623.2239395662309</v>
          </cell>
          <cell r="AS56">
            <v>1199.9999999999995</v>
          </cell>
          <cell r="AT56">
            <v>1395.6606777721713</v>
          </cell>
          <cell r="AU56">
            <v>1141.0772510686097</v>
          </cell>
          <cell r="AV56">
            <v>1200</v>
          </cell>
          <cell r="AW56">
            <v>1199.9999999999995</v>
          </cell>
          <cell r="AX56">
            <v>1327.1305413473517</v>
          </cell>
          <cell r="AY56">
            <v>1199.9999999999995</v>
          </cell>
          <cell r="AZ56">
            <v>1327.1305413473517</v>
          </cell>
          <cell r="BA56">
            <v>1199.9999999999995</v>
          </cell>
          <cell r="BB56">
            <v>1199.9999999999995</v>
          </cell>
          <cell r="BC56">
            <v>1467.7295614807631</v>
          </cell>
          <cell r="BD56">
            <v>1261.9653916081941</v>
          </cell>
          <cell r="BE56">
            <v>1141.0772510686097</v>
          </cell>
          <cell r="BF56">
            <v>932.93256279506875</v>
          </cell>
          <cell r="BG56">
            <v>843.56364387297219</v>
          </cell>
          <cell r="BH56">
            <v>1327.1305413473517</v>
          </cell>
          <cell r="BI56">
            <v>1395.6606777721713</v>
          </cell>
          <cell r="BJ56">
            <v>1395.6606777721713</v>
          </cell>
          <cell r="BK56">
            <v>1031.7694142523274</v>
          </cell>
          <cell r="BL56">
            <v>1031.7694142523274</v>
          </cell>
          <cell r="BM56">
            <v>1395.6606777721711</v>
          </cell>
          <cell r="BN56">
            <v>1261.9653916081941</v>
          </cell>
          <cell r="BO56">
            <v>1085.0477440885795</v>
          </cell>
          <cell r="BP56">
            <v>1085.0477440885795</v>
          </cell>
          <cell r="BQ56">
            <v>1261.9653916081941</v>
          </cell>
          <cell r="BR56">
            <v>1707.043695468745</v>
          </cell>
          <cell r="BS56">
            <v>1467.7295614807629</v>
          </cell>
          <cell r="BT56">
            <v>1261.9653916081936</v>
          </cell>
          <cell r="BU56">
            <v>1261.9653916081936</v>
          </cell>
          <cell r="BV56">
            <v>1327.1305413473517</v>
          </cell>
          <cell r="BW56">
            <v>1141.0772510686097</v>
          </cell>
          <cell r="BX56">
            <v>1031.7694142523274</v>
          </cell>
          <cell r="BY56">
            <v>1467.7295614807633</v>
          </cell>
          <cell r="BZ56">
            <v>1085.0477440885795</v>
          </cell>
          <cell r="CA56">
            <v>1141.0772510686097</v>
          </cell>
          <cell r="CB56">
            <v>802.14273654332578</v>
          </cell>
          <cell r="CC56">
            <v>1327.1305413473517</v>
          </cell>
          <cell r="CD56">
            <v>1199.9999999999998</v>
          </cell>
          <cell r="CE56">
            <v>932.93256279506897</v>
          </cell>
          <cell r="CF56">
            <v>981.10717245976264</v>
          </cell>
          <cell r="CG56">
            <v>1031.7694142523274</v>
          </cell>
          <cell r="CH56">
            <v>1141.0772510686097</v>
          </cell>
          <cell r="CI56">
            <v>1543.5199256908281</v>
          </cell>
          <cell r="CJ56">
            <v>1085.0477440885795</v>
          </cell>
          <cell r="CK56">
            <v>1085.0477440885795</v>
          </cell>
          <cell r="CL56">
            <v>1261.9653916081936</v>
          </cell>
          <cell r="CM56">
            <v>1327.1305413473522</v>
          </cell>
          <cell r="CN56">
            <v>981.10717245976252</v>
          </cell>
          <cell r="CO56">
            <v>1141.0772510686097</v>
          </cell>
          <cell r="CP56">
            <v>981.10717245976252</v>
          </cell>
          <cell r="CQ56">
            <v>1085.0477440885795</v>
          </cell>
          <cell r="CR56">
            <v>887.12343682215874</v>
          </cell>
          <cell r="CS56">
            <v>1199.9999999999998</v>
          </cell>
          <cell r="CT56">
            <v>1031.7694142523269</v>
          </cell>
          <cell r="CU56">
            <v>1395.6606777721711</v>
          </cell>
          <cell r="CV56">
            <v>1467.7295614807633</v>
          </cell>
          <cell r="CW56">
            <v>1467.7295614807629</v>
          </cell>
          <cell r="CX56">
            <v>1085.0477440885795</v>
          </cell>
          <cell r="CY56">
            <v>1887.8915197258498</v>
          </cell>
        </row>
        <row r="57">
          <cell r="D57">
            <v>1170.167809026693</v>
          </cell>
          <cell r="E57">
            <v>1360.9643312111427</v>
          </cell>
          <cell r="F57">
            <v>1360.9643312111427</v>
          </cell>
          <cell r="G57">
            <v>1360.9643312111427</v>
          </cell>
          <cell r="H57">
            <v>1230.5927311380608</v>
          </cell>
          <cell r="I57">
            <v>1006.1194624136672</v>
          </cell>
          <cell r="J57">
            <v>1112.7098890109644</v>
          </cell>
          <cell r="K57">
            <v>1058.0732844912411</v>
          </cell>
          <cell r="L57">
            <v>1664.6063175329095</v>
          </cell>
          <cell r="M57">
            <v>1294.1378648840337</v>
          </cell>
          <cell r="N57">
            <v>1112.7098890109644</v>
          </cell>
          <cell r="O57">
            <v>1360.9643312111427</v>
          </cell>
          <cell r="P57">
            <v>1431.2415710013781</v>
          </cell>
          <cell r="Q57">
            <v>1058.0732844912411</v>
          </cell>
          <cell r="R57">
            <v>1431.2415710013781</v>
          </cell>
          <cell r="S57">
            <v>1431.2415710013786</v>
          </cell>
          <cell r="T57">
            <v>909.73971081296963</v>
          </cell>
          <cell r="U57">
            <v>1006.1194624136671</v>
          </cell>
          <cell r="V57">
            <v>1505.1477746955679</v>
          </cell>
          <cell r="W57">
            <v>1505.1477746955675</v>
          </cell>
          <cell r="X57">
            <v>1582.8703341015782</v>
          </cell>
          <cell r="Y57">
            <v>1170.167809026693</v>
          </cell>
          <cell r="Z57">
            <v>1112.7098890109644</v>
          </cell>
          <cell r="AA57">
            <v>1230.5927311380608</v>
          </cell>
          <cell r="AB57">
            <v>1006.119462413667</v>
          </cell>
          <cell r="AC57">
            <v>1058.0732844912411</v>
          </cell>
          <cell r="AD57">
            <v>1230.5927311380608</v>
          </cell>
          <cell r="AE57">
            <v>1230.5927311380608</v>
          </cell>
          <cell r="AF57">
            <v>1230.5927311380608</v>
          </cell>
          <cell r="AG57">
            <v>1112.7098890109644</v>
          </cell>
          <cell r="AH57">
            <v>1058.0732844912411</v>
          </cell>
          <cell r="AI57">
            <v>1360.9643312111427</v>
          </cell>
          <cell r="AJ57">
            <v>909.73971081296986</v>
          </cell>
          <cell r="AK57">
            <v>1294.1378648840334</v>
          </cell>
          <cell r="AL57">
            <v>1360.9643312111432</v>
          </cell>
          <cell r="AM57">
            <v>1294.1378648840339</v>
          </cell>
          <cell r="AN57">
            <v>1294.1378648840339</v>
          </cell>
          <cell r="AO57">
            <v>1230.5927311380608</v>
          </cell>
          <cell r="AP57">
            <v>1170.1678090266928</v>
          </cell>
          <cell r="AQ57">
            <v>1431.2415710013786</v>
          </cell>
          <cell r="AR57">
            <v>1664.6063175329095</v>
          </cell>
          <cell r="AS57">
            <v>1230.5927311380608</v>
          </cell>
          <cell r="AT57">
            <v>1360.964331211143</v>
          </cell>
          <cell r="AU57">
            <v>1170.167809026693</v>
          </cell>
          <cell r="AV57">
            <v>1230.5927311380613</v>
          </cell>
          <cell r="AW57">
            <v>1170.167809026693</v>
          </cell>
          <cell r="AX57">
            <v>1360.9643312111427</v>
          </cell>
          <cell r="AY57">
            <v>1230.5927311380608</v>
          </cell>
          <cell r="AZ57">
            <v>1294.1378648840334</v>
          </cell>
          <cell r="BA57">
            <v>1170.167809026693</v>
          </cell>
          <cell r="BB57">
            <v>1230.5927311380608</v>
          </cell>
          <cell r="BC57">
            <v>1505.1477746955677</v>
          </cell>
          <cell r="BD57">
            <v>1294.1378648840339</v>
          </cell>
          <cell r="BE57">
            <v>1170.167809026693</v>
          </cell>
          <cell r="BF57">
            <v>956.71669201467876</v>
          </cell>
          <cell r="BG57">
            <v>822.59251743784137</v>
          </cell>
          <cell r="BH57">
            <v>1360.9643312111427</v>
          </cell>
          <cell r="BI57">
            <v>1360.964331211143</v>
          </cell>
          <cell r="BJ57">
            <v>1431.2415710013784</v>
          </cell>
          <cell r="BK57">
            <v>1058.0732844912411</v>
          </cell>
          <cell r="BL57">
            <v>1058.0732844912411</v>
          </cell>
          <cell r="BM57">
            <v>1360.9643312111427</v>
          </cell>
          <cell r="BN57">
            <v>1230.5927311380613</v>
          </cell>
          <cell r="BO57">
            <v>1112.7098890109644</v>
          </cell>
          <cell r="BP57">
            <v>1058.0732844912411</v>
          </cell>
          <cell r="BQ57">
            <v>1294.1378648840339</v>
          </cell>
          <cell r="BR57">
            <v>1750.5629694824099</v>
          </cell>
          <cell r="BS57">
            <v>1505.1477746955675</v>
          </cell>
          <cell r="BT57">
            <v>1294.1378648840334</v>
          </cell>
          <cell r="BU57">
            <v>1294.1378648840334</v>
          </cell>
          <cell r="BV57">
            <v>1294.1378648840334</v>
          </cell>
          <cell r="BW57">
            <v>1170.167809026693</v>
          </cell>
          <cell r="BX57">
            <v>1006.1194624136672</v>
          </cell>
          <cell r="BY57">
            <v>1431.2415710013786</v>
          </cell>
          <cell r="BZ57">
            <v>1058.0732844912411</v>
          </cell>
          <cell r="CA57">
            <v>1170.167809026693</v>
          </cell>
          <cell r="CB57">
            <v>782.20134045631642</v>
          </cell>
          <cell r="CC57">
            <v>1294.1378648840334</v>
          </cell>
          <cell r="CD57">
            <v>1230.592731138061</v>
          </cell>
          <cell r="CE57">
            <v>909.73971081296986</v>
          </cell>
          <cell r="CF57">
            <v>956.71669201467887</v>
          </cell>
          <cell r="CG57">
            <v>1058.0732844912411</v>
          </cell>
          <cell r="CH57">
            <v>1170.167809026693</v>
          </cell>
          <cell r="CI57">
            <v>1582.870334101578</v>
          </cell>
          <cell r="CJ57">
            <v>1058.0732844912411</v>
          </cell>
          <cell r="CK57">
            <v>1112.7098890109644</v>
          </cell>
          <cell r="CL57">
            <v>1230.5927311380608</v>
          </cell>
          <cell r="CM57">
            <v>1294.1378648840339</v>
          </cell>
          <cell r="CN57">
            <v>956.71669201467876</v>
          </cell>
          <cell r="CO57">
            <v>1112.7098890109644</v>
          </cell>
          <cell r="CP57">
            <v>956.71669201467876</v>
          </cell>
          <cell r="CQ57">
            <v>1058.0732844912411</v>
          </cell>
          <cell r="CR57">
            <v>865.06940700201312</v>
          </cell>
          <cell r="CS57">
            <v>1170.1678090266932</v>
          </cell>
          <cell r="CT57">
            <v>1006.1194624136668</v>
          </cell>
          <cell r="CU57">
            <v>1431.2415710013781</v>
          </cell>
          <cell r="CV57">
            <v>1505.1477746955679</v>
          </cell>
          <cell r="CW57">
            <v>1505.1477746955675</v>
          </cell>
          <cell r="CX57">
            <v>1058.0732844912411</v>
          </cell>
          <cell r="CY57">
            <v>1840.9582360980601</v>
          </cell>
        </row>
        <row r="58">
          <cell r="D58">
            <v>1199.9999999999995</v>
          </cell>
          <cell r="E58">
            <v>1327.1305413473517</v>
          </cell>
          <cell r="F58">
            <v>1327.1305413473517</v>
          </cell>
          <cell r="G58">
            <v>1395.6606777721711</v>
          </cell>
          <cell r="H58">
            <v>1261.9653916081936</v>
          </cell>
          <cell r="I58">
            <v>981.10717245976286</v>
          </cell>
          <cell r="J58">
            <v>1085.0477440885795</v>
          </cell>
          <cell r="K58">
            <v>1031.7694142523274</v>
          </cell>
          <cell r="L58">
            <v>1623.2239395662309</v>
          </cell>
          <cell r="M58">
            <v>1327.1305413473519</v>
          </cell>
          <cell r="N58">
            <v>1141.0772510686097</v>
          </cell>
          <cell r="O58">
            <v>1395.6606777721711</v>
          </cell>
          <cell r="P58">
            <v>1467.7295614807629</v>
          </cell>
          <cell r="Q58">
            <v>1031.7694142523274</v>
          </cell>
          <cell r="R58">
            <v>1395.6606777721711</v>
          </cell>
          <cell r="S58">
            <v>1395.6606777721715</v>
          </cell>
          <cell r="T58">
            <v>932.93256279506863</v>
          </cell>
          <cell r="U58">
            <v>1031.7694142523271</v>
          </cell>
          <cell r="V58">
            <v>1467.7295614807631</v>
          </cell>
          <cell r="W58">
            <v>1543.5199256908281</v>
          </cell>
          <cell r="X58">
            <v>1543.5199256908284</v>
          </cell>
          <cell r="Y58">
            <v>1141.0772510686097</v>
          </cell>
          <cell r="Z58">
            <v>1085.0477440885795</v>
          </cell>
          <cell r="AA58">
            <v>1199.9999999999995</v>
          </cell>
          <cell r="AB58">
            <v>981.10717245976264</v>
          </cell>
          <cell r="AC58">
            <v>1031.7694142523274</v>
          </cell>
          <cell r="AD58">
            <v>1261.9653916081936</v>
          </cell>
          <cell r="AE58">
            <v>1261.9653916081936</v>
          </cell>
          <cell r="AF58">
            <v>1199.9999999999995</v>
          </cell>
          <cell r="AG58">
            <v>1141.0772510686097</v>
          </cell>
          <cell r="AH58">
            <v>1085.0477440885795</v>
          </cell>
          <cell r="AI58">
            <v>1327.1305413473517</v>
          </cell>
          <cell r="AJ58">
            <v>932.93256279506886</v>
          </cell>
          <cell r="AK58">
            <v>1327.1305413473517</v>
          </cell>
          <cell r="AL58">
            <v>1327.1305413473522</v>
          </cell>
          <cell r="AM58">
            <v>1261.9653916081941</v>
          </cell>
          <cell r="AN58">
            <v>1261.9653916081941</v>
          </cell>
          <cell r="AO58">
            <v>1199.9999999999995</v>
          </cell>
          <cell r="AP58">
            <v>1199.9999999999993</v>
          </cell>
          <cell r="AQ58">
            <v>1395.6606777721715</v>
          </cell>
          <cell r="AR58">
            <v>1623.2239395662309</v>
          </cell>
          <cell r="AS58">
            <v>1261.9653916081936</v>
          </cell>
          <cell r="AT58">
            <v>1327.1305413473519</v>
          </cell>
          <cell r="AU58">
            <v>1199.9999999999995</v>
          </cell>
          <cell r="AV58">
            <v>1261.9653916081941</v>
          </cell>
          <cell r="AW58">
            <v>1141.0772510686097</v>
          </cell>
          <cell r="AX58">
            <v>1395.6606777721711</v>
          </cell>
          <cell r="AY58">
            <v>1261.9653916081936</v>
          </cell>
          <cell r="AZ58">
            <v>1327.1305413473517</v>
          </cell>
          <cell r="BA58">
            <v>1199.9999999999995</v>
          </cell>
          <cell r="BB58">
            <v>1261.9653916081936</v>
          </cell>
          <cell r="BC58">
            <v>1543.5199256908284</v>
          </cell>
          <cell r="BD58">
            <v>1327.1305413473522</v>
          </cell>
          <cell r="BE58">
            <v>1199.9999999999995</v>
          </cell>
          <cell r="BF58">
            <v>981.10717245976252</v>
          </cell>
          <cell r="BG58">
            <v>843.56364387297208</v>
          </cell>
          <cell r="BH58">
            <v>1327.1305413473517</v>
          </cell>
          <cell r="BI58">
            <v>1395.6606777721713</v>
          </cell>
          <cell r="BJ58">
            <v>1467.7295614807631</v>
          </cell>
          <cell r="BK58">
            <v>1085.0477440885795</v>
          </cell>
          <cell r="BL58">
            <v>1031.7694142523274</v>
          </cell>
          <cell r="BM58">
            <v>1327.1305413473517</v>
          </cell>
          <cell r="BN58">
            <v>1261.9653916081941</v>
          </cell>
          <cell r="BO58">
            <v>1141.0772510686097</v>
          </cell>
          <cell r="BP58">
            <v>1085.0477440885795</v>
          </cell>
          <cell r="BQ58">
            <v>1261.9653916081941</v>
          </cell>
          <cell r="BR58">
            <v>1707.043695468745</v>
          </cell>
          <cell r="BS58">
            <v>1543.5199256908281</v>
          </cell>
          <cell r="BT58">
            <v>1261.9653916081936</v>
          </cell>
          <cell r="BU58">
            <v>1327.1305413473517</v>
          </cell>
          <cell r="BV58">
            <v>1261.9653916081936</v>
          </cell>
          <cell r="BW58">
            <v>1199.9999999999995</v>
          </cell>
          <cell r="BX58">
            <v>1031.7694142523274</v>
          </cell>
          <cell r="BY58">
            <v>1467.7295614807633</v>
          </cell>
          <cell r="BZ58">
            <v>1085.0477440885795</v>
          </cell>
          <cell r="CA58">
            <v>1141.0772510686097</v>
          </cell>
          <cell r="CB58">
            <v>802.14273654332578</v>
          </cell>
          <cell r="CC58">
            <v>1327.1305413473517</v>
          </cell>
          <cell r="CD58">
            <v>1261.9653916081938</v>
          </cell>
          <cell r="CE58">
            <v>932.93256279506886</v>
          </cell>
          <cell r="CF58">
            <v>932.93256279506875</v>
          </cell>
          <cell r="CG58">
            <v>1031.7694142523274</v>
          </cell>
          <cell r="CH58">
            <v>1199.9999999999995</v>
          </cell>
          <cell r="CI58">
            <v>1623.2239395662305</v>
          </cell>
          <cell r="CJ58">
            <v>1085.0477440885795</v>
          </cell>
          <cell r="CK58">
            <v>1141.0772510686097</v>
          </cell>
          <cell r="CL58">
            <v>1199.9999999999995</v>
          </cell>
          <cell r="CM58">
            <v>1327.1305413473522</v>
          </cell>
          <cell r="CN58">
            <v>981.10717245976252</v>
          </cell>
          <cell r="CO58">
            <v>1085.0477440885795</v>
          </cell>
          <cell r="CP58">
            <v>932.93256279506875</v>
          </cell>
          <cell r="CQ58">
            <v>1085.0477440885795</v>
          </cell>
          <cell r="CR58">
            <v>843.56364387297219</v>
          </cell>
          <cell r="CS58">
            <v>1141.0772510686097</v>
          </cell>
          <cell r="CT58">
            <v>981.10717245976264</v>
          </cell>
          <cell r="CU58">
            <v>1395.6606777721711</v>
          </cell>
          <cell r="CV58">
            <v>1543.5199256908286</v>
          </cell>
          <cell r="CW58">
            <v>1467.7295614807629</v>
          </cell>
          <cell r="CX58">
            <v>1085.0477440885795</v>
          </cell>
          <cell r="CY58">
            <v>1887.8915197258498</v>
          </cell>
        </row>
        <row r="59">
          <cell r="D59">
            <v>1230.5927311380608</v>
          </cell>
          <cell r="E59">
            <v>1360.9643312111427</v>
          </cell>
          <cell r="F59">
            <v>1294.1378648840334</v>
          </cell>
          <cell r="G59">
            <v>1431.2415710013781</v>
          </cell>
          <cell r="H59">
            <v>1294.1378648840334</v>
          </cell>
          <cell r="I59">
            <v>1006.1194624136671</v>
          </cell>
          <cell r="J59">
            <v>1112.7098890109644</v>
          </cell>
          <cell r="K59">
            <v>1006.1194624136672</v>
          </cell>
          <cell r="L59">
            <v>1582.8703341015785</v>
          </cell>
          <cell r="M59">
            <v>1360.964331211143</v>
          </cell>
          <cell r="N59">
            <v>1112.7098890109644</v>
          </cell>
          <cell r="O59">
            <v>1360.9643312111427</v>
          </cell>
          <cell r="P59">
            <v>1505.1477746955675</v>
          </cell>
          <cell r="Q59">
            <v>1058.0732844912411</v>
          </cell>
          <cell r="R59">
            <v>1360.9643312111427</v>
          </cell>
          <cell r="S59">
            <v>1360.9643312111432</v>
          </cell>
          <cell r="T59">
            <v>956.71669201467864</v>
          </cell>
          <cell r="U59">
            <v>1006.119462413667</v>
          </cell>
          <cell r="V59">
            <v>1431.2415710013784</v>
          </cell>
          <cell r="W59">
            <v>1582.870334101578</v>
          </cell>
          <cell r="X59">
            <v>1582.8703341015782</v>
          </cell>
          <cell r="Y59">
            <v>1112.7098890109644</v>
          </cell>
          <cell r="Z59">
            <v>1112.7098890109644</v>
          </cell>
          <cell r="AA59">
            <v>1230.5927311380608</v>
          </cell>
          <cell r="AB59">
            <v>956.71669201467887</v>
          </cell>
          <cell r="AC59">
            <v>1006.1194624136672</v>
          </cell>
          <cell r="AD59">
            <v>1230.5927311380608</v>
          </cell>
          <cell r="AE59">
            <v>1230.5927311380608</v>
          </cell>
          <cell r="AF59">
            <v>1230.5927311380608</v>
          </cell>
          <cell r="AG59">
            <v>1170.167809026693</v>
          </cell>
          <cell r="AH59">
            <v>1112.7098890109644</v>
          </cell>
          <cell r="AI59">
            <v>1294.1378648840334</v>
          </cell>
          <cell r="AJ59">
            <v>956.71669201467887</v>
          </cell>
          <cell r="AK59">
            <v>1360.9643312111427</v>
          </cell>
          <cell r="AL59">
            <v>1294.1378648840339</v>
          </cell>
          <cell r="AM59">
            <v>1294.1378648840339</v>
          </cell>
          <cell r="AN59">
            <v>1294.1378648840339</v>
          </cell>
          <cell r="AO59">
            <v>1230.5927311380608</v>
          </cell>
          <cell r="AP59">
            <v>1170.1678090266928</v>
          </cell>
          <cell r="AQ59">
            <v>1431.2415710013786</v>
          </cell>
          <cell r="AR59">
            <v>1664.6063175329095</v>
          </cell>
          <cell r="AS59">
            <v>1230.5927311380608</v>
          </cell>
          <cell r="AT59">
            <v>1294.1378648840337</v>
          </cell>
          <cell r="AU59">
            <v>1170.167809026693</v>
          </cell>
          <cell r="AV59">
            <v>1294.1378648840339</v>
          </cell>
          <cell r="AW59">
            <v>1112.7098890109644</v>
          </cell>
          <cell r="AX59">
            <v>1431.2415710013781</v>
          </cell>
          <cell r="AY59">
            <v>1230.5927311380608</v>
          </cell>
          <cell r="AZ59">
            <v>1294.1378648840334</v>
          </cell>
          <cell r="BA59">
            <v>1170.167809026693</v>
          </cell>
          <cell r="BB59">
            <v>1294.1378648840334</v>
          </cell>
          <cell r="BC59">
            <v>1505.1477746955677</v>
          </cell>
          <cell r="BD59">
            <v>1360.9643312111432</v>
          </cell>
          <cell r="BE59">
            <v>1170.167809026693</v>
          </cell>
          <cell r="BF59">
            <v>956.71669201467876</v>
          </cell>
          <cell r="BG59">
            <v>822.59251743784137</v>
          </cell>
          <cell r="BH59">
            <v>1294.1378648840334</v>
          </cell>
          <cell r="BI59">
            <v>1360.964331211143</v>
          </cell>
          <cell r="BJ59">
            <v>1505.1477746955677</v>
          </cell>
          <cell r="BK59">
            <v>1058.0732844912411</v>
          </cell>
          <cell r="BL59">
            <v>1058.0732844912411</v>
          </cell>
          <cell r="BM59">
            <v>1360.9643312111427</v>
          </cell>
          <cell r="BN59">
            <v>1294.1378648840339</v>
          </cell>
          <cell r="BO59">
            <v>1112.7098890109644</v>
          </cell>
          <cell r="BP59">
            <v>1112.7098890109644</v>
          </cell>
          <cell r="BQ59">
            <v>1230.5927311380613</v>
          </cell>
          <cell r="BR59">
            <v>1750.5629694824099</v>
          </cell>
          <cell r="BS59">
            <v>1505.1477746955675</v>
          </cell>
          <cell r="BT59">
            <v>1294.1378648840334</v>
          </cell>
          <cell r="BU59">
            <v>1360.9643312111427</v>
          </cell>
          <cell r="BV59">
            <v>1230.5927311380608</v>
          </cell>
          <cell r="BW59">
            <v>1230.5927311380608</v>
          </cell>
          <cell r="BX59">
            <v>1058.0732844912411</v>
          </cell>
          <cell r="BY59">
            <v>1431.2415710013786</v>
          </cell>
          <cell r="BZ59">
            <v>1058.0732844912411</v>
          </cell>
          <cell r="CA59">
            <v>1170.167809026693</v>
          </cell>
          <cell r="CB59">
            <v>782.20134045631642</v>
          </cell>
          <cell r="CC59">
            <v>1360.9643312111427</v>
          </cell>
          <cell r="CD59">
            <v>1294.1378648840337</v>
          </cell>
          <cell r="CE59">
            <v>956.71669201467887</v>
          </cell>
          <cell r="CF59">
            <v>909.73971081296975</v>
          </cell>
          <cell r="CG59">
            <v>1006.1194624136672</v>
          </cell>
          <cell r="CH59">
            <v>1230.5927311380608</v>
          </cell>
          <cell r="CI59">
            <v>1582.870334101578</v>
          </cell>
          <cell r="CJ59">
            <v>1058.0732844912411</v>
          </cell>
          <cell r="CK59">
            <v>1170.167809026693</v>
          </cell>
          <cell r="CL59">
            <v>1230.5927311380608</v>
          </cell>
          <cell r="CM59">
            <v>1294.1378648840339</v>
          </cell>
          <cell r="CN59">
            <v>956.71669201467876</v>
          </cell>
          <cell r="CO59">
            <v>1058.0732844912411</v>
          </cell>
          <cell r="CP59">
            <v>956.71669201467876</v>
          </cell>
          <cell r="CQ59">
            <v>1058.0732844912411</v>
          </cell>
          <cell r="CR59">
            <v>865.06940700201312</v>
          </cell>
          <cell r="CS59">
            <v>1170.167809026693</v>
          </cell>
          <cell r="CT59">
            <v>956.71669201467887</v>
          </cell>
          <cell r="CU59">
            <v>1431.2415710013781</v>
          </cell>
          <cell r="CV59">
            <v>1505.1477746955679</v>
          </cell>
          <cell r="CW59">
            <v>1431.2415710013781</v>
          </cell>
          <cell r="CX59">
            <v>1058.0732844912411</v>
          </cell>
          <cell r="CY59">
            <v>1840.9582360980601</v>
          </cell>
        </row>
        <row r="60">
          <cell r="D60">
            <v>1261.9653916081936</v>
          </cell>
          <cell r="E60">
            <v>1395.6606777721711</v>
          </cell>
          <cell r="F60">
            <v>1261.9653916081936</v>
          </cell>
          <cell r="G60">
            <v>1395.6606777721711</v>
          </cell>
          <cell r="H60">
            <v>1261.9653916081936</v>
          </cell>
          <cell r="I60">
            <v>1031.7694142523271</v>
          </cell>
          <cell r="J60">
            <v>1141.0772510686097</v>
          </cell>
          <cell r="K60">
            <v>981.10717245976286</v>
          </cell>
          <cell r="L60">
            <v>1623.2239395662309</v>
          </cell>
          <cell r="M60">
            <v>1395.6606777721713</v>
          </cell>
          <cell r="N60">
            <v>1141.0772510686097</v>
          </cell>
          <cell r="O60">
            <v>1327.1305413473517</v>
          </cell>
          <cell r="P60">
            <v>1467.7295614807629</v>
          </cell>
          <cell r="Q60">
            <v>1085.0477440885795</v>
          </cell>
          <cell r="R60">
            <v>1395.6606777721711</v>
          </cell>
          <cell r="S60">
            <v>1327.1305413473522</v>
          </cell>
          <cell r="T60">
            <v>981.10717245976241</v>
          </cell>
          <cell r="U60">
            <v>1031.7694142523271</v>
          </cell>
          <cell r="V60">
            <v>1395.6606777721713</v>
          </cell>
          <cell r="W60">
            <v>1623.2239395662305</v>
          </cell>
          <cell r="X60">
            <v>1543.5199256908284</v>
          </cell>
          <cell r="Y60">
            <v>1085.0477440885795</v>
          </cell>
          <cell r="Z60">
            <v>1141.0772510686097</v>
          </cell>
          <cell r="AA60">
            <v>1199.9999999999995</v>
          </cell>
          <cell r="AB60">
            <v>981.10717245976264</v>
          </cell>
          <cell r="AC60">
            <v>981.10717245976286</v>
          </cell>
          <cell r="AD60">
            <v>1261.9653916081936</v>
          </cell>
          <cell r="AE60">
            <v>1261.9653916081936</v>
          </cell>
          <cell r="AF60">
            <v>1199.9999999999995</v>
          </cell>
          <cell r="AG60">
            <v>1199.9999999999995</v>
          </cell>
          <cell r="AH60">
            <v>1085.0477440885795</v>
          </cell>
          <cell r="AI60">
            <v>1327.1305413473517</v>
          </cell>
          <cell r="AJ60">
            <v>981.10717245976264</v>
          </cell>
          <cell r="AK60">
            <v>1395.6606777721711</v>
          </cell>
          <cell r="AL60">
            <v>1327.1305413473522</v>
          </cell>
          <cell r="AM60">
            <v>1261.9653916081941</v>
          </cell>
          <cell r="AN60">
            <v>1261.9653916081941</v>
          </cell>
          <cell r="AO60">
            <v>1199.9999999999995</v>
          </cell>
          <cell r="AP60">
            <v>1141.0772510686095</v>
          </cell>
          <cell r="AQ60">
            <v>1395.6606777721715</v>
          </cell>
          <cell r="AR60">
            <v>1707.043695468745</v>
          </cell>
          <cell r="AS60">
            <v>1199.9999999999995</v>
          </cell>
          <cell r="AT60">
            <v>1327.1305413473519</v>
          </cell>
          <cell r="AU60">
            <v>1199.9999999999995</v>
          </cell>
          <cell r="AV60">
            <v>1327.1305413473522</v>
          </cell>
          <cell r="AW60">
            <v>1085.0477440885795</v>
          </cell>
          <cell r="AX60">
            <v>1395.6606777721711</v>
          </cell>
          <cell r="AY60">
            <v>1199.9999999999995</v>
          </cell>
          <cell r="AZ60">
            <v>1261.9653916081936</v>
          </cell>
          <cell r="BA60">
            <v>1141.0772510686097</v>
          </cell>
          <cell r="BB60">
            <v>1261.9653916081936</v>
          </cell>
          <cell r="BC60">
            <v>1467.7295614807629</v>
          </cell>
          <cell r="BD60">
            <v>1395.6606777721715</v>
          </cell>
          <cell r="BE60">
            <v>1141.0772510686097</v>
          </cell>
          <cell r="BF60">
            <v>981.10717245976252</v>
          </cell>
          <cell r="BG60">
            <v>802.14273654332578</v>
          </cell>
          <cell r="BH60">
            <v>1327.1305413473517</v>
          </cell>
          <cell r="BI60">
            <v>1395.6606777721713</v>
          </cell>
          <cell r="BJ60">
            <v>1467.7295614807629</v>
          </cell>
          <cell r="BK60">
            <v>1085.0477440885795</v>
          </cell>
          <cell r="BL60">
            <v>1085.0477440885795</v>
          </cell>
          <cell r="BM60">
            <v>1327.1305413473517</v>
          </cell>
          <cell r="BN60">
            <v>1327.1305413473522</v>
          </cell>
          <cell r="BO60">
            <v>1085.0477440885795</v>
          </cell>
          <cell r="BP60">
            <v>1085.0477440885795</v>
          </cell>
          <cell r="BQ60">
            <v>1261.9653916081941</v>
          </cell>
          <cell r="BR60">
            <v>1795.191721370428</v>
          </cell>
          <cell r="BS60">
            <v>1543.5199256908281</v>
          </cell>
          <cell r="BT60">
            <v>1261.9653916081936</v>
          </cell>
          <cell r="BU60">
            <v>1327.1305413473517</v>
          </cell>
          <cell r="BV60">
            <v>1199.9999999999995</v>
          </cell>
          <cell r="BW60">
            <v>1261.9653916081936</v>
          </cell>
          <cell r="BX60">
            <v>1031.7694142523274</v>
          </cell>
          <cell r="BY60">
            <v>1467.7295614807633</v>
          </cell>
          <cell r="BZ60">
            <v>1031.7694142523274</v>
          </cell>
          <cell r="CA60">
            <v>1199.9999999999995</v>
          </cell>
          <cell r="CB60">
            <v>802.14273654332578</v>
          </cell>
          <cell r="CC60">
            <v>1395.6606777721711</v>
          </cell>
          <cell r="CD60">
            <v>1261.9653916081938</v>
          </cell>
          <cell r="CE60">
            <v>932.93256279506875</v>
          </cell>
          <cell r="CF60">
            <v>887.12343682215874</v>
          </cell>
          <cell r="CG60">
            <v>981.10717245976286</v>
          </cell>
          <cell r="CH60">
            <v>1199.9999999999995</v>
          </cell>
          <cell r="CI60">
            <v>1623.2239395662305</v>
          </cell>
          <cell r="CJ60">
            <v>1085.0477440885795</v>
          </cell>
          <cell r="CK60">
            <v>1199.9999999999995</v>
          </cell>
          <cell r="CL60">
            <v>1199.9999999999995</v>
          </cell>
          <cell r="CM60">
            <v>1261.9653916081941</v>
          </cell>
          <cell r="CN60">
            <v>932.93256279506875</v>
          </cell>
          <cell r="CO60">
            <v>1031.7694142523274</v>
          </cell>
          <cell r="CP60">
            <v>981.10717245976252</v>
          </cell>
          <cell r="CQ60">
            <v>1085.0477440885795</v>
          </cell>
          <cell r="CR60">
            <v>843.56364387297219</v>
          </cell>
          <cell r="CS60">
            <v>1141.0772510686097</v>
          </cell>
          <cell r="CT60">
            <v>981.10717245976264</v>
          </cell>
          <cell r="CU60">
            <v>1467.7295614807629</v>
          </cell>
          <cell r="CV60">
            <v>1543.5199256908286</v>
          </cell>
          <cell r="CW60">
            <v>1395.6606777721711</v>
          </cell>
          <cell r="CX60">
            <v>1085.0477440885795</v>
          </cell>
          <cell r="CY60">
            <v>1795.1917213704276</v>
          </cell>
        </row>
        <row r="61">
          <cell r="D61">
            <v>1230.5927311380608</v>
          </cell>
          <cell r="E61">
            <v>1431.2415710013781</v>
          </cell>
          <cell r="F61">
            <v>1294.1378648840334</v>
          </cell>
          <cell r="G61">
            <v>1360.9643312111427</v>
          </cell>
          <cell r="H61">
            <v>1294.1378648840334</v>
          </cell>
          <cell r="I61">
            <v>1058.0732844912409</v>
          </cell>
          <cell r="J61">
            <v>1112.7098890109644</v>
          </cell>
          <cell r="K61">
            <v>1006.1194624136671</v>
          </cell>
          <cell r="L61">
            <v>1664.6063175329095</v>
          </cell>
          <cell r="M61">
            <v>1360.964331211143</v>
          </cell>
          <cell r="N61">
            <v>1112.7098890109644</v>
          </cell>
          <cell r="O61">
            <v>1360.9643312111427</v>
          </cell>
          <cell r="P61">
            <v>1431.2415710013781</v>
          </cell>
          <cell r="Q61">
            <v>1058.0732844912411</v>
          </cell>
          <cell r="R61">
            <v>1431.2415710013781</v>
          </cell>
          <cell r="S61">
            <v>1360.9643312111432</v>
          </cell>
          <cell r="T61">
            <v>1006.1194624136666</v>
          </cell>
          <cell r="U61">
            <v>1006.119462413667</v>
          </cell>
          <cell r="V61">
            <v>1360.964331211143</v>
          </cell>
          <cell r="W61">
            <v>1664.6063175329091</v>
          </cell>
          <cell r="X61">
            <v>1582.8703341015782</v>
          </cell>
          <cell r="Y61">
            <v>1058.0732844912411</v>
          </cell>
          <cell r="Z61">
            <v>1170.167809026693</v>
          </cell>
          <cell r="AA61">
            <v>1170.167809026693</v>
          </cell>
          <cell r="AB61">
            <v>1006.1194624136668</v>
          </cell>
          <cell r="AC61">
            <v>956.7166920146791</v>
          </cell>
          <cell r="AD61">
            <v>1294.1378648840334</v>
          </cell>
          <cell r="AE61">
            <v>1294.1378648840334</v>
          </cell>
          <cell r="AF61">
            <v>1170.167809026693</v>
          </cell>
          <cell r="AG61">
            <v>1170.167809026693</v>
          </cell>
          <cell r="AH61">
            <v>1112.7098890109644</v>
          </cell>
          <cell r="AI61">
            <v>1360.9643312111427</v>
          </cell>
          <cell r="AJ61">
            <v>956.71669201467887</v>
          </cell>
          <cell r="AK61">
            <v>1360.9643312111427</v>
          </cell>
          <cell r="AL61">
            <v>1360.9643312111432</v>
          </cell>
          <cell r="AM61">
            <v>1294.1378648840339</v>
          </cell>
          <cell r="AN61">
            <v>1294.1378648840339</v>
          </cell>
          <cell r="AO61">
            <v>1230.5927311380608</v>
          </cell>
          <cell r="AP61">
            <v>1170.1678090266928</v>
          </cell>
          <cell r="AQ61">
            <v>1360.9643312111432</v>
          </cell>
          <cell r="AR61">
            <v>1750.5629694824099</v>
          </cell>
          <cell r="AS61">
            <v>1170.167809026693</v>
          </cell>
          <cell r="AT61">
            <v>1294.1378648840337</v>
          </cell>
          <cell r="AU61">
            <v>1230.5927311380608</v>
          </cell>
          <cell r="AV61">
            <v>1294.1378648840339</v>
          </cell>
          <cell r="AW61">
            <v>1112.7098890109644</v>
          </cell>
          <cell r="AX61">
            <v>1431.2415710013781</v>
          </cell>
          <cell r="AY61">
            <v>1170.167809026693</v>
          </cell>
          <cell r="AZ61">
            <v>1230.5927311380608</v>
          </cell>
          <cell r="BA61">
            <v>1170.167809026693</v>
          </cell>
          <cell r="BB61">
            <v>1230.5927311380608</v>
          </cell>
          <cell r="BC61">
            <v>1505.1477746955675</v>
          </cell>
          <cell r="BD61">
            <v>1431.2415710013786</v>
          </cell>
          <cell r="BE61">
            <v>1112.7098890109644</v>
          </cell>
          <cell r="BF61">
            <v>1006.1194624136667</v>
          </cell>
          <cell r="BG61">
            <v>822.59251743784137</v>
          </cell>
          <cell r="BH61">
            <v>1294.1378648840334</v>
          </cell>
          <cell r="BI61">
            <v>1360.964331211143</v>
          </cell>
          <cell r="BJ61">
            <v>1431.2415710013781</v>
          </cell>
          <cell r="BK61">
            <v>1058.0732844912411</v>
          </cell>
          <cell r="BL61">
            <v>1112.7098890109644</v>
          </cell>
          <cell r="BM61">
            <v>1360.9643312111427</v>
          </cell>
          <cell r="BN61">
            <v>1294.1378648840339</v>
          </cell>
          <cell r="BO61">
            <v>1112.7098890109644</v>
          </cell>
          <cell r="BP61">
            <v>1058.0732844912411</v>
          </cell>
          <cell r="BQ61">
            <v>1230.5927311380613</v>
          </cell>
          <cell r="BR61">
            <v>1840.9582360980605</v>
          </cell>
          <cell r="BS61">
            <v>1582.870334101578</v>
          </cell>
          <cell r="BT61">
            <v>1294.1378648840334</v>
          </cell>
          <cell r="BU61">
            <v>1360.9643312111427</v>
          </cell>
          <cell r="BV61">
            <v>1230.5927311380608</v>
          </cell>
          <cell r="BW61">
            <v>1294.1378648840334</v>
          </cell>
          <cell r="BX61">
            <v>1006.1194624136672</v>
          </cell>
          <cell r="BY61">
            <v>1505.1477746955679</v>
          </cell>
          <cell r="BZ61">
            <v>1058.0732844912411</v>
          </cell>
          <cell r="CA61">
            <v>1230.5927311380608</v>
          </cell>
          <cell r="CB61">
            <v>782.20134045631642</v>
          </cell>
          <cell r="CC61">
            <v>1431.2415710013781</v>
          </cell>
          <cell r="CD61">
            <v>1294.1378648840337</v>
          </cell>
          <cell r="CE61">
            <v>956.71669201467876</v>
          </cell>
          <cell r="CF61">
            <v>909.73971081296975</v>
          </cell>
          <cell r="CG61">
            <v>956.7166920146791</v>
          </cell>
          <cell r="CH61">
            <v>1170.167809026693</v>
          </cell>
          <cell r="CI61">
            <v>1664.6063175329091</v>
          </cell>
          <cell r="CJ61">
            <v>1112.7098890109644</v>
          </cell>
          <cell r="CK61">
            <v>1170.167809026693</v>
          </cell>
          <cell r="CL61">
            <v>1170.167809026693</v>
          </cell>
          <cell r="CM61">
            <v>1294.1378648840339</v>
          </cell>
          <cell r="CN61">
            <v>909.73971081296975</v>
          </cell>
          <cell r="CO61">
            <v>1006.1194624136672</v>
          </cell>
          <cell r="CP61">
            <v>956.71669201467876</v>
          </cell>
          <cell r="CQ61">
            <v>1112.7098890109644</v>
          </cell>
          <cell r="CR61">
            <v>822.59251743784137</v>
          </cell>
          <cell r="CS61">
            <v>1112.7098890109644</v>
          </cell>
          <cell r="CT61">
            <v>1006.1194624136668</v>
          </cell>
          <cell r="CU61">
            <v>1505.1477746955675</v>
          </cell>
          <cell r="CV61">
            <v>1582.8703341015785</v>
          </cell>
          <cell r="CW61">
            <v>1431.2415710013781</v>
          </cell>
          <cell r="CX61">
            <v>1058.0732844912411</v>
          </cell>
          <cell r="CY61">
            <v>1750.5629694824095</v>
          </cell>
        </row>
        <row r="62">
          <cell r="D62">
            <v>1199.9999999999995</v>
          </cell>
          <cell r="E62">
            <v>1395.6606777721711</v>
          </cell>
          <cell r="F62">
            <v>1261.9653916081936</v>
          </cell>
          <cell r="G62">
            <v>1327.1305413473517</v>
          </cell>
          <cell r="H62">
            <v>1261.9653916081936</v>
          </cell>
          <cell r="I62">
            <v>1031.7694142523271</v>
          </cell>
          <cell r="J62">
            <v>1141.0772510686097</v>
          </cell>
          <cell r="K62">
            <v>981.10717245976275</v>
          </cell>
          <cell r="L62">
            <v>1623.2239395662309</v>
          </cell>
          <cell r="M62">
            <v>1395.6606777721713</v>
          </cell>
          <cell r="N62">
            <v>1085.0477440885795</v>
          </cell>
          <cell r="O62">
            <v>1395.6606777721711</v>
          </cell>
          <cell r="P62">
            <v>1395.6606777721711</v>
          </cell>
          <cell r="Q62">
            <v>1085.0477440885795</v>
          </cell>
          <cell r="R62">
            <v>1467.7295614807629</v>
          </cell>
          <cell r="S62">
            <v>1395.6606777721715</v>
          </cell>
          <cell r="T62">
            <v>981.10717245976241</v>
          </cell>
          <cell r="U62">
            <v>1031.7694142523271</v>
          </cell>
          <cell r="V62">
            <v>1395.6606777721713</v>
          </cell>
          <cell r="W62">
            <v>1623.2239395662305</v>
          </cell>
          <cell r="X62">
            <v>1623.2239395662307</v>
          </cell>
          <cell r="Y62">
            <v>1085.0477440885795</v>
          </cell>
          <cell r="Z62">
            <v>1199.9999999999995</v>
          </cell>
          <cell r="AA62">
            <v>1199.9999999999995</v>
          </cell>
          <cell r="AB62">
            <v>1031.7694142523269</v>
          </cell>
          <cell r="AC62">
            <v>981.10717245976286</v>
          </cell>
          <cell r="AD62">
            <v>1327.1305413473517</v>
          </cell>
          <cell r="AE62">
            <v>1261.9653916081936</v>
          </cell>
          <cell r="AF62">
            <v>1199.9999999999995</v>
          </cell>
          <cell r="AG62">
            <v>1199.9999999999995</v>
          </cell>
          <cell r="AH62">
            <v>1085.0477440885795</v>
          </cell>
          <cell r="AI62">
            <v>1327.1305413473517</v>
          </cell>
          <cell r="AJ62">
            <v>932.93256279506875</v>
          </cell>
          <cell r="AK62">
            <v>1327.1305413473517</v>
          </cell>
          <cell r="AL62">
            <v>1395.6606777721715</v>
          </cell>
          <cell r="AM62">
            <v>1261.9653916081941</v>
          </cell>
          <cell r="AN62">
            <v>1327.1305413473522</v>
          </cell>
          <cell r="AO62">
            <v>1199.9999999999995</v>
          </cell>
          <cell r="AP62">
            <v>1141.0772510686095</v>
          </cell>
          <cell r="AQ62">
            <v>1327.1305413473522</v>
          </cell>
          <cell r="AR62">
            <v>1795.191721370428</v>
          </cell>
          <cell r="AS62">
            <v>1199.9999999999995</v>
          </cell>
          <cell r="AT62">
            <v>1261.9653916081938</v>
          </cell>
          <cell r="AU62">
            <v>1199.9999999999995</v>
          </cell>
          <cell r="AV62">
            <v>1261.9653916081941</v>
          </cell>
          <cell r="AW62">
            <v>1085.0477440885795</v>
          </cell>
          <cell r="AX62">
            <v>1467.7295614807629</v>
          </cell>
          <cell r="AY62">
            <v>1141.0772510686097</v>
          </cell>
          <cell r="AZ62">
            <v>1261.9653916081936</v>
          </cell>
          <cell r="BA62">
            <v>1141.0772510686097</v>
          </cell>
          <cell r="BB62">
            <v>1261.9653916081936</v>
          </cell>
          <cell r="BC62">
            <v>1543.5199256908281</v>
          </cell>
          <cell r="BD62">
            <v>1467.7295614807633</v>
          </cell>
          <cell r="BE62">
            <v>1085.0477440885795</v>
          </cell>
          <cell r="BF62">
            <v>1031.7694142523269</v>
          </cell>
          <cell r="BG62">
            <v>802.14273654332578</v>
          </cell>
          <cell r="BH62">
            <v>1327.1305413473517</v>
          </cell>
          <cell r="BI62">
            <v>1327.1305413473519</v>
          </cell>
          <cell r="BJ62">
            <v>1467.7295614807629</v>
          </cell>
          <cell r="BK62">
            <v>1031.7694142523274</v>
          </cell>
          <cell r="BL62">
            <v>1141.0772510686097</v>
          </cell>
          <cell r="BM62">
            <v>1327.1305413473517</v>
          </cell>
          <cell r="BN62">
            <v>1261.9653916081941</v>
          </cell>
          <cell r="BO62">
            <v>1085.0477440885795</v>
          </cell>
          <cell r="BP62">
            <v>1031.7694142523274</v>
          </cell>
          <cell r="BQ62">
            <v>1200</v>
          </cell>
          <cell r="BR62">
            <v>1887.8915197258502</v>
          </cell>
          <cell r="BS62">
            <v>1543.5199256908281</v>
          </cell>
          <cell r="BT62">
            <v>1261.9653916081936</v>
          </cell>
          <cell r="BU62">
            <v>1327.1305413473517</v>
          </cell>
          <cell r="BV62">
            <v>1199.9999999999995</v>
          </cell>
          <cell r="BW62">
            <v>1261.9653916081936</v>
          </cell>
          <cell r="BX62">
            <v>1031.7694142523274</v>
          </cell>
          <cell r="BY62">
            <v>1467.7295614807631</v>
          </cell>
          <cell r="BZ62">
            <v>1031.7694142523274</v>
          </cell>
          <cell r="CA62">
            <v>1261.9653916081936</v>
          </cell>
          <cell r="CB62">
            <v>802.14273654332578</v>
          </cell>
          <cell r="CC62">
            <v>1467.7295614807629</v>
          </cell>
          <cell r="CD62">
            <v>1261.9653916081938</v>
          </cell>
          <cell r="CE62">
            <v>932.93256279506875</v>
          </cell>
          <cell r="CF62">
            <v>932.93256279506875</v>
          </cell>
          <cell r="CG62">
            <v>932.93256279506897</v>
          </cell>
          <cell r="CH62">
            <v>1141.0772510686097</v>
          </cell>
          <cell r="CI62">
            <v>1707.0436954687445</v>
          </cell>
          <cell r="CJ62">
            <v>1141.0772510686097</v>
          </cell>
          <cell r="CK62">
            <v>1141.0772510686097</v>
          </cell>
          <cell r="CL62">
            <v>1141.0772510686097</v>
          </cell>
          <cell r="CM62">
            <v>1261.9653916081941</v>
          </cell>
          <cell r="CN62">
            <v>932.93256279506875</v>
          </cell>
          <cell r="CO62">
            <v>1031.7694142523274</v>
          </cell>
          <cell r="CP62">
            <v>932.93256279506875</v>
          </cell>
          <cell r="CQ62">
            <v>1141.0772510686097</v>
          </cell>
          <cell r="CR62">
            <v>843.56364387297208</v>
          </cell>
          <cell r="CS62">
            <v>1085.0477440885795</v>
          </cell>
          <cell r="CT62">
            <v>1031.7694142523269</v>
          </cell>
          <cell r="CU62">
            <v>1467.7295614807629</v>
          </cell>
          <cell r="CV62">
            <v>1623.2239395662309</v>
          </cell>
          <cell r="CW62">
            <v>1395.6606777721711</v>
          </cell>
          <cell r="CX62">
            <v>1085.0477440885795</v>
          </cell>
          <cell r="CY62">
            <v>1707.0436954687445</v>
          </cell>
        </row>
        <row r="63">
          <cell r="D63">
            <v>1230.5927311380608</v>
          </cell>
          <cell r="E63">
            <v>1360.9643312111427</v>
          </cell>
          <cell r="F63">
            <v>1294.1378648840334</v>
          </cell>
          <cell r="G63">
            <v>1294.1378648840334</v>
          </cell>
          <cell r="H63">
            <v>1230.5927311380608</v>
          </cell>
          <cell r="I63">
            <v>1058.0732844912409</v>
          </cell>
          <cell r="J63">
            <v>1170.167809026693</v>
          </cell>
          <cell r="K63">
            <v>956.71669201467898</v>
          </cell>
          <cell r="L63">
            <v>1664.6063175329095</v>
          </cell>
          <cell r="M63">
            <v>1360.964331211143</v>
          </cell>
          <cell r="N63">
            <v>1058.0732844912411</v>
          </cell>
          <cell r="O63">
            <v>1431.2415710013781</v>
          </cell>
          <cell r="P63">
            <v>1431.2415710013781</v>
          </cell>
          <cell r="Q63">
            <v>1058.0732844912411</v>
          </cell>
          <cell r="R63">
            <v>1431.2415710013781</v>
          </cell>
          <cell r="S63">
            <v>1431.2415710013786</v>
          </cell>
          <cell r="T63">
            <v>956.71669201467864</v>
          </cell>
          <cell r="U63">
            <v>1006.119462413667</v>
          </cell>
          <cell r="V63">
            <v>1360.964331211143</v>
          </cell>
          <cell r="W63">
            <v>1664.6063175329091</v>
          </cell>
          <cell r="X63">
            <v>1582.8703341015782</v>
          </cell>
          <cell r="Y63">
            <v>1058.0732844912411</v>
          </cell>
          <cell r="Z63">
            <v>1170.167809026693</v>
          </cell>
          <cell r="AA63">
            <v>1170.167809026693</v>
          </cell>
          <cell r="AB63">
            <v>1058.0732844912407</v>
          </cell>
          <cell r="AC63">
            <v>956.7166920146791</v>
          </cell>
          <cell r="AD63">
            <v>1294.1378648840334</v>
          </cell>
          <cell r="AE63">
            <v>1230.5927311380608</v>
          </cell>
          <cell r="AF63">
            <v>1170.167809026693</v>
          </cell>
          <cell r="AG63">
            <v>1170.167809026693</v>
          </cell>
          <cell r="AH63">
            <v>1112.7098890109644</v>
          </cell>
          <cell r="AI63">
            <v>1360.9643312111427</v>
          </cell>
          <cell r="AJ63">
            <v>909.73971081296975</v>
          </cell>
          <cell r="AK63">
            <v>1360.9643312111427</v>
          </cell>
          <cell r="AL63">
            <v>1360.9643312111432</v>
          </cell>
          <cell r="AM63">
            <v>1294.1378648840339</v>
          </cell>
          <cell r="AN63">
            <v>1294.1378648840339</v>
          </cell>
          <cell r="AO63">
            <v>1230.5927311380608</v>
          </cell>
          <cell r="AP63">
            <v>1170.1678090266928</v>
          </cell>
          <cell r="AQ63">
            <v>1294.1378648840339</v>
          </cell>
          <cell r="AR63">
            <v>1750.5629694824099</v>
          </cell>
          <cell r="AS63">
            <v>1170.167809026693</v>
          </cell>
          <cell r="AT63">
            <v>1294.1378648840337</v>
          </cell>
          <cell r="AU63">
            <v>1230.5927311380608</v>
          </cell>
          <cell r="AV63">
            <v>1230.5927311380613</v>
          </cell>
          <cell r="AW63">
            <v>1058.0732844912411</v>
          </cell>
          <cell r="AX63">
            <v>1431.2415710013781</v>
          </cell>
          <cell r="AY63">
            <v>1170.167809026693</v>
          </cell>
          <cell r="AZ63">
            <v>1294.1378648840334</v>
          </cell>
          <cell r="BA63">
            <v>1112.7098890109644</v>
          </cell>
          <cell r="BB63">
            <v>1294.1378648840334</v>
          </cell>
          <cell r="BC63">
            <v>1505.1477746955675</v>
          </cell>
          <cell r="BD63">
            <v>1431.2415710013786</v>
          </cell>
          <cell r="BE63">
            <v>1058.0732844912411</v>
          </cell>
          <cell r="BF63">
            <v>1006.1194624136668</v>
          </cell>
          <cell r="BG63">
            <v>822.59251743784137</v>
          </cell>
          <cell r="BH63">
            <v>1360.9643312111427</v>
          </cell>
          <cell r="BI63">
            <v>1360.964331211143</v>
          </cell>
          <cell r="BJ63">
            <v>1431.2415710013781</v>
          </cell>
          <cell r="BK63">
            <v>1006.1194624136672</v>
          </cell>
          <cell r="BL63">
            <v>1112.7098890109644</v>
          </cell>
          <cell r="BM63">
            <v>1360.9643312111427</v>
          </cell>
          <cell r="BN63">
            <v>1294.1378648840339</v>
          </cell>
          <cell r="BO63">
            <v>1058.0732844912411</v>
          </cell>
          <cell r="BP63">
            <v>1058.0732844912411</v>
          </cell>
          <cell r="BQ63">
            <v>1170.1678090266935</v>
          </cell>
          <cell r="BR63">
            <v>1936.0213177931828</v>
          </cell>
          <cell r="BS63">
            <v>1582.870334101578</v>
          </cell>
          <cell r="BT63">
            <v>1230.5927311380608</v>
          </cell>
          <cell r="BU63">
            <v>1360.9643312111427</v>
          </cell>
          <cell r="BV63">
            <v>1170.167809026693</v>
          </cell>
          <cell r="BW63">
            <v>1294.1378648840334</v>
          </cell>
          <cell r="BX63">
            <v>1058.0732844912411</v>
          </cell>
          <cell r="BY63">
            <v>1431.2415710013784</v>
          </cell>
          <cell r="BZ63">
            <v>1006.1194624136672</v>
          </cell>
          <cell r="CA63">
            <v>1294.1378648840334</v>
          </cell>
          <cell r="CB63">
            <v>782.20134045631642</v>
          </cell>
          <cell r="CC63">
            <v>1431.2415710013781</v>
          </cell>
          <cell r="CD63">
            <v>1230.592731138061</v>
          </cell>
          <cell r="CE63">
            <v>956.71669201467876</v>
          </cell>
          <cell r="CF63">
            <v>909.73971081296975</v>
          </cell>
          <cell r="CG63">
            <v>909.73971081296986</v>
          </cell>
          <cell r="CH63">
            <v>1112.7098890109644</v>
          </cell>
          <cell r="CI63">
            <v>1750.5629694824095</v>
          </cell>
          <cell r="CJ63">
            <v>1112.7098890109644</v>
          </cell>
          <cell r="CK63">
            <v>1112.7098890109644</v>
          </cell>
          <cell r="CL63">
            <v>1170.167809026693</v>
          </cell>
          <cell r="CM63">
            <v>1294.1378648840339</v>
          </cell>
          <cell r="CN63">
            <v>909.73971081296975</v>
          </cell>
          <cell r="CO63">
            <v>1058.0732844912411</v>
          </cell>
          <cell r="CP63">
            <v>909.73971081296975</v>
          </cell>
          <cell r="CQ63">
            <v>1170.167809026693</v>
          </cell>
          <cell r="CR63">
            <v>822.59251743784137</v>
          </cell>
          <cell r="CS63">
            <v>1058.0732844912411</v>
          </cell>
          <cell r="CT63">
            <v>1006.1194624136668</v>
          </cell>
          <cell r="CU63">
            <v>1431.2415710013781</v>
          </cell>
          <cell r="CV63">
            <v>1582.8703341015785</v>
          </cell>
          <cell r="CW63">
            <v>1431.2415710013781</v>
          </cell>
          <cell r="CX63">
            <v>1058.0732844912411</v>
          </cell>
          <cell r="CY63">
            <v>1664.6063175329091</v>
          </cell>
        </row>
        <row r="64">
          <cell r="D64">
            <v>1199.9999999999995</v>
          </cell>
          <cell r="E64">
            <v>1327.1305413473517</v>
          </cell>
          <cell r="F64">
            <v>1261.9653916081936</v>
          </cell>
          <cell r="G64">
            <v>1327.1305413473517</v>
          </cell>
          <cell r="H64">
            <v>1199.9999999999995</v>
          </cell>
          <cell r="I64">
            <v>1031.7694142523271</v>
          </cell>
          <cell r="J64">
            <v>1199.9999999999995</v>
          </cell>
          <cell r="K64">
            <v>981.10717245976275</v>
          </cell>
          <cell r="L64">
            <v>1623.2239395662309</v>
          </cell>
          <cell r="M64">
            <v>1327.1305413473519</v>
          </cell>
          <cell r="N64">
            <v>1085.0477440885795</v>
          </cell>
          <cell r="O64">
            <v>1467.7295614807629</v>
          </cell>
          <cell r="P64">
            <v>1395.6606777721711</v>
          </cell>
          <cell r="Q64">
            <v>1031.7694142523274</v>
          </cell>
          <cell r="R64">
            <v>1467.7295614807629</v>
          </cell>
          <cell r="S64">
            <v>1395.6606777721715</v>
          </cell>
          <cell r="T64">
            <v>932.93256279506863</v>
          </cell>
          <cell r="U64">
            <v>981.10717245976264</v>
          </cell>
          <cell r="V64">
            <v>1395.6606777721713</v>
          </cell>
          <cell r="W64">
            <v>1707.0436954687445</v>
          </cell>
          <cell r="X64">
            <v>1543.5199256908284</v>
          </cell>
          <cell r="Y64">
            <v>1085.0477440885795</v>
          </cell>
          <cell r="Z64">
            <v>1141.0772510686097</v>
          </cell>
          <cell r="AA64">
            <v>1141.0772510686097</v>
          </cell>
          <cell r="AB64">
            <v>1031.7694142523269</v>
          </cell>
          <cell r="AC64">
            <v>981.10717245976286</v>
          </cell>
          <cell r="AD64">
            <v>1261.9653916081936</v>
          </cell>
          <cell r="AE64">
            <v>1199.9999999999995</v>
          </cell>
          <cell r="AF64">
            <v>1199.9999999999995</v>
          </cell>
          <cell r="AG64">
            <v>1141.0772510686097</v>
          </cell>
          <cell r="AH64">
            <v>1085.0477440885795</v>
          </cell>
          <cell r="AI64">
            <v>1327.1305413473517</v>
          </cell>
          <cell r="AJ64">
            <v>932.93256279506875</v>
          </cell>
          <cell r="AK64">
            <v>1327.1305413473517</v>
          </cell>
          <cell r="AL64">
            <v>1327.1305413473522</v>
          </cell>
          <cell r="AM64">
            <v>1261.9653916081941</v>
          </cell>
          <cell r="AN64">
            <v>1327.1305413473522</v>
          </cell>
          <cell r="AO64">
            <v>1199.9999999999995</v>
          </cell>
          <cell r="AP64">
            <v>1199.9999999999993</v>
          </cell>
          <cell r="AQ64">
            <v>1327.1305413473522</v>
          </cell>
          <cell r="AR64">
            <v>1795.191721370428</v>
          </cell>
          <cell r="AS64">
            <v>1141.0772510686097</v>
          </cell>
          <cell r="AT64">
            <v>1327.1305413473519</v>
          </cell>
          <cell r="AU64">
            <v>1199.9999999999995</v>
          </cell>
          <cell r="AV64">
            <v>1261.9653916081941</v>
          </cell>
          <cell r="AW64">
            <v>1031.7694142523274</v>
          </cell>
          <cell r="AX64">
            <v>1467.7295614807629</v>
          </cell>
          <cell r="AY64">
            <v>1141.0772510686097</v>
          </cell>
          <cell r="AZ64">
            <v>1261.9653916081936</v>
          </cell>
          <cell r="BA64">
            <v>1141.0772510686097</v>
          </cell>
          <cell r="BB64">
            <v>1261.9653916081936</v>
          </cell>
          <cell r="BC64">
            <v>1467.7295614807629</v>
          </cell>
          <cell r="BD64">
            <v>1467.7295614807633</v>
          </cell>
          <cell r="BE64">
            <v>1031.7694142523274</v>
          </cell>
          <cell r="BF64">
            <v>1031.7694142523269</v>
          </cell>
          <cell r="BG64">
            <v>843.56364387297208</v>
          </cell>
          <cell r="BH64">
            <v>1327.1305413473517</v>
          </cell>
          <cell r="BI64">
            <v>1327.1305413473519</v>
          </cell>
          <cell r="BJ64">
            <v>1467.7295614807629</v>
          </cell>
          <cell r="BK64">
            <v>1031.7694142523274</v>
          </cell>
          <cell r="BL64">
            <v>1141.0772510686097</v>
          </cell>
          <cell r="BM64">
            <v>1395.6606777721711</v>
          </cell>
          <cell r="BN64">
            <v>1261.9653916081941</v>
          </cell>
          <cell r="BO64">
            <v>1085.0477440885795</v>
          </cell>
          <cell r="BP64">
            <v>1031.7694142523274</v>
          </cell>
          <cell r="BQ64">
            <v>1141.0772510686099</v>
          </cell>
          <cell r="BR64">
            <v>1887.8915197258502</v>
          </cell>
          <cell r="BS64">
            <v>1623.2239395662305</v>
          </cell>
          <cell r="BT64">
            <v>1261.9653916081936</v>
          </cell>
          <cell r="BU64">
            <v>1327.1305413473517</v>
          </cell>
          <cell r="BV64">
            <v>1141.0772510686097</v>
          </cell>
          <cell r="BW64">
            <v>1261.9653916081936</v>
          </cell>
          <cell r="BX64">
            <v>1085.0477440885795</v>
          </cell>
          <cell r="BY64">
            <v>1467.7295614807631</v>
          </cell>
          <cell r="BZ64">
            <v>981.10717245976286</v>
          </cell>
          <cell r="CA64">
            <v>1327.1305413473517</v>
          </cell>
          <cell r="CB64">
            <v>762.755690649592</v>
          </cell>
          <cell r="CC64">
            <v>1395.6606777721711</v>
          </cell>
          <cell r="CD64">
            <v>1199.9999999999998</v>
          </cell>
          <cell r="CE64">
            <v>932.93256279506875</v>
          </cell>
          <cell r="CF64">
            <v>932.93256279506875</v>
          </cell>
          <cell r="CG64">
            <v>887.12343682215885</v>
          </cell>
          <cell r="CH64">
            <v>1141.0772510686097</v>
          </cell>
          <cell r="CI64">
            <v>1795.1917213704276</v>
          </cell>
          <cell r="CJ64">
            <v>1085.0477440885795</v>
          </cell>
          <cell r="CK64">
            <v>1085.0477440885795</v>
          </cell>
          <cell r="CL64">
            <v>1199.9999999999995</v>
          </cell>
          <cell r="CM64">
            <v>1327.1305413473522</v>
          </cell>
          <cell r="CN64">
            <v>932.93256279506875</v>
          </cell>
          <cell r="CO64">
            <v>1031.7694142523274</v>
          </cell>
          <cell r="CP64">
            <v>932.93256279506875</v>
          </cell>
          <cell r="CQ64">
            <v>1141.0772510686097</v>
          </cell>
          <cell r="CR64">
            <v>802.14273654332578</v>
          </cell>
          <cell r="CS64">
            <v>1085.0477440885795</v>
          </cell>
          <cell r="CT64">
            <v>981.10717245976264</v>
          </cell>
          <cell r="CU64">
            <v>1467.7295614807629</v>
          </cell>
          <cell r="CV64">
            <v>1543.5199256908286</v>
          </cell>
          <cell r="CW64">
            <v>1467.7295614807629</v>
          </cell>
          <cell r="CX64">
            <v>1085.0477440885795</v>
          </cell>
          <cell r="CY64">
            <v>1707.0436954687445</v>
          </cell>
        </row>
        <row r="65">
          <cell r="D65">
            <v>1230.5927311380608</v>
          </cell>
          <cell r="E65">
            <v>1360.9643312111427</v>
          </cell>
          <cell r="F65">
            <v>1230.5927311380608</v>
          </cell>
          <cell r="G65">
            <v>1294.1378648840334</v>
          </cell>
          <cell r="H65">
            <v>1170.167809026693</v>
          </cell>
          <cell r="I65">
            <v>1058.0732844912409</v>
          </cell>
          <cell r="J65">
            <v>1230.5927311380608</v>
          </cell>
          <cell r="K65">
            <v>956.71669201467898</v>
          </cell>
          <cell r="L65">
            <v>1582.8703341015785</v>
          </cell>
          <cell r="M65">
            <v>1360.964331211143</v>
          </cell>
          <cell r="N65">
            <v>1058.0732844912411</v>
          </cell>
          <cell r="O65">
            <v>1431.2415710013781</v>
          </cell>
          <cell r="P65">
            <v>1431.2415710013781</v>
          </cell>
          <cell r="Q65">
            <v>1006.1194624136672</v>
          </cell>
          <cell r="R65">
            <v>1505.1477746955675</v>
          </cell>
          <cell r="S65">
            <v>1431.2415710013786</v>
          </cell>
          <cell r="T65">
            <v>956.71669201467864</v>
          </cell>
          <cell r="U65">
            <v>1006.1194624136668</v>
          </cell>
          <cell r="V65">
            <v>1431.2415710013784</v>
          </cell>
          <cell r="W65">
            <v>1750.5629694824095</v>
          </cell>
          <cell r="X65">
            <v>1582.8703341015782</v>
          </cell>
          <cell r="Y65">
            <v>1112.7098890109644</v>
          </cell>
          <cell r="Z65">
            <v>1170.167809026693</v>
          </cell>
          <cell r="AA65">
            <v>1170.167809026693</v>
          </cell>
          <cell r="AB65">
            <v>1058.0732844912407</v>
          </cell>
          <cell r="AC65">
            <v>956.7166920146791</v>
          </cell>
          <cell r="AD65">
            <v>1230.5927311380608</v>
          </cell>
          <cell r="AE65">
            <v>1230.5927311380608</v>
          </cell>
          <cell r="AF65">
            <v>1170.167809026693</v>
          </cell>
          <cell r="AG65">
            <v>1170.167809026693</v>
          </cell>
          <cell r="AH65">
            <v>1112.7098890109644</v>
          </cell>
          <cell r="AI65">
            <v>1360.9643312111427</v>
          </cell>
          <cell r="AJ65">
            <v>956.71669201467876</v>
          </cell>
          <cell r="AK65">
            <v>1360.9643312111427</v>
          </cell>
          <cell r="AL65">
            <v>1360.9643312111432</v>
          </cell>
          <cell r="AM65">
            <v>1294.1378648840339</v>
          </cell>
          <cell r="AN65">
            <v>1360.9643312111432</v>
          </cell>
          <cell r="AO65">
            <v>1170.167809026693</v>
          </cell>
          <cell r="AP65">
            <v>1230.5927311380606</v>
          </cell>
          <cell r="AQ65">
            <v>1360.9643312111432</v>
          </cell>
          <cell r="AR65">
            <v>1750.5629694824099</v>
          </cell>
          <cell r="AS65">
            <v>1112.7098890109644</v>
          </cell>
          <cell r="AT65">
            <v>1294.1378648840337</v>
          </cell>
          <cell r="AU65">
            <v>1170.167809026693</v>
          </cell>
          <cell r="AV65">
            <v>1230.5927311380613</v>
          </cell>
          <cell r="AW65">
            <v>1058.0732844912411</v>
          </cell>
          <cell r="AX65">
            <v>1431.2415710013781</v>
          </cell>
          <cell r="AY65">
            <v>1112.7098890109644</v>
          </cell>
          <cell r="AZ65">
            <v>1294.1378648840334</v>
          </cell>
          <cell r="BA65">
            <v>1112.7098890109644</v>
          </cell>
          <cell r="BB65">
            <v>1230.5927311380608</v>
          </cell>
          <cell r="BC65">
            <v>1505.1477746955675</v>
          </cell>
          <cell r="BD65">
            <v>1431.2415710013786</v>
          </cell>
          <cell r="BE65">
            <v>1006.1194624136672</v>
          </cell>
          <cell r="BF65">
            <v>1006.1194624136668</v>
          </cell>
          <cell r="BG65">
            <v>822.59251743784137</v>
          </cell>
          <cell r="BH65">
            <v>1294.1378648840334</v>
          </cell>
          <cell r="BI65">
            <v>1360.964331211143</v>
          </cell>
          <cell r="BJ65">
            <v>1505.1477746955675</v>
          </cell>
          <cell r="BK65">
            <v>1006.1194624136672</v>
          </cell>
          <cell r="BL65">
            <v>1170.167809026693</v>
          </cell>
          <cell r="BM65">
            <v>1431.2415710013781</v>
          </cell>
          <cell r="BN65">
            <v>1294.1378648840339</v>
          </cell>
          <cell r="BO65">
            <v>1112.7098890109644</v>
          </cell>
          <cell r="BP65">
            <v>1006.1194624136672</v>
          </cell>
          <cell r="BQ65">
            <v>1170.1678090266932</v>
          </cell>
          <cell r="BR65">
            <v>1936.0213177931828</v>
          </cell>
          <cell r="BS65">
            <v>1582.870334101578</v>
          </cell>
          <cell r="BT65">
            <v>1294.1378648840334</v>
          </cell>
          <cell r="BU65">
            <v>1360.9643312111427</v>
          </cell>
          <cell r="BV65">
            <v>1112.7098890109644</v>
          </cell>
          <cell r="BW65">
            <v>1230.5927311380608</v>
          </cell>
          <cell r="BX65">
            <v>1112.7098890109644</v>
          </cell>
          <cell r="BY65">
            <v>1505.1477746955677</v>
          </cell>
          <cell r="BZ65">
            <v>1006.1194624136671</v>
          </cell>
          <cell r="CA65">
            <v>1294.1378648840334</v>
          </cell>
          <cell r="CB65">
            <v>743.79346279172944</v>
          </cell>
          <cell r="CC65">
            <v>1360.9643312111427</v>
          </cell>
          <cell r="CD65">
            <v>1170.1678090266932</v>
          </cell>
          <cell r="CE65">
            <v>909.73971081296975</v>
          </cell>
          <cell r="CF65">
            <v>909.73971081296975</v>
          </cell>
          <cell r="CG65">
            <v>865.06940700201324</v>
          </cell>
          <cell r="CH65">
            <v>1170.167809026693</v>
          </cell>
          <cell r="CI65">
            <v>1750.5629694824095</v>
          </cell>
          <cell r="CJ65">
            <v>1058.0732844912411</v>
          </cell>
          <cell r="CK65">
            <v>1112.7098890109644</v>
          </cell>
          <cell r="CL65">
            <v>1170.167809026693</v>
          </cell>
          <cell r="CM65">
            <v>1294.1378648840339</v>
          </cell>
          <cell r="CN65">
            <v>909.73971081296975</v>
          </cell>
          <cell r="CO65">
            <v>1058.0732844912411</v>
          </cell>
          <cell r="CP65">
            <v>956.71669201467876</v>
          </cell>
          <cell r="CQ65">
            <v>1112.7098890109644</v>
          </cell>
          <cell r="CR65">
            <v>782.20134045631642</v>
          </cell>
          <cell r="CS65">
            <v>1058.0732844912411</v>
          </cell>
          <cell r="CT65">
            <v>956.71669201467887</v>
          </cell>
          <cell r="CU65">
            <v>1505.1477746955675</v>
          </cell>
          <cell r="CV65">
            <v>1505.1477746955679</v>
          </cell>
          <cell r="CW65">
            <v>1505.1477746955675</v>
          </cell>
          <cell r="CX65">
            <v>1112.7098890109644</v>
          </cell>
          <cell r="CY65">
            <v>1750.5629694824095</v>
          </cell>
        </row>
        <row r="66">
          <cell r="D66">
            <v>1199.9999999999995</v>
          </cell>
          <cell r="E66">
            <v>1395.6606777721711</v>
          </cell>
          <cell r="F66">
            <v>1261.9653916081936</v>
          </cell>
          <cell r="G66">
            <v>1327.1305413473517</v>
          </cell>
          <cell r="H66">
            <v>1141.0772510686097</v>
          </cell>
          <cell r="I66">
            <v>1031.7694142523271</v>
          </cell>
          <cell r="J66">
            <v>1199.9999999999995</v>
          </cell>
          <cell r="K66">
            <v>932.93256279506886</v>
          </cell>
          <cell r="L66">
            <v>1543.5199256908286</v>
          </cell>
          <cell r="M66">
            <v>1327.1305413473519</v>
          </cell>
          <cell r="N66">
            <v>1085.0477440885795</v>
          </cell>
          <cell r="O66">
            <v>1467.7295614807629</v>
          </cell>
          <cell r="P66">
            <v>1467.7295614807629</v>
          </cell>
          <cell r="Q66">
            <v>981.10717245976286</v>
          </cell>
          <cell r="R66">
            <v>1543.5199256908281</v>
          </cell>
          <cell r="S66">
            <v>1467.7295614807633</v>
          </cell>
          <cell r="T66">
            <v>981.10717245976241</v>
          </cell>
          <cell r="U66">
            <v>981.10717245976264</v>
          </cell>
          <cell r="V66">
            <v>1395.6606777721713</v>
          </cell>
          <cell r="W66">
            <v>1795.1917213704276</v>
          </cell>
          <cell r="X66">
            <v>1543.5199256908284</v>
          </cell>
          <cell r="Y66">
            <v>1141.0772510686097</v>
          </cell>
          <cell r="Z66">
            <v>1141.0772510686097</v>
          </cell>
          <cell r="AA66">
            <v>1199.9999999999995</v>
          </cell>
          <cell r="AB66">
            <v>1085.0477440885791</v>
          </cell>
          <cell r="AC66">
            <v>981.10717245976286</v>
          </cell>
          <cell r="AD66">
            <v>1261.9653916081936</v>
          </cell>
          <cell r="AE66">
            <v>1199.9999999999995</v>
          </cell>
          <cell r="AF66">
            <v>1199.9999999999995</v>
          </cell>
          <cell r="AG66">
            <v>1199.9999999999995</v>
          </cell>
          <cell r="AH66">
            <v>1085.0477440885795</v>
          </cell>
          <cell r="AI66">
            <v>1395.6606777721711</v>
          </cell>
          <cell r="AJ66">
            <v>981.10717245976252</v>
          </cell>
          <cell r="AK66">
            <v>1395.6606777721711</v>
          </cell>
          <cell r="AL66">
            <v>1395.6606777721715</v>
          </cell>
          <cell r="AM66">
            <v>1327.1305413473522</v>
          </cell>
          <cell r="AN66">
            <v>1327.1305413473522</v>
          </cell>
          <cell r="AO66">
            <v>1199.9999999999995</v>
          </cell>
          <cell r="AP66">
            <v>1261.9653916081934</v>
          </cell>
          <cell r="AQ66">
            <v>1327.1305413473522</v>
          </cell>
          <cell r="AR66">
            <v>1795.191721370428</v>
          </cell>
          <cell r="AS66">
            <v>1141.0772510686097</v>
          </cell>
          <cell r="AT66">
            <v>1327.1305413473519</v>
          </cell>
          <cell r="AU66">
            <v>1141.0772510686097</v>
          </cell>
          <cell r="AV66">
            <v>1200</v>
          </cell>
          <cell r="AW66">
            <v>1031.7694142523274</v>
          </cell>
          <cell r="AX66">
            <v>1395.6606777721711</v>
          </cell>
          <cell r="AY66">
            <v>1085.0477440885795</v>
          </cell>
          <cell r="AZ66">
            <v>1327.1305413473517</v>
          </cell>
          <cell r="BA66">
            <v>1141.0772510686097</v>
          </cell>
          <cell r="BB66">
            <v>1261.9653916081936</v>
          </cell>
          <cell r="BC66">
            <v>1543.5199256908281</v>
          </cell>
          <cell r="BD66">
            <v>1395.6606777721715</v>
          </cell>
          <cell r="BE66">
            <v>1031.7694142523274</v>
          </cell>
          <cell r="BF66">
            <v>981.10717245976264</v>
          </cell>
          <cell r="BG66">
            <v>802.14273654332578</v>
          </cell>
          <cell r="BH66">
            <v>1261.9653916081936</v>
          </cell>
          <cell r="BI66">
            <v>1327.1305413473519</v>
          </cell>
          <cell r="BJ66">
            <v>1543.5199256908281</v>
          </cell>
          <cell r="BK66">
            <v>1031.7694142523274</v>
          </cell>
          <cell r="BL66">
            <v>1141.0772510686097</v>
          </cell>
          <cell r="BM66">
            <v>1395.6606777721711</v>
          </cell>
          <cell r="BN66">
            <v>1261.9653916081941</v>
          </cell>
          <cell r="BO66">
            <v>1085.0477440885795</v>
          </cell>
          <cell r="BP66">
            <v>981.10717245976286</v>
          </cell>
          <cell r="BQ66">
            <v>1141.0772510686097</v>
          </cell>
          <cell r="BR66">
            <v>1985.3781341705178</v>
          </cell>
          <cell r="BS66">
            <v>1623.2239395662305</v>
          </cell>
          <cell r="BT66">
            <v>1327.1305413473517</v>
          </cell>
          <cell r="BU66">
            <v>1395.6606777721711</v>
          </cell>
          <cell r="BV66">
            <v>1085.0477440885795</v>
          </cell>
          <cell r="BW66">
            <v>1261.9653916081936</v>
          </cell>
          <cell r="BX66">
            <v>1085.0477440885795</v>
          </cell>
          <cell r="BY66">
            <v>1543.5199256908284</v>
          </cell>
          <cell r="BZ66">
            <v>981.10717245976275</v>
          </cell>
          <cell r="CA66">
            <v>1261.9653916081936</v>
          </cell>
          <cell r="CB66">
            <v>725.3026389361462</v>
          </cell>
          <cell r="CC66">
            <v>1395.6606777721711</v>
          </cell>
          <cell r="CD66">
            <v>1199.9999999999998</v>
          </cell>
          <cell r="CE66">
            <v>932.93256279506875</v>
          </cell>
          <cell r="CF66">
            <v>932.93256279506875</v>
          </cell>
          <cell r="CG66">
            <v>887.12343682215885</v>
          </cell>
          <cell r="CH66">
            <v>1141.0772510686097</v>
          </cell>
          <cell r="CI66">
            <v>1795.1917213704276</v>
          </cell>
          <cell r="CJ66">
            <v>1085.0477440885795</v>
          </cell>
          <cell r="CK66">
            <v>1085.0477440885795</v>
          </cell>
          <cell r="CL66">
            <v>1199.9999999999995</v>
          </cell>
          <cell r="CM66">
            <v>1327.1305413473522</v>
          </cell>
          <cell r="CN66">
            <v>887.12343682215874</v>
          </cell>
          <cell r="CO66">
            <v>1085.0477440885795</v>
          </cell>
          <cell r="CP66">
            <v>932.93256279506875</v>
          </cell>
          <cell r="CQ66">
            <v>1141.0772510686097</v>
          </cell>
          <cell r="CR66">
            <v>762.755690649592</v>
          </cell>
          <cell r="CS66">
            <v>1085.0477440885795</v>
          </cell>
          <cell r="CT66">
            <v>932.93256279506875</v>
          </cell>
          <cell r="CU66">
            <v>1543.5199256908281</v>
          </cell>
          <cell r="CV66">
            <v>1543.5199256908286</v>
          </cell>
          <cell r="CW66">
            <v>1467.7295614807629</v>
          </cell>
          <cell r="CX66">
            <v>1085.0477440885795</v>
          </cell>
          <cell r="CY66">
            <v>1795.1917213704276</v>
          </cell>
        </row>
        <row r="67">
          <cell r="D67">
            <v>1230.5927311380608</v>
          </cell>
          <cell r="E67">
            <v>1360.9643312111427</v>
          </cell>
          <cell r="F67">
            <v>1294.1378648840334</v>
          </cell>
          <cell r="G67">
            <v>1360.9643312111427</v>
          </cell>
          <cell r="H67">
            <v>1170.167809026693</v>
          </cell>
          <cell r="I67">
            <v>1058.0732844912409</v>
          </cell>
          <cell r="J67">
            <v>1170.167809026693</v>
          </cell>
          <cell r="K67">
            <v>909.73971081296975</v>
          </cell>
          <cell r="L67">
            <v>1505.1477746955679</v>
          </cell>
          <cell r="M67">
            <v>1360.964331211143</v>
          </cell>
          <cell r="N67">
            <v>1112.7098890109644</v>
          </cell>
          <cell r="O67">
            <v>1505.1477746955675</v>
          </cell>
          <cell r="P67">
            <v>1505.1477746955675</v>
          </cell>
          <cell r="Q67">
            <v>956.7166920146791</v>
          </cell>
          <cell r="R67">
            <v>1505.1477746955675</v>
          </cell>
          <cell r="S67">
            <v>1505.1477746955679</v>
          </cell>
          <cell r="T67">
            <v>1006.1194624136666</v>
          </cell>
          <cell r="U67">
            <v>956.71669201467887</v>
          </cell>
          <cell r="V67">
            <v>1360.964331211143</v>
          </cell>
          <cell r="W67">
            <v>1840.9582360980601</v>
          </cell>
          <cell r="X67">
            <v>1582.8703341015782</v>
          </cell>
          <cell r="Y67">
            <v>1112.7098890109644</v>
          </cell>
          <cell r="Z67">
            <v>1112.7098890109644</v>
          </cell>
          <cell r="AA67">
            <v>1170.167809026693</v>
          </cell>
          <cell r="AB67">
            <v>1058.0732844912407</v>
          </cell>
          <cell r="AC67">
            <v>1006.1194624136671</v>
          </cell>
          <cell r="AD67">
            <v>1294.1378648840334</v>
          </cell>
          <cell r="AE67">
            <v>1170.167809026693</v>
          </cell>
          <cell r="AF67">
            <v>1170.167809026693</v>
          </cell>
          <cell r="AG67">
            <v>1170.167809026693</v>
          </cell>
          <cell r="AH67">
            <v>1058.0732844912411</v>
          </cell>
          <cell r="AI67">
            <v>1360.9643312111427</v>
          </cell>
          <cell r="AJ67">
            <v>956.71669201467876</v>
          </cell>
          <cell r="AK67">
            <v>1360.9643312111427</v>
          </cell>
          <cell r="AL67">
            <v>1431.2415710013786</v>
          </cell>
          <cell r="AM67">
            <v>1360.9643312111432</v>
          </cell>
          <cell r="AN67">
            <v>1360.9643312111432</v>
          </cell>
          <cell r="AO67">
            <v>1170.167809026693</v>
          </cell>
          <cell r="AP67">
            <v>1230.5927311380606</v>
          </cell>
          <cell r="AQ67">
            <v>1294.1378648840339</v>
          </cell>
          <cell r="AR67">
            <v>1750.5629694824099</v>
          </cell>
          <cell r="AS67">
            <v>1170.167809026693</v>
          </cell>
          <cell r="AT67">
            <v>1360.964331211143</v>
          </cell>
          <cell r="AU67">
            <v>1170.167809026693</v>
          </cell>
          <cell r="AV67">
            <v>1230.5927311380613</v>
          </cell>
          <cell r="AW67">
            <v>1058.0732844912411</v>
          </cell>
          <cell r="AX67">
            <v>1431.2415710013781</v>
          </cell>
          <cell r="AY67">
            <v>1112.7098890109644</v>
          </cell>
          <cell r="AZ67">
            <v>1294.1378648840334</v>
          </cell>
          <cell r="BA67">
            <v>1112.7098890109644</v>
          </cell>
          <cell r="BB67">
            <v>1294.1378648840334</v>
          </cell>
          <cell r="BC67">
            <v>1582.870334101578</v>
          </cell>
          <cell r="BD67">
            <v>1360.9643312111432</v>
          </cell>
          <cell r="BE67">
            <v>1058.0732844912411</v>
          </cell>
          <cell r="BF67">
            <v>956.71669201467887</v>
          </cell>
          <cell r="BG67">
            <v>822.59251743784137</v>
          </cell>
          <cell r="BH67">
            <v>1230.5927311380608</v>
          </cell>
          <cell r="BI67">
            <v>1360.964331211143</v>
          </cell>
          <cell r="BJ67">
            <v>1582.870334101578</v>
          </cell>
          <cell r="BK67">
            <v>1058.0732844912411</v>
          </cell>
          <cell r="BL67">
            <v>1170.167809026693</v>
          </cell>
          <cell r="BM67">
            <v>1431.2415710013781</v>
          </cell>
          <cell r="BN67">
            <v>1294.1378648840339</v>
          </cell>
          <cell r="BO67">
            <v>1058.0732844912411</v>
          </cell>
          <cell r="BP67">
            <v>1006.1194624136671</v>
          </cell>
          <cell r="BQ67">
            <v>1170.167809026693</v>
          </cell>
          <cell r="BR67">
            <v>2035.9932503922382</v>
          </cell>
          <cell r="BS67">
            <v>1664.6063175329091</v>
          </cell>
          <cell r="BT67">
            <v>1360.9643312111427</v>
          </cell>
          <cell r="BU67">
            <v>1360.9643312111427</v>
          </cell>
          <cell r="BV67">
            <v>1058.0732844912411</v>
          </cell>
          <cell r="BW67">
            <v>1230.5927311380608</v>
          </cell>
          <cell r="BX67">
            <v>1112.7098890109644</v>
          </cell>
          <cell r="BY67">
            <v>1582.8703341015782</v>
          </cell>
          <cell r="BZ67">
            <v>1006.119462413667</v>
          </cell>
          <cell r="CA67">
            <v>1230.5927311380608</v>
          </cell>
          <cell r="CB67">
            <v>743.79346279172944</v>
          </cell>
          <cell r="CC67">
            <v>1360.9643312111427</v>
          </cell>
          <cell r="CD67">
            <v>1170.1678090266932</v>
          </cell>
          <cell r="CE67">
            <v>956.71669201467876</v>
          </cell>
          <cell r="CF67">
            <v>956.71669201467876</v>
          </cell>
          <cell r="CG67">
            <v>909.73971081296986</v>
          </cell>
          <cell r="CH67">
            <v>1112.7098890109644</v>
          </cell>
          <cell r="CI67">
            <v>1750.5629694824095</v>
          </cell>
          <cell r="CJ67">
            <v>1058.0732844912411</v>
          </cell>
          <cell r="CK67">
            <v>1112.7098890109644</v>
          </cell>
          <cell r="CL67">
            <v>1230.5927311380608</v>
          </cell>
          <cell r="CM67">
            <v>1360.9643312111432</v>
          </cell>
          <cell r="CN67">
            <v>909.73971081296975</v>
          </cell>
          <cell r="CO67">
            <v>1112.7098890109644</v>
          </cell>
          <cell r="CP67">
            <v>956.71669201467876</v>
          </cell>
          <cell r="CQ67">
            <v>1170.167809026693</v>
          </cell>
          <cell r="CR67">
            <v>743.79346279172944</v>
          </cell>
          <cell r="CS67">
            <v>1058.0732844912411</v>
          </cell>
          <cell r="CT67">
            <v>956.71669201467876</v>
          </cell>
          <cell r="CU67">
            <v>1582.870334101578</v>
          </cell>
          <cell r="CV67">
            <v>1582.8703341015785</v>
          </cell>
          <cell r="CW67">
            <v>1431.2415710013781</v>
          </cell>
          <cell r="CX67">
            <v>1058.0732844912411</v>
          </cell>
          <cell r="CY67">
            <v>1840.9582360980601</v>
          </cell>
        </row>
        <row r="68">
          <cell r="D68">
            <v>1261.9653916081936</v>
          </cell>
          <cell r="E68">
            <v>1395.6606777721711</v>
          </cell>
          <cell r="F68">
            <v>1327.1305413473517</v>
          </cell>
          <cell r="G68">
            <v>1327.1305413473517</v>
          </cell>
          <cell r="H68">
            <v>1141.0772510686097</v>
          </cell>
          <cell r="I68">
            <v>1085.0477440885793</v>
          </cell>
          <cell r="J68">
            <v>1199.9999999999995</v>
          </cell>
          <cell r="K68">
            <v>887.12343682215874</v>
          </cell>
          <cell r="L68">
            <v>1543.5199256908286</v>
          </cell>
          <cell r="M68">
            <v>1395.6606777721713</v>
          </cell>
          <cell r="N68">
            <v>1085.0477440885795</v>
          </cell>
          <cell r="O68">
            <v>1467.7295614807629</v>
          </cell>
          <cell r="P68">
            <v>1467.7295614807629</v>
          </cell>
          <cell r="Q68">
            <v>981.10717245976286</v>
          </cell>
          <cell r="R68">
            <v>1467.7295614807629</v>
          </cell>
          <cell r="S68">
            <v>1543.5199256908286</v>
          </cell>
          <cell r="T68">
            <v>981.10717245976241</v>
          </cell>
          <cell r="U68">
            <v>932.93256279506875</v>
          </cell>
          <cell r="V68">
            <v>1395.6606777721713</v>
          </cell>
          <cell r="W68">
            <v>1795.1917213704276</v>
          </cell>
          <cell r="X68">
            <v>1543.5199256908284</v>
          </cell>
          <cell r="Y68">
            <v>1085.0477440885795</v>
          </cell>
          <cell r="Z68">
            <v>1141.0772510686097</v>
          </cell>
          <cell r="AA68">
            <v>1141.0772510686097</v>
          </cell>
          <cell r="AB68">
            <v>1031.7694142523269</v>
          </cell>
          <cell r="AC68">
            <v>981.10717245976275</v>
          </cell>
          <cell r="AD68">
            <v>1327.1305413473517</v>
          </cell>
          <cell r="AE68">
            <v>1199.9999999999995</v>
          </cell>
          <cell r="AF68">
            <v>1141.0772510686097</v>
          </cell>
          <cell r="AG68">
            <v>1199.9999999999995</v>
          </cell>
          <cell r="AH68">
            <v>1085.0477440885795</v>
          </cell>
          <cell r="AI68">
            <v>1395.6606777721711</v>
          </cell>
          <cell r="AJ68">
            <v>981.10717245976252</v>
          </cell>
          <cell r="AK68">
            <v>1395.6606777721711</v>
          </cell>
          <cell r="AL68">
            <v>1395.6606777721715</v>
          </cell>
          <cell r="AM68">
            <v>1395.6606777721715</v>
          </cell>
          <cell r="AN68">
            <v>1327.1305413473522</v>
          </cell>
          <cell r="AO68">
            <v>1199.9999999999995</v>
          </cell>
          <cell r="AP68">
            <v>1199.9999999999993</v>
          </cell>
          <cell r="AQ68">
            <v>1327.1305413473522</v>
          </cell>
          <cell r="AR68">
            <v>1795.191721370428</v>
          </cell>
          <cell r="AS68">
            <v>1199.9999999999995</v>
          </cell>
          <cell r="AT68">
            <v>1327.1305413473519</v>
          </cell>
          <cell r="AU68">
            <v>1199.9999999999995</v>
          </cell>
          <cell r="AV68">
            <v>1200</v>
          </cell>
          <cell r="AW68">
            <v>1031.7694142523274</v>
          </cell>
          <cell r="AX68">
            <v>1395.6606777721711</v>
          </cell>
          <cell r="AY68">
            <v>1141.0772510686097</v>
          </cell>
          <cell r="AZ68">
            <v>1261.9653916081936</v>
          </cell>
          <cell r="BA68">
            <v>1141.0772510686097</v>
          </cell>
          <cell r="BB68">
            <v>1261.9653916081936</v>
          </cell>
          <cell r="BC68">
            <v>1623.2239395662305</v>
          </cell>
          <cell r="BD68">
            <v>1327.1305413473522</v>
          </cell>
          <cell r="BE68">
            <v>1031.7694142523274</v>
          </cell>
          <cell r="BF68">
            <v>932.93256279506875</v>
          </cell>
          <cell r="BG68">
            <v>843.56364387297208</v>
          </cell>
          <cell r="BH68">
            <v>1199.9999999999995</v>
          </cell>
          <cell r="BI68">
            <v>1395.6606777721713</v>
          </cell>
          <cell r="BJ68">
            <v>1623.2239395662305</v>
          </cell>
          <cell r="BK68">
            <v>1031.7694142523274</v>
          </cell>
          <cell r="BL68">
            <v>1141.0772510686097</v>
          </cell>
          <cell r="BM68">
            <v>1467.7295614807629</v>
          </cell>
          <cell r="BN68">
            <v>1261.9653916081941</v>
          </cell>
          <cell r="BO68">
            <v>1085.0477440885795</v>
          </cell>
          <cell r="BP68">
            <v>981.10717245976275</v>
          </cell>
          <cell r="BQ68">
            <v>1141.0772510686097</v>
          </cell>
          <cell r="BR68">
            <v>2087.8987454823691</v>
          </cell>
          <cell r="BS68">
            <v>1707.0436954687445</v>
          </cell>
          <cell r="BT68">
            <v>1395.6606777721711</v>
          </cell>
          <cell r="BU68">
            <v>1395.6606777721711</v>
          </cell>
          <cell r="BV68">
            <v>1031.7694142523274</v>
          </cell>
          <cell r="BW68">
            <v>1199.9999999999995</v>
          </cell>
          <cell r="BX68">
            <v>1141.0772510686097</v>
          </cell>
          <cell r="BY68">
            <v>1543.5199256908284</v>
          </cell>
          <cell r="BZ68">
            <v>981.10717245976264</v>
          </cell>
          <cell r="CA68">
            <v>1261.9653916081936</v>
          </cell>
          <cell r="CB68">
            <v>762.755690649592</v>
          </cell>
          <cell r="CC68">
            <v>1327.1305413473517</v>
          </cell>
          <cell r="CD68">
            <v>1199.9999999999998</v>
          </cell>
          <cell r="CE68">
            <v>981.10717245976252</v>
          </cell>
          <cell r="CF68">
            <v>981.10717245976252</v>
          </cell>
          <cell r="CG68">
            <v>887.12343682215885</v>
          </cell>
          <cell r="CH68">
            <v>1085.0477440885795</v>
          </cell>
          <cell r="CI68">
            <v>1707.0436954687445</v>
          </cell>
          <cell r="CJ68">
            <v>1085.0477440885795</v>
          </cell>
          <cell r="CK68">
            <v>1085.0477440885795</v>
          </cell>
          <cell r="CL68">
            <v>1199.9999999999995</v>
          </cell>
          <cell r="CM68">
            <v>1327.1305413473522</v>
          </cell>
          <cell r="CN68">
            <v>932.93256279506875</v>
          </cell>
          <cell r="CO68">
            <v>1085.0477440885795</v>
          </cell>
          <cell r="CP68">
            <v>932.93256279506875</v>
          </cell>
          <cell r="CQ68">
            <v>1199.9999999999995</v>
          </cell>
          <cell r="CR68">
            <v>725.3026389361462</v>
          </cell>
          <cell r="CS68">
            <v>1085.0477440885795</v>
          </cell>
          <cell r="CT68">
            <v>932.93256279506875</v>
          </cell>
          <cell r="CU68">
            <v>1543.5199256908281</v>
          </cell>
          <cell r="CV68">
            <v>1623.2239395662309</v>
          </cell>
          <cell r="CW68">
            <v>1395.6606777721711</v>
          </cell>
          <cell r="CX68">
            <v>1085.0477440885795</v>
          </cell>
          <cell r="CY68">
            <v>1887.8915197258498</v>
          </cell>
        </row>
        <row r="69">
          <cell r="D69">
            <v>1294.1378648840334</v>
          </cell>
          <cell r="E69">
            <v>1360.9643312111427</v>
          </cell>
          <cell r="F69">
            <v>1294.1378648840334</v>
          </cell>
          <cell r="G69">
            <v>1294.1378648840334</v>
          </cell>
          <cell r="H69">
            <v>1170.167809026693</v>
          </cell>
          <cell r="I69">
            <v>1112.7098890109642</v>
          </cell>
          <cell r="J69">
            <v>1230.5927311380608</v>
          </cell>
          <cell r="K69">
            <v>865.06940700201312</v>
          </cell>
          <cell r="L69">
            <v>1582.8703341015785</v>
          </cell>
          <cell r="M69">
            <v>1360.964331211143</v>
          </cell>
          <cell r="N69">
            <v>1058.0732844912411</v>
          </cell>
          <cell r="O69">
            <v>1431.2415710013781</v>
          </cell>
          <cell r="P69">
            <v>1431.2415710013781</v>
          </cell>
          <cell r="Q69">
            <v>1006.1194624136671</v>
          </cell>
          <cell r="R69">
            <v>1431.2415710013781</v>
          </cell>
          <cell r="S69">
            <v>1505.1477746955679</v>
          </cell>
          <cell r="T69">
            <v>1006.1194624136666</v>
          </cell>
          <cell r="U69">
            <v>909.73971081296975</v>
          </cell>
          <cell r="V69">
            <v>1431.2415710013784</v>
          </cell>
          <cell r="W69">
            <v>1750.5629694824095</v>
          </cell>
          <cell r="X69">
            <v>1582.8703341015782</v>
          </cell>
          <cell r="Y69">
            <v>1058.0732844912411</v>
          </cell>
          <cell r="Z69">
            <v>1170.167809026693</v>
          </cell>
          <cell r="AA69">
            <v>1170.167809026693</v>
          </cell>
          <cell r="AB69">
            <v>1058.0732844912407</v>
          </cell>
          <cell r="AC69">
            <v>1006.119462413667</v>
          </cell>
          <cell r="AD69">
            <v>1360.9643312111427</v>
          </cell>
          <cell r="AE69">
            <v>1230.5927311380608</v>
          </cell>
          <cell r="AF69">
            <v>1112.7098890109644</v>
          </cell>
          <cell r="AG69">
            <v>1230.5927311380608</v>
          </cell>
          <cell r="AH69">
            <v>1112.7098890109644</v>
          </cell>
          <cell r="AI69">
            <v>1360.9643312111427</v>
          </cell>
          <cell r="AJ69">
            <v>1006.1194624136667</v>
          </cell>
          <cell r="AK69">
            <v>1360.9643312111427</v>
          </cell>
          <cell r="AL69">
            <v>1360.9643312111432</v>
          </cell>
          <cell r="AM69">
            <v>1360.9643312111432</v>
          </cell>
          <cell r="AN69">
            <v>1294.1378648840339</v>
          </cell>
          <cell r="AO69">
            <v>1170.167809026693</v>
          </cell>
          <cell r="AP69">
            <v>1230.5927311380606</v>
          </cell>
          <cell r="AQ69">
            <v>1294.1378648840339</v>
          </cell>
          <cell r="AR69">
            <v>1840.9582360980605</v>
          </cell>
          <cell r="AS69">
            <v>1170.167809026693</v>
          </cell>
          <cell r="AT69">
            <v>1360.964331211143</v>
          </cell>
          <cell r="AU69">
            <v>1230.5927311380608</v>
          </cell>
          <cell r="AV69">
            <v>1230.5927311380613</v>
          </cell>
          <cell r="AW69">
            <v>1006.1194624136672</v>
          </cell>
          <cell r="AX69">
            <v>1431.2415710013781</v>
          </cell>
          <cell r="AY69">
            <v>1170.167809026693</v>
          </cell>
          <cell r="AZ69">
            <v>1294.1378648840334</v>
          </cell>
          <cell r="BA69">
            <v>1112.7098890109644</v>
          </cell>
          <cell r="BB69">
            <v>1230.5927311380608</v>
          </cell>
          <cell r="BC69">
            <v>1582.870334101578</v>
          </cell>
          <cell r="BD69">
            <v>1294.1378648840339</v>
          </cell>
          <cell r="BE69">
            <v>1006.1194624136672</v>
          </cell>
          <cell r="BF69">
            <v>956.71669201467876</v>
          </cell>
          <cell r="BG69">
            <v>865.06940700201301</v>
          </cell>
          <cell r="BH69">
            <v>1230.5927311380608</v>
          </cell>
          <cell r="BI69">
            <v>1360.964331211143</v>
          </cell>
          <cell r="BJ69">
            <v>1582.870334101578</v>
          </cell>
          <cell r="BK69">
            <v>1006.1194624136672</v>
          </cell>
          <cell r="BL69">
            <v>1112.7098890109644</v>
          </cell>
          <cell r="BM69">
            <v>1431.2415710013781</v>
          </cell>
          <cell r="BN69">
            <v>1230.5927311380613</v>
          </cell>
          <cell r="BO69">
            <v>1058.0732844912411</v>
          </cell>
          <cell r="BP69">
            <v>1006.119462413667</v>
          </cell>
          <cell r="BQ69">
            <v>1112.7098890109644</v>
          </cell>
          <cell r="BR69">
            <v>2141.1275162857337</v>
          </cell>
          <cell r="BS69">
            <v>1750.5629694824095</v>
          </cell>
          <cell r="BT69">
            <v>1360.9643312111427</v>
          </cell>
          <cell r="BU69">
            <v>1360.9643312111427</v>
          </cell>
          <cell r="BV69">
            <v>1058.0732844912411</v>
          </cell>
          <cell r="BW69">
            <v>1170.167809026693</v>
          </cell>
          <cell r="BX69">
            <v>1112.7098890109644</v>
          </cell>
          <cell r="BY69">
            <v>1582.8703341015782</v>
          </cell>
          <cell r="BZ69">
            <v>956.71669201467887</v>
          </cell>
          <cell r="CA69">
            <v>1294.1378648840334</v>
          </cell>
          <cell r="CB69">
            <v>743.79346279172944</v>
          </cell>
          <cell r="CC69">
            <v>1360.9643312111427</v>
          </cell>
          <cell r="CD69">
            <v>1230.592731138061</v>
          </cell>
          <cell r="CE69">
            <v>1006.1194624136667</v>
          </cell>
          <cell r="CF69">
            <v>1006.1194624136667</v>
          </cell>
          <cell r="CG69">
            <v>909.73971081296986</v>
          </cell>
          <cell r="CH69">
            <v>1112.7098890109644</v>
          </cell>
          <cell r="CI69">
            <v>1664.6063175329091</v>
          </cell>
          <cell r="CJ69">
            <v>1058.0732844912411</v>
          </cell>
          <cell r="CK69">
            <v>1058.0732844912411</v>
          </cell>
          <cell r="CL69">
            <v>1230.5927311380608</v>
          </cell>
          <cell r="CM69">
            <v>1294.1378648840339</v>
          </cell>
          <cell r="CN69">
            <v>956.71669201467876</v>
          </cell>
          <cell r="CO69">
            <v>1058.0732844912411</v>
          </cell>
          <cell r="CP69">
            <v>956.71669201467876</v>
          </cell>
          <cell r="CQ69">
            <v>1170.167809026693</v>
          </cell>
          <cell r="CR69">
            <v>743.79346279172944</v>
          </cell>
          <cell r="CS69">
            <v>1058.0732844912411</v>
          </cell>
          <cell r="CT69">
            <v>909.73971081296975</v>
          </cell>
          <cell r="CU69">
            <v>1582.870334101578</v>
          </cell>
          <cell r="CV69">
            <v>1664.6063175329095</v>
          </cell>
          <cell r="CW69">
            <v>1360.9643312111427</v>
          </cell>
          <cell r="CX69">
            <v>1112.7098890109644</v>
          </cell>
          <cell r="CY69">
            <v>1936.0213177931823</v>
          </cell>
        </row>
        <row r="70">
          <cell r="D70">
            <v>1327.1305413473517</v>
          </cell>
          <cell r="E70">
            <v>1327.1305413473517</v>
          </cell>
          <cell r="F70">
            <v>1261.9653916081936</v>
          </cell>
          <cell r="G70">
            <v>1327.1305413473517</v>
          </cell>
          <cell r="H70">
            <v>1199.9999999999995</v>
          </cell>
          <cell r="I70">
            <v>1085.0477440885793</v>
          </cell>
          <cell r="J70">
            <v>1199.9999999999995</v>
          </cell>
          <cell r="K70">
            <v>843.56364387297219</v>
          </cell>
          <cell r="L70">
            <v>1623.2239395662309</v>
          </cell>
          <cell r="M70">
            <v>1395.6606777721713</v>
          </cell>
          <cell r="N70">
            <v>1085.0477440885795</v>
          </cell>
          <cell r="O70">
            <v>1395.6606777721711</v>
          </cell>
          <cell r="P70">
            <v>1467.7295614807629</v>
          </cell>
          <cell r="Q70">
            <v>981.10717245976275</v>
          </cell>
          <cell r="R70">
            <v>1467.7295614807629</v>
          </cell>
          <cell r="S70">
            <v>1467.7295614807631</v>
          </cell>
          <cell r="T70">
            <v>1031.7694142523267</v>
          </cell>
          <cell r="U70">
            <v>887.12343682215874</v>
          </cell>
          <cell r="V70">
            <v>1395.6606777721713</v>
          </cell>
          <cell r="W70">
            <v>1707.0436954687445</v>
          </cell>
          <cell r="X70">
            <v>1543.5199256908284</v>
          </cell>
          <cell r="Y70">
            <v>1031.7694142523274</v>
          </cell>
          <cell r="Z70">
            <v>1141.0772510686097</v>
          </cell>
          <cell r="AA70">
            <v>1199.9999999999995</v>
          </cell>
          <cell r="AB70">
            <v>1085.0477440885791</v>
          </cell>
          <cell r="AC70">
            <v>981.10717245976264</v>
          </cell>
          <cell r="AD70">
            <v>1395.6606777721711</v>
          </cell>
          <cell r="AE70">
            <v>1261.9653916081936</v>
          </cell>
          <cell r="AF70">
            <v>1141.0772510686097</v>
          </cell>
          <cell r="AG70">
            <v>1199.9999999999995</v>
          </cell>
          <cell r="AH70">
            <v>1141.0772510686097</v>
          </cell>
          <cell r="AI70">
            <v>1327.1305413473517</v>
          </cell>
          <cell r="AJ70">
            <v>981.10717245976252</v>
          </cell>
          <cell r="AK70">
            <v>1395.6606777721711</v>
          </cell>
          <cell r="AL70">
            <v>1327.1305413473522</v>
          </cell>
          <cell r="AM70">
            <v>1327.1305413473522</v>
          </cell>
          <cell r="AN70">
            <v>1261.9653916081941</v>
          </cell>
          <cell r="AO70">
            <v>1199.9999999999995</v>
          </cell>
          <cell r="AP70">
            <v>1199.9999999999993</v>
          </cell>
          <cell r="AQ70">
            <v>1327.1305413473522</v>
          </cell>
          <cell r="AR70">
            <v>1887.8915197258502</v>
          </cell>
          <cell r="AS70">
            <v>1141.0772510686097</v>
          </cell>
          <cell r="AT70">
            <v>1395.6606777721713</v>
          </cell>
          <cell r="AU70">
            <v>1261.9653916081936</v>
          </cell>
          <cell r="AV70">
            <v>1261.9653916081941</v>
          </cell>
          <cell r="AW70">
            <v>1031.7694142523274</v>
          </cell>
          <cell r="AX70">
            <v>1467.7295614807629</v>
          </cell>
          <cell r="AY70">
            <v>1141.0772510686097</v>
          </cell>
          <cell r="AZ70">
            <v>1261.9653916081936</v>
          </cell>
          <cell r="BA70">
            <v>1085.0477440885795</v>
          </cell>
          <cell r="BB70">
            <v>1199.9999999999995</v>
          </cell>
          <cell r="BC70">
            <v>1543.5199256908281</v>
          </cell>
          <cell r="BD70">
            <v>1261.9653916081941</v>
          </cell>
          <cell r="BE70">
            <v>981.10717245976286</v>
          </cell>
          <cell r="BF70">
            <v>981.10717245976252</v>
          </cell>
          <cell r="BG70">
            <v>843.56364387297208</v>
          </cell>
          <cell r="BH70">
            <v>1199.9999999999995</v>
          </cell>
          <cell r="BI70">
            <v>1327.1305413473519</v>
          </cell>
          <cell r="BJ70">
            <v>1543.5199256908281</v>
          </cell>
          <cell r="BK70">
            <v>981.10717245976286</v>
          </cell>
          <cell r="BL70">
            <v>1085.0477440885795</v>
          </cell>
          <cell r="BM70">
            <v>1467.7295614807629</v>
          </cell>
          <cell r="BN70">
            <v>1200</v>
          </cell>
          <cell r="BO70">
            <v>1085.0477440885795</v>
          </cell>
          <cell r="BP70">
            <v>981.10717245976264</v>
          </cell>
          <cell r="BQ70">
            <v>1085.0477440885795</v>
          </cell>
          <cell r="BR70">
            <v>2087.8987454823691</v>
          </cell>
          <cell r="BS70">
            <v>1707.0436954687445</v>
          </cell>
          <cell r="BT70">
            <v>1327.1305413473517</v>
          </cell>
          <cell r="BU70">
            <v>1327.1305413473517</v>
          </cell>
          <cell r="BV70">
            <v>1085.0477440885795</v>
          </cell>
          <cell r="BW70">
            <v>1199.9999999999995</v>
          </cell>
          <cell r="BX70">
            <v>1141.0772510686097</v>
          </cell>
          <cell r="BY70">
            <v>1543.5199256908284</v>
          </cell>
          <cell r="BZ70">
            <v>932.93256279506875</v>
          </cell>
          <cell r="CA70">
            <v>1327.1305413473517</v>
          </cell>
          <cell r="CB70">
            <v>725.3026389361462</v>
          </cell>
          <cell r="CC70">
            <v>1327.1305413473517</v>
          </cell>
          <cell r="CD70">
            <v>1261.9653916081938</v>
          </cell>
          <cell r="CE70">
            <v>1031.7694142523269</v>
          </cell>
          <cell r="CF70">
            <v>981.10717245976252</v>
          </cell>
          <cell r="CG70">
            <v>932.93256279506886</v>
          </cell>
          <cell r="CH70">
            <v>1085.0477440885795</v>
          </cell>
          <cell r="CI70">
            <v>1623.2239395662305</v>
          </cell>
          <cell r="CJ70">
            <v>1031.7694142523274</v>
          </cell>
          <cell r="CK70">
            <v>1085.0477440885795</v>
          </cell>
          <cell r="CL70">
            <v>1199.9999999999995</v>
          </cell>
          <cell r="CM70">
            <v>1261.9653916081941</v>
          </cell>
          <cell r="CN70">
            <v>981.10717245976252</v>
          </cell>
          <cell r="CO70">
            <v>1085.0477440885795</v>
          </cell>
          <cell r="CP70">
            <v>981.10717245976252</v>
          </cell>
          <cell r="CQ70">
            <v>1141.0772510686097</v>
          </cell>
          <cell r="CR70">
            <v>725.3026389361462</v>
          </cell>
          <cell r="CS70">
            <v>1085.0477440885795</v>
          </cell>
          <cell r="CT70">
            <v>932.93256279506875</v>
          </cell>
          <cell r="CU70">
            <v>1543.5199256908281</v>
          </cell>
          <cell r="CV70">
            <v>1707.043695468745</v>
          </cell>
          <cell r="CW70">
            <v>1327.1305413473517</v>
          </cell>
          <cell r="CX70">
            <v>1141.0772510686097</v>
          </cell>
          <cell r="CY70">
            <v>1887.8915197258498</v>
          </cell>
        </row>
        <row r="71">
          <cell r="D71">
            <v>1294.1378648840334</v>
          </cell>
          <cell r="E71">
            <v>1360.9643312111427</v>
          </cell>
          <cell r="F71">
            <v>1230.5927311380608</v>
          </cell>
          <cell r="G71">
            <v>1360.9643312111427</v>
          </cell>
          <cell r="H71">
            <v>1230.5927311380608</v>
          </cell>
          <cell r="I71">
            <v>1112.7098890109642</v>
          </cell>
          <cell r="J71">
            <v>1170.167809026693</v>
          </cell>
          <cell r="K71">
            <v>822.59251743784137</v>
          </cell>
          <cell r="L71">
            <v>1664.6063175329095</v>
          </cell>
          <cell r="M71">
            <v>1431.2415710013784</v>
          </cell>
          <cell r="N71">
            <v>1112.7098890109644</v>
          </cell>
          <cell r="O71">
            <v>1431.2415710013781</v>
          </cell>
          <cell r="P71">
            <v>1431.2415710013781</v>
          </cell>
          <cell r="Q71">
            <v>1006.119462413667</v>
          </cell>
          <cell r="R71">
            <v>1431.2415710013781</v>
          </cell>
          <cell r="S71">
            <v>1505.1477746955677</v>
          </cell>
          <cell r="T71">
            <v>1006.1194624136666</v>
          </cell>
          <cell r="U71">
            <v>865.06940700201312</v>
          </cell>
          <cell r="V71">
            <v>1360.964331211143</v>
          </cell>
          <cell r="W71">
            <v>1664.6063175329091</v>
          </cell>
          <cell r="X71">
            <v>1582.8703341015782</v>
          </cell>
          <cell r="Y71">
            <v>1006.1194624136672</v>
          </cell>
          <cell r="Z71">
            <v>1112.7098890109644</v>
          </cell>
          <cell r="AA71">
            <v>1170.167809026693</v>
          </cell>
          <cell r="AB71">
            <v>1112.7098890109639</v>
          </cell>
          <cell r="AC71">
            <v>956.71669201467887</v>
          </cell>
          <cell r="AD71">
            <v>1360.9643312111427</v>
          </cell>
          <cell r="AE71">
            <v>1230.5927311380608</v>
          </cell>
          <cell r="AF71">
            <v>1170.167809026693</v>
          </cell>
          <cell r="AG71">
            <v>1170.167809026693</v>
          </cell>
          <cell r="AH71">
            <v>1170.167809026693</v>
          </cell>
          <cell r="AI71">
            <v>1294.1378648840334</v>
          </cell>
          <cell r="AJ71">
            <v>956.71669201467876</v>
          </cell>
          <cell r="AK71">
            <v>1360.9643312111427</v>
          </cell>
          <cell r="AL71">
            <v>1360.9643312111432</v>
          </cell>
          <cell r="AM71">
            <v>1360.9643312111432</v>
          </cell>
          <cell r="AN71">
            <v>1230.5927311380613</v>
          </cell>
          <cell r="AO71">
            <v>1230.5927311380608</v>
          </cell>
          <cell r="AP71">
            <v>1230.5927311380606</v>
          </cell>
          <cell r="AQ71">
            <v>1360.9643312111432</v>
          </cell>
          <cell r="AR71">
            <v>1936.0213177931828</v>
          </cell>
          <cell r="AS71">
            <v>1170.167809026693</v>
          </cell>
          <cell r="AT71">
            <v>1431.2415710013784</v>
          </cell>
          <cell r="AU71">
            <v>1230.5927311380608</v>
          </cell>
          <cell r="AV71">
            <v>1294.1378648840339</v>
          </cell>
          <cell r="AW71">
            <v>1058.0732844912411</v>
          </cell>
          <cell r="AX71">
            <v>1505.1477746955675</v>
          </cell>
          <cell r="AY71">
            <v>1112.7098890109644</v>
          </cell>
          <cell r="AZ71">
            <v>1294.1378648840334</v>
          </cell>
          <cell r="BA71">
            <v>1112.7098890109644</v>
          </cell>
          <cell r="BB71">
            <v>1230.5927311380608</v>
          </cell>
          <cell r="BC71">
            <v>1582.870334101578</v>
          </cell>
          <cell r="BD71">
            <v>1294.1378648840339</v>
          </cell>
          <cell r="BE71">
            <v>956.7166920146791</v>
          </cell>
          <cell r="BF71">
            <v>956.71669201467876</v>
          </cell>
          <cell r="BG71">
            <v>865.06940700201301</v>
          </cell>
          <cell r="BH71">
            <v>1170.167809026693</v>
          </cell>
          <cell r="BI71">
            <v>1294.1378648840337</v>
          </cell>
          <cell r="BJ71">
            <v>1582.870334101578</v>
          </cell>
          <cell r="BK71">
            <v>956.7166920146791</v>
          </cell>
          <cell r="BL71">
            <v>1058.0732844912411</v>
          </cell>
          <cell r="BM71">
            <v>1431.2415710013781</v>
          </cell>
          <cell r="BN71">
            <v>1230.5927311380613</v>
          </cell>
          <cell r="BO71">
            <v>1058.0732844912411</v>
          </cell>
          <cell r="BP71">
            <v>1006.1194624136668</v>
          </cell>
          <cell r="BQ71">
            <v>1112.7098890109644</v>
          </cell>
          <cell r="BR71">
            <v>2141.1275162857337</v>
          </cell>
          <cell r="BS71">
            <v>1664.6063175329091</v>
          </cell>
          <cell r="BT71">
            <v>1294.1378648840334</v>
          </cell>
          <cell r="BU71">
            <v>1360.9643312111427</v>
          </cell>
          <cell r="BV71">
            <v>1058.0732844912411</v>
          </cell>
          <cell r="BW71">
            <v>1230.5927311380608</v>
          </cell>
          <cell r="BX71">
            <v>1112.7098890109644</v>
          </cell>
          <cell r="BY71">
            <v>1505.1477746955677</v>
          </cell>
          <cell r="BZ71">
            <v>909.73971081296975</v>
          </cell>
          <cell r="CA71">
            <v>1360.9643312111427</v>
          </cell>
          <cell r="CB71">
            <v>743.79346279172944</v>
          </cell>
          <cell r="CC71">
            <v>1360.9643312111427</v>
          </cell>
          <cell r="CD71">
            <v>1294.1378648840337</v>
          </cell>
          <cell r="CE71">
            <v>1058.0732844912407</v>
          </cell>
          <cell r="CF71">
            <v>956.71669201467876</v>
          </cell>
          <cell r="CG71">
            <v>909.73971081296975</v>
          </cell>
          <cell r="CH71">
            <v>1058.0732844912411</v>
          </cell>
          <cell r="CI71">
            <v>1664.6063175329091</v>
          </cell>
          <cell r="CJ71">
            <v>1006.1194624136672</v>
          </cell>
          <cell r="CK71">
            <v>1112.7098890109644</v>
          </cell>
          <cell r="CL71">
            <v>1230.5927311380608</v>
          </cell>
          <cell r="CM71">
            <v>1294.1378648840339</v>
          </cell>
          <cell r="CN71">
            <v>956.71669201467876</v>
          </cell>
          <cell r="CO71">
            <v>1112.7098890109644</v>
          </cell>
          <cell r="CP71">
            <v>1006.1194624136667</v>
          </cell>
          <cell r="CQ71">
            <v>1170.167809026693</v>
          </cell>
          <cell r="CR71">
            <v>707.27149990432417</v>
          </cell>
          <cell r="CS71">
            <v>1058.0732844912411</v>
          </cell>
          <cell r="CT71">
            <v>956.71669201467876</v>
          </cell>
          <cell r="CU71">
            <v>1505.1477746955675</v>
          </cell>
          <cell r="CV71">
            <v>1750.5629694824099</v>
          </cell>
          <cell r="CW71">
            <v>1294.1378648840334</v>
          </cell>
          <cell r="CX71">
            <v>1170.167809026693</v>
          </cell>
          <cell r="CY71">
            <v>1936.0213177931823</v>
          </cell>
        </row>
        <row r="72">
          <cell r="D72">
            <v>1327.1305413473517</v>
          </cell>
          <cell r="E72">
            <v>1327.1305413473517</v>
          </cell>
          <cell r="F72">
            <v>1199.9999999999995</v>
          </cell>
          <cell r="G72">
            <v>1327.1305413473517</v>
          </cell>
          <cell r="H72">
            <v>1261.9653916081936</v>
          </cell>
          <cell r="I72">
            <v>1085.0477440885793</v>
          </cell>
          <cell r="J72">
            <v>1199.9999999999995</v>
          </cell>
          <cell r="K72">
            <v>802.14273654332578</v>
          </cell>
          <cell r="L72">
            <v>1707.043695468745</v>
          </cell>
          <cell r="M72">
            <v>1395.6606777721713</v>
          </cell>
          <cell r="N72">
            <v>1141.0772510686097</v>
          </cell>
          <cell r="O72">
            <v>1467.7295614807629</v>
          </cell>
          <cell r="P72">
            <v>1467.7295614807629</v>
          </cell>
          <cell r="Q72">
            <v>1031.7694142523271</v>
          </cell>
          <cell r="R72">
            <v>1467.7295614807629</v>
          </cell>
          <cell r="S72">
            <v>1467.7295614807629</v>
          </cell>
          <cell r="T72">
            <v>981.10717245976241</v>
          </cell>
          <cell r="U72">
            <v>843.56364387297219</v>
          </cell>
          <cell r="V72">
            <v>1395.6606777721713</v>
          </cell>
          <cell r="W72">
            <v>1623.2239395662305</v>
          </cell>
          <cell r="X72">
            <v>1543.5199256908284</v>
          </cell>
          <cell r="Y72">
            <v>981.10717245976286</v>
          </cell>
          <cell r="Z72">
            <v>1141.0772510686097</v>
          </cell>
          <cell r="AA72">
            <v>1141.0772510686097</v>
          </cell>
          <cell r="AB72">
            <v>1085.0477440885791</v>
          </cell>
          <cell r="AC72">
            <v>932.93256279506875</v>
          </cell>
          <cell r="AD72">
            <v>1395.6606777721711</v>
          </cell>
          <cell r="AE72">
            <v>1261.9653916081936</v>
          </cell>
          <cell r="AF72">
            <v>1199.9999999999995</v>
          </cell>
          <cell r="AG72">
            <v>1141.0772510686097</v>
          </cell>
          <cell r="AH72">
            <v>1141.0772510686097</v>
          </cell>
          <cell r="AI72">
            <v>1261.9653916081936</v>
          </cell>
          <cell r="AJ72">
            <v>981.10717245976252</v>
          </cell>
          <cell r="AK72">
            <v>1395.6606777721711</v>
          </cell>
          <cell r="AL72">
            <v>1327.1305413473522</v>
          </cell>
          <cell r="AM72">
            <v>1395.6606777721715</v>
          </cell>
          <cell r="AN72">
            <v>1200</v>
          </cell>
          <cell r="AO72">
            <v>1199.9999999999995</v>
          </cell>
          <cell r="AP72">
            <v>1261.9653916081934</v>
          </cell>
          <cell r="AQ72">
            <v>1327.1305413473522</v>
          </cell>
          <cell r="AR72">
            <v>1887.8915197258502</v>
          </cell>
          <cell r="AS72">
            <v>1141.0772510686097</v>
          </cell>
          <cell r="AT72">
            <v>1467.7295614807631</v>
          </cell>
          <cell r="AU72">
            <v>1261.9653916081936</v>
          </cell>
          <cell r="AV72">
            <v>1261.9653916081941</v>
          </cell>
          <cell r="AW72">
            <v>1031.7694142523274</v>
          </cell>
          <cell r="AX72">
            <v>1467.7295614807629</v>
          </cell>
          <cell r="AY72">
            <v>1141.0772510686097</v>
          </cell>
          <cell r="AZ72">
            <v>1327.1305413473517</v>
          </cell>
          <cell r="BA72">
            <v>1141.0772510686097</v>
          </cell>
          <cell r="BB72">
            <v>1199.9999999999995</v>
          </cell>
          <cell r="BC72">
            <v>1543.5199256908281</v>
          </cell>
          <cell r="BD72">
            <v>1327.1305413473522</v>
          </cell>
          <cell r="BE72">
            <v>932.93256279506897</v>
          </cell>
          <cell r="BF72">
            <v>932.93256279506875</v>
          </cell>
          <cell r="BG72">
            <v>887.12343682215862</v>
          </cell>
          <cell r="BH72">
            <v>1141.0772510686097</v>
          </cell>
          <cell r="BI72">
            <v>1327.1305413473519</v>
          </cell>
          <cell r="BJ72">
            <v>1543.5199256908281</v>
          </cell>
          <cell r="BK72">
            <v>932.93256279506897</v>
          </cell>
          <cell r="BL72">
            <v>1085.0477440885795</v>
          </cell>
          <cell r="BM72">
            <v>1467.7295614807629</v>
          </cell>
          <cell r="BN72">
            <v>1261.9653916081941</v>
          </cell>
          <cell r="BO72">
            <v>1031.7694142523274</v>
          </cell>
          <cell r="BP72">
            <v>981.10717245976264</v>
          </cell>
          <cell r="BQ72">
            <v>1085.0477440885795</v>
          </cell>
          <cell r="BR72">
            <v>2087.8987454823691</v>
          </cell>
          <cell r="BS72">
            <v>1623.2239395662305</v>
          </cell>
          <cell r="BT72">
            <v>1327.1305413473517</v>
          </cell>
          <cell r="BU72">
            <v>1327.1305413473517</v>
          </cell>
          <cell r="BV72">
            <v>1031.7694142523274</v>
          </cell>
          <cell r="BW72">
            <v>1261.9653916081936</v>
          </cell>
          <cell r="BX72">
            <v>1141.0772510686097</v>
          </cell>
          <cell r="BY72">
            <v>1543.5199256908284</v>
          </cell>
          <cell r="BZ72">
            <v>932.93256279506875</v>
          </cell>
          <cell r="CA72">
            <v>1395.6606777721711</v>
          </cell>
          <cell r="CB72">
            <v>725.3026389361462</v>
          </cell>
          <cell r="CC72">
            <v>1395.6606777721711</v>
          </cell>
          <cell r="CD72">
            <v>1327.1305413473519</v>
          </cell>
          <cell r="CE72">
            <v>1031.7694142523269</v>
          </cell>
          <cell r="CF72">
            <v>981.10717245976252</v>
          </cell>
          <cell r="CG72">
            <v>932.93256279506875</v>
          </cell>
          <cell r="CH72">
            <v>1031.7694142523274</v>
          </cell>
          <cell r="CI72">
            <v>1623.2239395662305</v>
          </cell>
          <cell r="CJ72">
            <v>1031.7694142523274</v>
          </cell>
          <cell r="CK72">
            <v>1141.0772510686097</v>
          </cell>
          <cell r="CL72">
            <v>1199.9999999999995</v>
          </cell>
          <cell r="CM72">
            <v>1261.9653916081941</v>
          </cell>
          <cell r="CN72">
            <v>981.10717245976252</v>
          </cell>
          <cell r="CO72">
            <v>1141.0772510686097</v>
          </cell>
          <cell r="CP72">
            <v>981.10717245976252</v>
          </cell>
          <cell r="CQ72">
            <v>1199.9999999999995</v>
          </cell>
          <cell r="CR72">
            <v>689.68861785838851</v>
          </cell>
          <cell r="CS72">
            <v>1085.0477440885795</v>
          </cell>
          <cell r="CT72">
            <v>981.10717245976252</v>
          </cell>
          <cell r="CU72">
            <v>1543.5199256908281</v>
          </cell>
          <cell r="CV72">
            <v>1707.043695468745</v>
          </cell>
          <cell r="CW72">
            <v>1261.9653916081936</v>
          </cell>
          <cell r="CX72">
            <v>1199.9999999999995</v>
          </cell>
          <cell r="CY72">
            <v>1985.3781341705173</v>
          </cell>
        </row>
        <row r="73">
          <cell r="D73">
            <v>1360.9643312111427</v>
          </cell>
          <cell r="E73">
            <v>1294.1378648840334</v>
          </cell>
          <cell r="F73">
            <v>1230.5927311380608</v>
          </cell>
          <cell r="G73">
            <v>1360.9643312111427</v>
          </cell>
          <cell r="H73">
            <v>1294.1378648840334</v>
          </cell>
          <cell r="I73">
            <v>1058.0732844912409</v>
          </cell>
          <cell r="J73">
            <v>1230.5927311380608</v>
          </cell>
          <cell r="K73">
            <v>822.59251743784137</v>
          </cell>
          <cell r="L73">
            <v>1664.6063175329095</v>
          </cell>
          <cell r="M73">
            <v>1360.964331211143</v>
          </cell>
          <cell r="N73">
            <v>1170.167809026693</v>
          </cell>
          <cell r="O73">
            <v>1505.1477746955675</v>
          </cell>
          <cell r="P73">
            <v>1505.1477746955675</v>
          </cell>
          <cell r="Q73">
            <v>1006.119462413667</v>
          </cell>
          <cell r="R73">
            <v>1505.1477746955675</v>
          </cell>
          <cell r="S73">
            <v>1505.1477746955675</v>
          </cell>
          <cell r="T73">
            <v>1006.1194624136666</v>
          </cell>
          <cell r="U73">
            <v>822.59251743784137</v>
          </cell>
          <cell r="V73">
            <v>1360.964331211143</v>
          </cell>
          <cell r="W73">
            <v>1582.870334101578</v>
          </cell>
          <cell r="X73">
            <v>1505.1477746955677</v>
          </cell>
          <cell r="Y73">
            <v>956.7166920146791</v>
          </cell>
          <cell r="Z73">
            <v>1170.167809026693</v>
          </cell>
          <cell r="AA73">
            <v>1112.7098890109644</v>
          </cell>
          <cell r="AB73">
            <v>1058.0732844912407</v>
          </cell>
          <cell r="AC73">
            <v>909.73971081296975</v>
          </cell>
          <cell r="AD73">
            <v>1431.2415710013781</v>
          </cell>
          <cell r="AE73">
            <v>1230.5927311380608</v>
          </cell>
          <cell r="AF73">
            <v>1230.5927311380608</v>
          </cell>
          <cell r="AG73">
            <v>1170.167809026693</v>
          </cell>
          <cell r="AH73">
            <v>1112.7098890109644</v>
          </cell>
          <cell r="AI73">
            <v>1294.1378648840334</v>
          </cell>
          <cell r="AJ73">
            <v>956.71669201467876</v>
          </cell>
          <cell r="AK73">
            <v>1431.2415710013781</v>
          </cell>
          <cell r="AL73">
            <v>1294.1378648840339</v>
          </cell>
          <cell r="AM73">
            <v>1431.2415710013786</v>
          </cell>
          <cell r="AN73">
            <v>1230.5927311380613</v>
          </cell>
          <cell r="AO73">
            <v>1230.5927311380608</v>
          </cell>
          <cell r="AP73">
            <v>1294.1378648840332</v>
          </cell>
          <cell r="AQ73">
            <v>1294.1378648840339</v>
          </cell>
          <cell r="AR73">
            <v>1936.0213177931828</v>
          </cell>
          <cell r="AS73">
            <v>1170.167809026693</v>
          </cell>
          <cell r="AT73">
            <v>1431.2415710013784</v>
          </cell>
          <cell r="AU73">
            <v>1230.5927311380608</v>
          </cell>
          <cell r="AV73">
            <v>1230.5927311380613</v>
          </cell>
          <cell r="AW73">
            <v>1006.1194624136672</v>
          </cell>
          <cell r="AX73">
            <v>1505.1477746955675</v>
          </cell>
          <cell r="AY73">
            <v>1112.7098890109644</v>
          </cell>
          <cell r="AZ73">
            <v>1294.1378648840334</v>
          </cell>
          <cell r="BA73">
            <v>1170.167809026693</v>
          </cell>
          <cell r="BB73">
            <v>1170.167809026693</v>
          </cell>
          <cell r="BC73">
            <v>1582.870334101578</v>
          </cell>
          <cell r="BD73">
            <v>1360.9643312111432</v>
          </cell>
          <cell r="BE73">
            <v>909.73971081296986</v>
          </cell>
          <cell r="BF73">
            <v>956.71669201467876</v>
          </cell>
          <cell r="BG73">
            <v>865.06940700201301</v>
          </cell>
          <cell r="BH73">
            <v>1170.167809026693</v>
          </cell>
          <cell r="BI73">
            <v>1360.964331211143</v>
          </cell>
          <cell r="BJ73">
            <v>1505.1477746955675</v>
          </cell>
          <cell r="BK73">
            <v>956.71669201467898</v>
          </cell>
          <cell r="BL73">
            <v>1058.0732844912411</v>
          </cell>
          <cell r="BM73">
            <v>1431.2415710013781</v>
          </cell>
          <cell r="BN73">
            <v>1294.1378648840339</v>
          </cell>
          <cell r="BO73">
            <v>1006.1194624136672</v>
          </cell>
          <cell r="BP73">
            <v>1006.1194624136668</v>
          </cell>
          <cell r="BQ73">
            <v>1112.7098890109644</v>
          </cell>
          <cell r="BR73">
            <v>2141.1275162857337</v>
          </cell>
          <cell r="BS73">
            <v>1582.870334101578</v>
          </cell>
          <cell r="BT73">
            <v>1294.1378648840334</v>
          </cell>
          <cell r="BU73">
            <v>1294.1378648840334</v>
          </cell>
          <cell r="BV73">
            <v>1058.0732844912411</v>
          </cell>
          <cell r="BW73">
            <v>1230.5927311380608</v>
          </cell>
          <cell r="BX73">
            <v>1170.167809026693</v>
          </cell>
          <cell r="BY73">
            <v>1582.8703341015782</v>
          </cell>
          <cell r="BZ73">
            <v>956.71669201467876</v>
          </cell>
          <cell r="CA73">
            <v>1360.9643312111427</v>
          </cell>
          <cell r="CB73">
            <v>707.27149990432417</v>
          </cell>
          <cell r="CC73">
            <v>1431.2415710013781</v>
          </cell>
          <cell r="CD73">
            <v>1294.1378648840337</v>
          </cell>
          <cell r="CE73">
            <v>1006.1194624136668</v>
          </cell>
          <cell r="CF73">
            <v>1006.1194624136667</v>
          </cell>
          <cell r="CG73">
            <v>956.71669201467876</v>
          </cell>
          <cell r="CH73">
            <v>1058.0732844912411</v>
          </cell>
          <cell r="CI73">
            <v>1664.6063175329091</v>
          </cell>
          <cell r="CJ73">
            <v>1006.1194624136672</v>
          </cell>
          <cell r="CK73">
            <v>1112.7098890109644</v>
          </cell>
          <cell r="CL73">
            <v>1230.5927311380608</v>
          </cell>
          <cell r="CM73">
            <v>1230.5927311380613</v>
          </cell>
          <cell r="CN73">
            <v>956.71669201467876</v>
          </cell>
          <cell r="CO73">
            <v>1112.7098890109644</v>
          </cell>
          <cell r="CP73">
            <v>1006.1194624136667</v>
          </cell>
          <cell r="CQ73">
            <v>1170.167809026693</v>
          </cell>
          <cell r="CR73">
            <v>707.27149990432417</v>
          </cell>
          <cell r="CS73">
            <v>1058.0732844912411</v>
          </cell>
          <cell r="CT73">
            <v>1006.1194624136667</v>
          </cell>
          <cell r="CU73">
            <v>1582.870334101578</v>
          </cell>
          <cell r="CV73">
            <v>1664.6063175329095</v>
          </cell>
          <cell r="CW73">
            <v>1294.1378648840334</v>
          </cell>
          <cell r="CX73">
            <v>1230.5927311380608</v>
          </cell>
          <cell r="CY73">
            <v>2035.9932503922378</v>
          </cell>
        </row>
        <row r="74">
          <cell r="D74">
            <v>1327.1305413473517</v>
          </cell>
          <cell r="E74">
            <v>1327.1305413473517</v>
          </cell>
          <cell r="F74">
            <v>1199.9999999999995</v>
          </cell>
          <cell r="G74">
            <v>1327.1305413473517</v>
          </cell>
          <cell r="H74">
            <v>1327.1305413473517</v>
          </cell>
          <cell r="I74">
            <v>1031.7694142523271</v>
          </cell>
          <cell r="J74">
            <v>1261.9653916081936</v>
          </cell>
          <cell r="K74">
            <v>843.56364387297208</v>
          </cell>
          <cell r="L74">
            <v>1623.2239395662309</v>
          </cell>
          <cell r="M74">
            <v>1395.6606777721713</v>
          </cell>
          <cell r="N74">
            <v>1141.0772510686097</v>
          </cell>
          <cell r="O74">
            <v>1543.5199256908281</v>
          </cell>
          <cell r="P74">
            <v>1467.7295614807629</v>
          </cell>
          <cell r="Q74">
            <v>1031.7694142523271</v>
          </cell>
          <cell r="R74">
            <v>1467.7295614807629</v>
          </cell>
          <cell r="S74">
            <v>1467.7295614807629</v>
          </cell>
          <cell r="T74">
            <v>981.10717245976241</v>
          </cell>
          <cell r="U74">
            <v>843.56364387297208</v>
          </cell>
          <cell r="V74">
            <v>1327.1305413473519</v>
          </cell>
          <cell r="W74">
            <v>1623.2239395662305</v>
          </cell>
          <cell r="X74">
            <v>1543.5199256908284</v>
          </cell>
          <cell r="Y74">
            <v>932.93256279506897</v>
          </cell>
          <cell r="Z74">
            <v>1199.9999999999995</v>
          </cell>
          <cell r="AA74">
            <v>1141.0772510686097</v>
          </cell>
          <cell r="AB74">
            <v>1031.7694142523269</v>
          </cell>
          <cell r="AC74">
            <v>887.12343682215874</v>
          </cell>
          <cell r="AD74">
            <v>1467.7295614807629</v>
          </cell>
          <cell r="AE74">
            <v>1199.9999999999995</v>
          </cell>
          <cell r="AF74">
            <v>1261.9653916081936</v>
          </cell>
          <cell r="AG74">
            <v>1199.9999999999995</v>
          </cell>
          <cell r="AH74">
            <v>1141.0772510686097</v>
          </cell>
          <cell r="AI74">
            <v>1261.9653916081936</v>
          </cell>
          <cell r="AJ74">
            <v>932.93256279506875</v>
          </cell>
          <cell r="AK74">
            <v>1467.7295614807629</v>
          </cell>
          <cell r="AL74">
            <v>1261.9653916081941</v>
          </cell>
          <cell r="AM74">
            <v>1467.7295614807633</v>
          </cell>
          <cell r="AN74">
            <v>1261.9653916081941</v>
          </cell>
          <cell r="AO74">
            <v>1261.9653916081936</v>
          </cell>
          <cell r="AP74">
            <v>1327.1305413473515</v>
          </cell>
          <cell r="AQ74">
            <v>1261.9653916081941</v>
          </cell>
          <cell r="AR74">
            <v>1887.8915197258502</v>
          </cell>
          <cell r="AS74">
            <v>1141.0772510686097</v>
          </cell>
          <cell r="AT74">
            <v>1395.6606777721713</v>
          </cell>
          <cell r="AU74">
            <v>1199.9999999999995</v>
          </cell>
          <cell r="AV74">
            <v>1261.9653916081941</v>
          </cell>
          <cell r="AW74">
            <v>981.10717245976286</v>
          </cell>
          <cell r="AX74">
            <v>1467.7295614807629</v>
          </cell>
          <cell r="AY74">
            <v>1085.0477440885795</v>
          </cell>
          <cell r="AZ74">
            <v>1261.9653916081936</v>
          </cell>
          <cell r="BA74">
            <v>1141.0772510686097</v>
          </cell>
          <cell r="BB74">
            <v>1141.0772510686097</v>
          </cell>
          <cell r="BC74">
            <v>1543.5199256908281</v>
          </cell>
          <cell r="BD74">
            <v>1395.6606777721715</v>
          </cell>
          <cell r="BE74">
            <v>887.12343682215885</v>
          </cell>
          <cell r="BF74">
            <v>932.93256279506875</v>
          </cell>
          <cell r="BG74">
            <v>843.56364387297208</v>
          </cell>
          <cell r="BH74">
            <v>1199.9999999999995</v>
          </cell>
          <cell r="BI74">
            <v>1327.1305413473519</v>
          </cell>
          <cell r="BJ74">
            <v>1467.7295614807629</v>
          </cell>
          <cell r="BK74">
            <v>932.93256279506886</v>
          </cell>
          <cell r="BL74">
            <v>1085.0477440885795</v>
          </cell>
          <cell r="BM74">
            <v>1395.6606777721711</v>
          </cell>
          <cell r="BN74">
            <v>1327.1305413473522</v>
          </cell>
          <cell r="BO74">
            <v>981.10717245976286</v>
          </cell>
          <cell r="BP74">
            <v>981.10717245976264</v>
          </cell>
          <cell r="BQ74">
            <v>1085.0477440885795</v>
          </cell>
          <cell r="BR74">
            <v>2087.8987454823691</v>
          </cell>
          <cell r="BS74">
            <v>1543.5199256908281</v>
          </cell>
          <cell r="BT74">
            <v>1327.1305413473517</v>
          </cell>
          <cell r="BU74">
            <v>1261.9653916081936</v>
          </cell>
          <cell r="BV74">
            <v>1031.7694142523274</v>
          </cell>
          <cell r="BW74">
            <v>1199.9999999999995</v>
          </cell>
          <cell r="BX74">
            <v>1199.9999999999995</v>
          </cell>
          <cell r="BY74">
            <v>1623.2239395662307</v>
          </cell>
          <cell r="BZ74">
            <v>932.93256279506875</v>
          </cell>
          <cell r="CA74">
            <v>1395.6606777721711</v>
          </cell>
          <cell r="CB74">
            <v>725.3026389361462</v>
          </cell>
          <cell r="CC74">
            <v>1467.7295614807629</v>
          </cell>
          <cell r="CD74">
            <v>1261.9653916081938</v>
          </cell>
          <cell r="CE74">
            <v>1031.7694142523269</v>
          </cell>
          <cell r="CF74">
            <v>981.10717245976252</v>
          </cell>
          <cell r="CG74">
            <v>932.93256279506875</v>
          </cell>
          <cell r="CH74">
            <v>1085.0477440885795</v>
          </cell>
          <cell r="CI74">
            <v>1623.2239395662305</v>
          </cell>
          <cell r="CJ74">
            <v>981.10717245976286</v>
          </cell>
          <cell r="CK74">
            <v>1141.0772510686097</v>
          </cell>
          <cell r="CL74">
            <v>1261.9653916081936</v>
          </cell>
          <cell r="CM74">
            <v>1200</v>
          </cell>
          <cell r="CN74">
            <v>981.10717245976252</v>
          </cell>
          <cell r="CO74">
            <v>1085.0477440885795</v>
          </cell>
          <cell r="CP74">
            <v>1031.7694142523269</v>
          </cell>
          <cell r="CQ74">
            <v>1199.9999999999995</v>
          </cell>
          <cell r="CR74">
            <v>689.68861785838851</v>
          </cell>
          <cell r="CS74">
            <v>1085.0477440885795</v>
          </cell>
          <cell r="CT74">
            <v>981.10717245976252</v>
          </cell>
          <cell r="CU74">
            <v>1543.5199256908281</v>
          </cell>
          <cell r="CV74">
            <v>1623.2239395662309</v>
          </cell>
          <cell r="CW74">
            <v>1261.9653916081936</v>
          </cell>
          <cell r="CX74">
            <v>1199.9999999999995</v>
          </cell>
          <cell r="CY74">
            <v>1985.3781341705173</v>
          </cell>
        </row>
        <row r="75">
          <cell r="D75">
            <v>1360.9643312111427</v>
          </cell>
          <cell r="E75">
            <v>1294.1378648840334</v>
          </cell>
          <cell r="F75">
            <v>1230.5927311380608</v>
          </cell>
          <cell r="G75">
            <v>1294.1378648840334</v>
          </cell>
          <cell r="H75">
            <v>1294.1378648840334</v>
          </cell>
          <cell r="I75">
            <v>1058.0732844912409</v>
          </cell>
          <cell r="J75">
            <v>1230.5927311380608</v>
          </cell>
          <cell r="K75">
            <v>822.59251743784137</v>
          </cell>
          <cell r="L75">
            <v>1664.6063175329095</v>
          </cell>
          <cell r="M75">
            <v>1431.2415710013784</v>
          </cell>
          <cell r="N75">
            <v>1170.167809026693</v>
          </cell>
          <cell r="O75">
            <v>1505.1477746955675</v>
          </cell>
          <cell r="P75">
            <v>1431.2415710013781</v>
          </cell>
          <cell r="Q75">
            <v>1058.0732844912409</v>
          </cell>
          <cell r="R75">
            <v>1505.1477746955675</v>
          </cell>
          <cell r="S75">
            <v>1431.2415710013781</v>
          </cell>
          <cell r="T75">
            <v>1006.1194624136666</v>
          </cell>
          <cell r="U75">
            <v>865.06940700201301</v>
          </cell>
          <cell r="V75">
            <v>1294.1378648840337</v>
          </cell>
          <cell r="W75">
            <v>1582.870334101578</v>
          </cell>
          <cell r="X75">
            <v>1505.1477746955677</v>
          </cell>
          <cell r="Y75">
            <v>909.73971081296986</v>
          </cell>
          <cell r="Z75">
            <v>1170.167809026693</v>
          </cell>
          <cell r="AA75">
            <v>1112.7098890109644</v>
          </cell>
          <cell r="AB75">
            <v>1058.0732844912407</v>
          </cell>
          <cell r="AC75">
            <v>865.06940700201312</v>
          </cell>
          <cell r="AD75">
            <v>1505.1477746955675</v>
          </cell>
          <cell r="AE75">
            <v>1170.167809026693</v>
          </cell>
          <cell r="AF75">
            <v>1294.1378648840334</v>
          </cell>
          <cell r="AG75">
            <v>1170.167809026693</v>
          </cell>
          <cell r="AH75">
            <v>1112.7098890109644</v>
          </cell>
          <cell r="AI75">
            <v>1294.1378648840334</v>
          </cell>
          <cell r="AJ75">
            <v>956.71669201467876</v>
          </cell>
          <cell r="AK75">
            <v>1505.1477746955675</v>
          </cell>
          <cell r="AL75">
            <v>1294.1378648840339</v>
          </cell>
          <cell r="AM75">
            <v>1505.1477746955679</v>
          </cell>
          <cell r="AN75">
            <v>1230.5927311380613</v>
          </cell>
          <cell r="AO75">
            <v>1230.5927311380608</v>
          </cell>
          <cell r="AP75">
            <v>1360.9643312111425</v>
          </cell>
          <cell r="AQ75">
            <v>1294.1378648840339</v>
          </cell>
          <cell r="AR75">
            <v>1936.0213177931828</v>
          </cell>
          <cell r="AS75">
            <v>1112.7098890109644</v>
          </cell>
          <cell r="AT75">
            <v>1360.964331211143</v>
          </cell>
          <cell r="AU75">
            <v>1230.5927311380608</v>
          </cell>
          <cell r="AV75">
            <v>1230.5927311380613</v>
          </cell>
          <cell r="AW75">
            <v>956.7166920146791</v>
          </cell>
          <cell r="AX75">
            <v>1505.1477746955675</v>
          </cell>
          <cell r="AY75">
            <v>1058.0732844912411</v>
          </cell>
          <cell r="AZ75">
            <v>1294.1378648840334</v>
          </cell>
          <cell r="BA75">
            <v>1112.7098890109644</v>
          </cell>
          <cell r="BB75">
            <v>1170.167809026693</v>
          </cell>
          <cell r="BC75">
            <v>1505.1477746955675</v>
          </cell>
          <cell r="BD75">
            <v>1431.2415710013786</v>
          </cell>
          <cell r="BE75">
            <v>909.73971081296986</v>
          </cell>
          <cell r="BF75">
            <v>909.73971081296975</v>
          </cell>
          <cell r="BG75">
            <v>822.59251743784137</v>
          </cell>
          <cell r="BH75">
            <v>1230.5927311380608</v>
          </cell>
          <cell r="BI75">
            <v>1294.1378648840337</v>
          </cell>
          <cell r="BJ75">
            <v>1505.1477746955675</v>
          </cell>
          <cell r="BK75">
            <v>956.71669201467887</v>
          </cell>
          <cell r="BL75">
            <v>1112.7098890109644</v>
          </cell>
          <cell r="BM75">
            <v>1431.2415710013781</v>
          </cell>
          <cell r="BN75">
            <v>1360.9643312111432</v>
          </cell>
          <cell r="BO75">
            <v>956.7166920146791</v>
          </cell>
          <cell r="BP75">
            <v>956.71669201467887</v>
          </cell>
          <cell r="BQ75">
            <v>1112.7098890109644</v>
          </cell>
          <cell r="BR75">
            <v>2035.993250392238</v>
          </cell>
          <cell r="BS75">
            <v>1582.870334101578</v>
          </cell>
          <cell r="BT75">
            <v>1360.9643312111427</v>
          </cell>
          <cell r="BU75">
            <v>1294.1378648840334</v>
          </cell>
          <cell r="BV75">
            <v>1058.0732844912411</v>
          </cell>
          <cell r="BW75">
            <v>1230.5927311380608</v>
          </cell>
          <cell r="BX75">
            <v>1170.167809026693</v>
          </cell>
          <cell r="BY75">
            <v>1664.6063175329093</v>
          </cell>
          <cell r="BZ75">
            <v>909.73971081296975</v>
          </cell>
          <cell r="CA75">
            <v>1360.9643312111427</v>
          </cell>
          <cell r="CB75">
            <v>743.79346279172944</v>
          </cell>
          <cell r="CC75">
            <v>1505.1477746955675</v>
          </cell>
          <cell r="CD75">
            <v>1230.592731138061</v>
          </cell>
          <cell r="CE75">
            <v>1058.0732844912407</v>
          </cell>
          <cell r="CF75">
            <v>1006.1194624136667</v>
          </cell>
          <cell r="CG75">
            <v>909.73971081296975</v>
          </cell>
          <cell r="CH75">
            <v>1058.0732844912411</v>
          </cell>
          <cell r="CI75">
            <v>1664.6063175329091</v>
          </cell>
          <cell r="CJ75">
            <v>956.7166920146791</v>
          </cell>
          <cell r="CK75">
            <v>1112.7098890109644</v>
          </cell>
          <cell r="CL75">
            <v>1294.1378648840334</v>
          </cell>
          <cell r="CM75">
            <v>1170.1678090266935</v>
          </cell>
          <cell r="CN75">
            <v>1006.1194624136667</v>
          </cell>
          <cell r="CO75">
            <v>1112.7098890109644</v>
          </cell>
          <cell r="CP75">
            <v>1006.1194624136668</v>
          </cell>
          <cell r="CQ75">
            <v>1230.5927311380608</v>
          </cell>
          <cell r="CR75">
            <v>672.54284905833242</v>
          </cell>
          <cell r="CS75">
            <v>1058.0732844912411</v>
          </cell>
          <cell r="CT75">
            <v>956.71669201467876</v>
          </cell>
          <cell r="CU75">
            <v>1505.1477746955675</v>
          </cell>
          <cell r="CV75">
            <v>1582.8703341015785</v>
          </cell>
          <cell r="CW75">
            <v>1230.5927311380608</v>
          </cell>
          <cell r="CX75">
            <v>1230.5927311380608</v>
          </cell>
          <cell r="CY75">
            <v>2035.9932503922378</v>
          </cell>
        </row>
        <row r="76">
          <cell r="D76">
            <v>1327.1305413473517</v>
          </cell>
          <cell r="E76">
            <v>1261.9653916081936</v>
          </cell>
          <cell r="F76">
            <v>1199.9999999999995</v>
          </cell>
          <cell r="G76">
            <v>1261.9653916081936</v>
          </cell>
          <cell r="H76">
            <v>1261.9653916081936</v>
          </cell>
          <cell r="I76">
            <v>1031.7694142523271</v>
          </cell>
          <cell r="J76">
            <v>1261.9653916081936</v>
          </cell>
          <cell r="K76">
            <v>843.56364387297208</v>
          </cell>
          <cell r="L76">
            <v>1707.043695468745</v>
          </cell>
          <cell r="M76">
            <v>1395.6606777721713</v>
          </cell>
          <cell r="N76">
            <v>1141.0772510686097</v>
          </cell>
          <cell r="O76">
            <v>1467.7295614807629</v>
          </cell>
          <cell r="P76">
            <v>1467.7295614807629</v>
          </cell>
          <cell r="Q76">
            <v>1031.7694142523271</v>
          </cell>
          <cell r="R76">
            <v>1467.7295614807629</v>
          </cell>
          <cell r="S76">
            <v>1467.7295614807629</v>
          </cell>
          <cell r="T76">
            <v>981.10717245976241</v>
          </cell>
          <cell r="U76">
            <v>887.12343682215862</v>
          </cell>
          <cell r="V76">
            <v>1261.9653916081938</v>
          </cell>
          <cell r="W76">
            <v>1623.2239395662305</v>
          </cell>
          <cell r="X76">
            <v>1543.5199256908284</v>
          </cell>
          <cell r="Y76">
            <v>932.93256279506886</v>
          </cell>
          <cell r="Z76">
            <v>1141.0772510686097</v>
          </cell>
          <cell r="AA76">
            <v>1085.0477440885795</v>
          </cell>
          <cell r="AB76">
            <v>1085.0477440885791</v>
          </cell>
          <cell r="AC76">
            <v>843.56364387297219</v>
          </cell>
          <cell r="AD76">
            <v>1467.7295614807629</v>
          </cell>
          <cell r="AE76">
            <v>1199.9999999999995</v>
          </cell>
          <cell r="AF76">
            <v>1261.9653916081936</v>
          </cell>
          <cell r="AG76">
            <v>1141.0772510686097</v>
          </cell>
          <cell r="AH76">
            <v>1085.0477440885795</v>
          </cell>
          <cell r="AI76">
            <v>1261.9653916081936</v>
          </cell>
          <cell r="AJ76">
            <v>932.93256279506875</v>
          </cell>
          <cell r="AK76">
            <v>1467.7295614807629</v>
          </cell>
          <cell r="AL76">
            <v>1327.1305413473522</v>
          </cell>
          <cell r="AM76">
            <v>1543.5199256908286</v>
          </cell>
          <cell r="AN76">
            <v>1200</v>
          </cell>
          <cell r="AO76">
            <v>1261.9653916081936</v>
          </cell>
          <cell r="AP76">
            <v>1395.6606777721709</v>
          </cell>
          <cell r="AQ76">
            <v>1327.1305413473522</v>
          </cell>
          <cell r="AR76">
            <v>1887.8915197258502</v>
          </cell>
          <cell r="AS76">
            <v>1141.0772510686097</v>
          </cell>
          <cell r="AT76">
            <v>1395.6606777721713</v>
          </cell>
          <cell r="AU76">
            <v>1199.9999999999995</v>
          </cell>
          <cell r="AV76">
            <v>1200</v>
          </cell>
          <cell r="AW76">
            <v>932.93256279506897</v>
          </cell>
          <cell r="AX76">
            <v>1467.7295614807629</v>
          </cell>
          <cell r="AY76">
            <v>1085.0477440885795</v>
          </cell>
          <cell r="AZ76">
            <v>1261.9653916081936</v>
          </cell>
          <cell r="BA76">
            <v>1085.0477440885795</v>
          </cell>
          <cell r="BB76">
            <v>1199.9999999999995</v>
          </cell>
          <cell r="BC76">
            <v>1467.7295614807629</v>
          </cell>
          <cell r="BD76">
            <v>1395.6606777721715</v>
          </cell>
          <cell r="BE76">
            <v>932.93256279506886</v>
          </cell>
          <cell r="BF76">
            <v>887.12343682215874</v>
          </cell>
          <cell r="BG76">
            <v>802.14273654332578</v>
          </cell>
          <cell r="BH76">
            <v>1261.9653916081936</v>
          </cell>
          <cell r="BI76">
            <v>1261.9653916081938</v>
          </cell>
          <cell r="BJ76">
            <v>1543.5199256908281</v>
          </cell>
          <cell r="BK76">
            <v>932.93256279506875</v>
          </cell>
          <cell r="BL76">
            <v>1141.0772510686097</v>
          </cell>
          <cell r="BM76">
            <v>1467.7295614807629</v>
          </cell>
          <cell r="BN76">
            <v>1327.1305413473522</v>
          </cell>
          <cell r="BO76">
            <v>981.10717245976286</v>
          </cell>
          <cell r="BP76">
            <v>932.93256279506875</v>
          </cell>
          <cell r="BQ76">
            <v>1085.0477440885795</v>
          </cell>
          <cell r="BR76">
            <v>2087.8987454823691</v>
          </cell>
          <cell r="BS76">
            <v>1623.2239395662305</v>
          </cell>
          <cell r="BT76">
            <v>1395.6606777721711</v>
          </cell>
          <cell r="BU76">
            <v>1327.1305413473517</v>
          </cell>
          <cell r="BV76">
            <v>1031.7694142523274</v>
          </cell>
          <cell r="BW76">
            <v>1199.9999999999995</v>
          </cell>
          <cell r="BX76">
            <v>1199.9999999999995</v>
          </cell>
          <cell r="BY76">
            <v>1623.2239395662307</v>
          </cell>
          <cell r="BZ76">
            <v>887.12343682215874</v>
          </cell>
          <cell r="CA76">
            <v>1327.1305413473517</v>
          </cell>
          <cell r="CB76">
            <v>762.755690649592</v>
          </cell>
          <cell r="CC76">
            <v>1467.7295614807629</v>
          </cell>
          <cell r="CD76">
            <v>1261.9653916081938</v>
          </cell>
          <cell r="CE76">
            <v>1031.7694142523269</v>
          </cell>
          <cell r="CF76">
            <v>1031.7694142523269</v>
          </cell>
          <cell r="CG76">
            <v>932.93256279506875</v>
          </cell>
          <cell r="CH76">
            <v>1085.0477440885795</v>
          </cell>
          <cell r="CI76">
            <v>1623.2239395662305</v>
          </cell>
          <cell r="CJ76">
            <v>932.93256279506897</v>
          </cell>
          <cell r="CK76">
            <v>1141.0772510686097</v>
          </cell>
          <cell r="CL76">
            <v>1261.9653916081936</v>
          </cell>
          <cell r="CM76">
            <v>1141.0772510686099</v>
          </cell>
          <cell r="CN76">
            <v>1031.7694142523269</v>
          </cell>
          <cell r="CO76">
            <v>1141.0772510686097</v>
          </cell>
          <cell r="CP76">
            <v>1031.7694142523269</v>
          </cell>
          <cell r="CQ76">
            <v>1199.9999999999995</v>
          </cell>
          <cell r="CR76">
            <v>689.68861785838851</v>
          </cell>
          <cell r="CS76">
            <v>1085.0477440885795</v>
          </cell>
          <cell r="CT76">
            <v>981.10717245976252</v>
          </cell>
          <cell r="CU76">
            <v>1467.7295614807629</v>
          </cell>
          <cell r="CV76">
            <v>1543.5199256908286</v>
          </cell>
          <cell r="CW76">
            <v>1199.9999999999995</v>
          </cell>
          <cell r="CX76">
            <v>1261.9653916081936</v>
          </cell>
          <cell r="CY76">
            <v>1985.3781341705173</v>
          </cell>
        </row>
        <row r="77">
          <cell r="D77">
            <v>1360.9643312111427</v>
          </cell>
          <cell r="E77">
            <v>1230.5927311380608</v>
          </cell>
          <cell r="F77">
            <v>1170.167809026693</v>
          </cell>
          <cell r="G77">
            <v>1230.5927311380608</v>
          </cell>
          <cell r="H77">
            <v>1230.5927311380608</v>
          </cell>
          <cell r="I77">
            <v>1058.0732844912409</v>
          </cell>
          <cell r="J77">
            <v>1230.5927311380608</v>
          </cell>
          <cell r="K77">
            <v>865.06940700201301</v>
          </cell>
          <cell r="L77">
            <v>1750.5629694824099</v>
          </cell>
          <cell r="M77">
            <v>1360.964331211143</v>
          </cell>
          <cell r="N77">
            <v>1112.7098890109644</v>
          </cell>
          <cell r="O77">
            <v>1505.1477746955675</v>
          </cell>
          <cell r="P77">
            <v>1431.2415710013781</v>
          </cell>
          <cell r="Q77">
            <v>1058.0732844912409</v>
          </cell>
          <cell r="R77">
            <v>1505.1477746955675</v>
          </cell>
          <cell r="S77">
            <v>1505.1477746955675</v>
          </cell>
          <cell r="T77">
            <v>1006.1194624136666</v>
          </cell>
          <cell r="U77">
            <v>865.06940700201301</v>
          </cell>
          <cell r="V77">
            <v>1230.592731138061</v>
          </cell>
          <cell r="W77">
            <v>1664.6063175329091</v>
          </cell>
          <cell r="X77">
            <v>1505.1477746955677</v>
          </cell>
          <cell r="Y77">
            <v>956.71669201467887</v>
          </cell>
          <cell r="Z77">
            <v>1112.7098890109644</v>
          </cell>
          <cell r="AA77">
            <v>1058.0732844912411</v>
          </cell>
          <cell r="AB77">
            <v>1112.7098890109639</v>
          </cell>
          <cell r="AC77">
            <v>822.59251743784137</v>
          </cell>
          <cell r="AD77">
            <v>1505.1477746955675</v>
          </cell>
          <cell r="AE77">
            <v>1230.5927311380608</v>
          </cell>
          <cell r="AF77">
            <v>1230.5927311380608</v>
          </cell>
          <cell r="AG77">
            <v>1170.167809026693</v>
          </cell>
          <cell r="AH77">
            <v>1058.0732844912411</v>
          </cell>
          <cell r="AI77">
            <v>1294.1378648840334</v>
          </cell>
          <cell r="AJ77">
            <v>909.73971081296975</v>
          </cell>
          <cell r="AK77">
            <v>1505.1477746955675</v>
          </cell>
          <cell r="AL77">
            <v>1294.1378648840339</v>
          </cell>
          <cell r="AM77">
            <v>1505.1477746955679</v>
          </cell>
          <cell r="AN77">
            <v>1170.1678090266935</v>
          </cell>
          <cell r="AO77">
            <v>1230.5927311380608</v>
          </cell>
          <cell r="AP77">
            <v>1360.9643312111425</v>
          </cell>
          <cell r="AQ77">
            <v>1360.9643312111432</v>
          </cell>
          <cell r="AR77">
            <v>1840.9582360980605</v>
          </cell>
          <cell r="AS77">
            <v>1170.167809026693</v>
          </cell>
          <cell r="AT77">
            <v>1431.2415710013784</v>
          </cell>
          <cell r="AU77">
            <v>1230.5927311380608</v>
          </cell>
          <cell r="AV77">
            <v>1170.1678090266935</v>
          </cell>
          <cell r="AW77">
            <v>909.73971081296986</v>
          </cell>
          <cell r="AX77">
            <v>1505.1477746955675</v>
          </cell>
          <cell r="AY77">
            <v>1112.7098890109644</v>
          </cell>
          <cell r="AZ77">
            <v>1230.5927311380608</v>
          </cell>
          <cell r="BA77">
            <v>1112.7098890109644</v>
          </cell>
          <cell r="BB77">
            <v>1170.167809026693</v>
          </cell>
          <cell r="BC77">
            <v>1505.1477746955675</v>
          </cell>
          <cell r="BD77">
            <v>1431.2415710013786</v>
          </cell>
          <cell r="BE77">
            <v>956.71669201467887</v>
          </cell>
          <cell r="BF77">
            <v>909.73971081296975</v>
          </cell>
          <cell r="BG77">
            <v>822.59251743784137</v>
          </cell>
          <cell r="BH77">
            <v>1294.1378648840334</v>
          </cell>
          <cell r="BI77">
            <v>1294.1378648840337</v>
          </cell>
          <cell r="BJ77">
            <v>1582.870334101578</v>
          </cell>
          <cell r="BK77">
            <v>909.73971081296975</v>
          </cell>
          <cell r="BL77">
            <v>1112.7098890109644</v>
          </cell>
          <cell r="BM77">
            <v>1431.2415710013781</v>
          </cell>
          <cell r="BN77">
            <v>1360.9643312111432</v>
          </cell>
          <cell r="BO77">
            <v>1006.1194624136671</v>
          </cell>
          <cell r="BP77">
            <v>909.73971081296975</v>
          </cell>
          <cell r="BQ77">
            <v>1058.0732844912411</v>
          </cell>
          <cell r="BR77">
            <v>2035.993250392238</v>
          </cell>
          <cell r="BS77">
            <v>1582.870334101578</v>
          </cell>
          <cell r="BT77">
            <v>1431.2415710013781</v>
          </cell>
          <cell r="BU77">
            <v>1294.1378648840334</v>
          </cell>
          <cell r="BV77">
            <v>1058.0732844912411</v>
          </cell>
          <cell r="BW77">
            <v>1170.167809026693</v>
          </cell>
          <cell r="BX77">
            <v>1170.167809026693</v>
          </cell>
          <cell r="BY77">
            <v>1664.6063175329093</v>
          </cell>
          <cell r="BZ77">
            <v>909.73971081296975</v>
          </cell>
          <cell r="CA77">
            <v>1360.9643312111427</v>
          </cell>
          <cell r="CB77">
            <v>743.79346279172944</v>
          </cell>
          <cell r="CC77">
            <v>1505.1477746955675</v>
          </cell>
          <cell r="CD77">
            <v>1294.1378648840337</v>
          </cell>
          <cell r="CE77">
            <v>1058.0732844912407</v>
          </cell>
          <cell r="CF77">
            <v>1006.1194624136668</v>
          </cell>
          <cell r="CG77">
            <v>909.73971081296975</v>
          </cell>
          <cell r="CH77">
            <v>1058.0732844912411</v>
          </cell>
          <cell r="CI77">
            <v>1582.870334101578</v>
          </cell>
          <cell r="CJ77">
            <v>956.71669201467898</v>
          </cell>
          <cell r="CK77">
            <v>1170.167809026693</v>
          </cell>
          <cell r="CL77">
            <v>1230.5927311380608</v>
          </cell>
          <cell r="CM77">
            <v>1112.7098890109644</v>
          </cell>
          <cell r="CN77">
            <v>1058.0732844912407</v>
          </cell>
          <cell r="CO77">
            <v>1170.167809026693</v>
          </cell>
          <cell r="CP77">
            <v>1058.0732844912407</v>
          </cell>
          <cell r="CQ77">
            <v>1170.167809026693</v>
          </cell>
          <cell r="CR77">
            <v>707.27149990432417</v>
          </cell>
          <cell r="CS77">
            <v>1058.0732844912411</v>
          </cell>
          <cell r="CT77">
            <v>956.71669201467876</v>
          </cell>
          <cell r="CU77">
            <v>1431.2415710013781</v>
          </cell>
          <cell r="CV77">
            <v>1582.8703341015785</v>
          </cell>
          <cell r="CW77">
            <v>1170.167809026693</v>
          </cell>
          <cell r="CX77">
            <v>1230.5927311380608</v>
          </cell>
          <cell r="CY77">
            <v>2035.9932503922378</v>
          </cell>
        </row>
        <row r="78">
          <cell r="D78">
            <v>1395.6606777721711</v>
          </cell>
          <cell r="E78">
            <v>1199.9999999999995</v>
          </cell>
          <cell r="F78">
            <v>1141.0772510686097</v>
          </cell>
          <cell r="G78">
            <v>1199.9999999999995</v>
          </cell>
          <cell r="H78">
            <v>1199.9999999999995</v>
          </cell>
          <cell r="I78">
            <v>1085.0477440885793</v>
          </cell>
          <cell r="J78">
            <v>1261.9653916081936</v>
          </cell>
          <cell r="K78">
            <v>843.56364387297208</v>
          </cell>
          <cell r="L78">
            <v>1707.043695468745</v>
          </cell>
          <cell r="M78">
            <v>1327.1305413473519</v>
          </cell>
          <cell r="N78">
            <v>1141.0772510686097</v>
          </cell>
          <cell r="O78">
            <v>1543.5199256908281</v>
          </cell>
          <cell r="P78">
            <v>1395.6606777721711</v>
          </cell>
          <cell r="Q78">
            <v>1031.7694142523271</v>
          </cell>
          <cell r="R78">
            <v>1543.5199256908281</v>
          </cell>
          <cell r="S78">
            <v>1467.7295614807629</v>
          </cell>
          <cell r="T78">
            <v>1031.7694142523267</v>
          </cell>
          <cell r="U78">
            <v>843.56364387297208</v>
          </cell>
          <cell r="V78">
            <v>1199.9999999999998</v>
          </cell>
          <cell r="W78">
            <v>1707.0436954687445</v>
          </cell>
          <cell r="X78">
            <v>1467.7295614807629</v>
          </cell>
          <cell r="Y78">
            <v>932.93256279506875</v>
          </cell>
          <cell r="Z78">
            <v>1141.0772510686097</v>
          </cell>
          <cell r="AA78">
            <v>1085.0477440885795</v>
          </cell>
          <cell r="AB78">
            <v>1141.0772510686093</v>
          </cell>
          <cell r="AC78">
            <v>843.56364387297208</v>
          </cell>
          <cell r="AD78">
            <v>1543.5199256908281</v>
          </cell>
          <cell r="AE78">
            <v>1199.9999999999995</v>
          </cell>
          <cell r="AF78">
            <v>1199.9999999999995</v>
          </cell>
          <cell r="AG78">
            <v>1141.0772510686097</v>
          </cell>
          <cell r="AH78">
            <v>1085.0477440885795</v>
          </cell>
          <cell r="AI78">
            <v>1261.9653916081936</v>
          </cell>
          <cell r="AJ78">
            <v>932.93256279506875</v>
          </cell>
          <cell r="AK78">
            <v>1467.7295614807629</v>
          </cell>
          <cell r="AL78">
            <v>1327.1305413473522</v>
          </cell>
          <cell r="AM78">
            <v>1543.5199256908286</v>
          </cell>
          <cell r="AN78">
            <v>1200</v>
          </cell>
          <cell r="AO78">
            <v>1199.9999999999995</v>
          </cell>
          <cell r="AP78">
            <v>1395.6606777721709</v>
          </cell>
          <cell r="AQ78">
            <v>1327.1305413473522</v>
          </cell>
          <cell r="AR78">
            <v>1887.8915197258502</v>
          </cell>
          <cell r="AS78">
            <v>1199.9999999999995</v>
          </cell>
          <cell r="AT78">
            <v>1395.6606777721713</v>
          </cell>
          <cell r="AU78">
            <v>1261.9653916081936</v>
          </cell>
          <cell r="AV78">
            <v>1200</v>
          </cell>
          <cell r="AW78">
            <v>887.12343682215885</v>
          </cell>
          <cell r="AX78">
            <v>1467.7295614807629</v>
          </cell>
          <cell r="AY78">
            <v>1141.0772510686097</v>
          </cell>
          <cell r="AZ78">
            <v>1261.9653916081936</v>
          </cell>
          <cell r="BA78">
            <v>1085.0477440885795</v>
          </cell>
          <cell r="BB78">
            <v>1199.9999999999995</v>
          </cell>
          <cell r="BC78">
            <v>1467.7295614807629</v>
          </cell>
          <cell r="BD78">
            <v>1467.7295614807633</v>
          </cell>
          <cell r="BE78">
            <v>981.10717245976264</v>
          </cell>
          <cell r="BF78">
            <v>887.12343682215874</v>
          </cell>
          <cell r="BG78">
            <v>843.56364387297208</v>
          </cell>
          <cell r="BH78">
            <v>1261.9653916081936</v>
          </cell>
          <cell r="BI78">
            <v>1327.1305413473519</v>
          </cell>
          <cell r="BJ78">
            <v>1543.5199256908281</v>
          </cell>
          <cell r="BK78">
            <v>887.12343682215874</v>
          </cell>
          <cell r="BL78">
            <v>1085.0477440885795</v>
          </cell>
          <cell r="BM78">
            <v>1467.7295614807629</v>
          </cell>
          <cell r="BN78">
            <v>1327.1305413473522</v>
          </cell>
          <cell r="BO78">
            <v>1031.7694142523271</v>
          </cell>
          <cell r="BP78">
            <v>887.12343682215874</v>
          </cell>
          <cell r="BQ78">
            <v>1085.0477440885795</v>
          </cell>
          <cell r="BR78">
            <v>1985.3781341705176</v>
          </cell>
          <cell r="BS78">
            <v>1623.2239395662305</v>
          </cell>
          <cell r="BT78">
            <v>1395.6606777721711</v>
          </cell>
          <cell r="BU78">
            <v>1261.9653916081936</v>
          </cell>
          <cell r="BV78">
            <v>1085.0477440885795</v>
          </cell>
          <cell r="BW78">
            <v>1199.9999999999995</v>
          </cell>
          <cell r="BX78">
            <v>1199.9999999999995</v>
          </cell>
          <cell r="BY78">
            <v>1707.0436954687448</v>
          </cell>
          <cell r="BZ78">
            <v>887.12343682215874</v>
          </cell>
          <cell r="CA78">
            <v>1395.6606777721711</v>
          </cell>
          <cell r="CB78">
            <v>762.755690649592</v>
          </cell>
          <cell r="CC78">
            <v>1467.7295614807629</v>
          </cell>
          <cell r="CD78">
            <v>1327.1305413473519</v>
          </cell>
          <cell r="CE78">
            <v>1031.7694142523269</v>
          </cell>
          <cell r="CF78">
            <v>981.10717245976264</v>
          </cell>
          <cell r="CG78">
            <v>932.93256279506875</v>
          </cell>
          <cell r="CH78">
            <v>1085.0477440885795</v>
          </cell>
          <cell r="CI78">
            <v>1623.2239395662305</v>
          </cell>
          <cell r="CJ78">
            <v>932.93256279506886</v>
          </cell>
          <cell r="CK78">
            <v>1141.0772510686097</v>
          </cell>
          <cell r="CL78">
            <v>1199.9999999999995</v>
          </cell>
          <cell r="CM78">
            <v>1085.0477440885795</v>
          </cell>
          <cell r="CN78">
            <v>1085.0477440885791</v>
          </cell>
          <cell r="CO78">
            <v>1141.0772510686097</v>
          </cell>
          <cell r="CP78">
            <v>1085.0477440885791</v>
          </cell>
          <cell r="CQ78">
            <v>1199.9999999999995</v>
          </cell>
          <cell r="CR78">
            <v>689.68861785838851</v>
          </cell>
          <cell r="CS78">
            <v>1031.7694142523274</v>
          </cell>
          <cell r="CT78">
            <v>932.93256279506875</v>
          </cell>
          <cell r="CU78">
            <v>1395.6606777721711</v>
          </cell>
          <cell r="CV78">
            <v>1543.5199256908286</v>
          </cell>
          <cell r="CW78">
            <v>1141.0772510686097</v>
          </cell>
          <cell r="CX78">
            <v>1199.9999999999995</v>
          </cell>
          <cell r="CY78">
            <v>2087.8987454823687</v>
          </cell>
        </row>
        <row r="79">
          <cell r="D79">
            <v>1360.9643312111427</v>
          </cell>
          <cell r="E79">
            <v>1230.5927311380608</v>
          </cell>
          <cell r="F79">
            <v>1170.167809026693</v>
          </cell>
          <cell r="G79">
            <v>1170.167809026693</v>
          </cell>
          <cell r="H79">
            <v>1170.167809026693</v>
          </cell>
          <cell r="I79">
            <v>1112.7098890109642</v>
          </cell>
          <cell r="J79">
            <v>1230.5927311380608</v>
          </cell>
          <cell r="K79">
            <v>865.06940700201301</v>
          </cell>
          <cell r="L79">
            <v>1664.6063175329095</v>
          </cell>
          <cell r="M79">
            <v>1360.964331211143</v>
          </cell>
          <cell r="N79">
            <v>1112.7098890109644</v>
          </cell>
          <cell r="O79">
            <v>1582.870334101578</v>
          </cell>
          <cell r="P79">
            <v>1360.9643312111427</v>
          </cell>
          <cell r="Q79">
            <v>1058.0732844912409</v>
          </cell>
          <cell r="R79">
            <v>1505.1477746955675</v>
          </cell>
          <cell r="S79">
            <v>1505.1477746955675</v>
          </cell>
          <cell r="T79">
            <v>1006.1194624136666</v>
          </cell>
          <cell r="U79">
            <v>822.59251743784137</v>
          </cell>
          <cell r="V79">
            <v>1170.1678090266932</v>
          </cell>
          <cell r="W79">
            <v>1664.6063175329091</v>
          </cell>
          <cell r="X79">
            <v>1505.1477746955675</v>
          </cell>
          <cell r="Y79">
            <v>909.73971081296975</v>
          </cell>
          <cell r="Z79">
            <v>1170.167809026693</v>
          </cell>
          <cell r="AA79">
            <v>1058.0732844912411</v>
          </cell>
          <cell r="AB79">
            <v>1112.7098890109639</v>
          </cell>
          <cell r="AC79">
            <v>865.06940700201301</v>
          </cell>
          <cell r="AD79">
            <v>1582.870334101578</v>
          </cell>
          <cell r="AE79">
            <v>1230.5927311380608</v>
          </cell>
          <cell r="AF79">
            <v>1170.167809026693</v>
          </cell>
          <cell r="AG79">
            <v>1112.7098890109644</v>
          </cell>
          <cell r="AH79">
            <v>1058.0732844912411</v>
          </cell>
          <cell r="AI79">
            <v>1294.1378648840334</v>
          </cell>
          <cell r="AJ79">
            <v>956.71669201467876</v>
          </cell>
          <cell r="AK79">
            <v>1431.2415710013781</v>
          </cell>
          <cell r="AL79">
            <v>1294.1378648840339</v>
          </cell>
          <cell r="AM79">
            <v>1582.8703341015785</v>
          </cell>
          <cell r="AN79">
            <v>1170.1678090266935</v>
          </cell>
          <cell r="AO79">
            <v>1170.167809026693</v>
          </cell>
          <cell r="AP79">
            <v>1360.9643312111425</v>
          </cell>
          <cell r="AQ79">
            <v>1294.1378648840339</v>
          </cell>
          <cell r="AR79">
            <v>1936.0213177931828</v>
          </cell>
          <cell r="AS79">
            <v>1230.5927311380608</v>
          </cell>
          <cell r="AT79">
            <v>1360.964331211143</v>
          </cell>
          <cell r="AU79">
            <v>1230.5927311380608</v>
          </cell>
          <cell r="AV79">
            <v>1170.1678090266935</v>
          </cell>
          <cell r="AW79">
            <v>865.06940700201324</v>
          </cell>
          <cell r="AX79">
            <v>1431.2415710013781</v>
          </cell>
          <cell r="AY79">
            <v>1170.167809026693</v>
          </cell>
          <cell r="AZ79">
            <v>1230.5927311380608</v>
          </cell>
          <cell r="BA79">
            <v>1112.7098890109644</v>
          </cell>
          <cell r="BB79">
            <v>1170.167809026693</v>
          </cell>
          <cell r="BC79">
            <v>1505.1477746955675</v>
          </cell>
          <cell r="BD79">
            <v>1431.2415710013786</v>
          </cell>
          <cell r="BE79">
            <v>956.71669201467887</v>
          </cell>
          <cell r="BF79">
            <v>865.06940700201312</v>
          </cell>
          <cell r="BG79">
            <v>822.59251743784137</v>
          </cell>
          <cell r="BH79">
            <v>1230.5927311380608</v>
          </cell>
          <cell r="BI79">
            <v>1294.1378648840337</v>
          </cell>
          <cell r="BJ79">
            <v>1505.1477746955675</v>
          </cell>
          <cell r="BK79">
            <v>909.73971081296975</v>
          </cell>
          <cell r="BL79">
            <v>1058.0732844912411</v>
          </cell>
          <cell r="BM79">
            <v>1505.1477746955675</v>
          </cell>
          <cell r="BN79">
            <v>1360.9643312111432</v>
          </cell>
          <cell r="BO79">
            <v>1058.0732844912409</v>
          </cell>
          <cell r="BP79">
            <v>865.06940700201312</v>
          </cell>
          <cell r="BQ79">
            <v>1112.7098890109644</v>
          </cell>
          <cell r="BR79">
            <v>2035.993250392238</v>
          </cell>
          <cell r="BS79">
            <v>1664.6063175329091</v>
          </cell>
          <cell r="BT79">
            <v>1360.9643312111427</v>
          </cell>
          <cell r="BU79">
            <v>1230.5927311380608</v>
          </cell>
          <cell r="BV79">
            <v>1058.0732844912411</v>
          </cell>
          <cell r="BW79">
            <v>1230.5927311380608</v>
          </cell>
          <cell r="BX79">
            <v>1170.167809026693</v>
          </cell>
          <cell r="BY79">
            <v>1750.5629694824097</v>
          </cell>
          <cell r="BZ79">
            <v>865.06940700201312</v>
          </cell>
          <cell r="CA79">
            <v>1431.2415710013781</v>
          </cell>
          <cell r="CB79">
            <v>743.79346279172944</v>
          </cell>
          <cell r="CC79">
            <v>1505.1477746955675</v>
          </cell>
          <cell r="CD79">
            <v>1360.964331211143</v>
          </cell>
          <cell r="CE79">
            <v>1006.1194624136668</v>
          </cell>
          <cell r="CF79">
            <v>956.71669201467887</v>
          </cell>
          <cell r="CG79">
            <v>909.73971081296975</v>
          </cell>
          <cell r="CH79">
            <v>1058.0732844912411</v>
          </cell>
          <cell r="CI79">
            <v>1664.6063175329091</v>
          </cell>
          <cell r="CJ79">
            <v>956.71669201467887</v>
          </cell>
          <cell r="CK79">
            <v>1112.7098890109644</v>
          </cell>
          <cell r="CL79">
            <v>1230.5927311380608</v>
          </cell>
          <cell r="CM79">
            <v>1112.7098890109644</v>
          </cell>
          <cell r="CN79">
            <v>1112.7098890109639</v>
          </cell>
          <cell r="CO79">
            <v>1170.167809026693</v>
          </cell>
          <cell r="CP79">
            <v>1112.7098890109639</v>
          </cell>
          <cell r="CQ79">
            <v>1230.5927311380608</v>
          </cell>
          <cell r="CR79">
            <v>707.27149990432417</v>
          </cell>
          <cell r="CS79">
            <v>1058.0732844912411</v>
          </cell>
          <cell r="CT79">
            <v>909.73971081296975</v>
          </cell>
          <cell r="CU79">
            <v>1431.2415710013781</v>
          </cell>
          <cell r="CV79">
            <v>1582.8703341015785</v>
          </cell>
          <cell r="CW79">
            <v>1112.7098890109644</v>
          </cell>
          <cell r="CX79">
            <v>1170.167809026693</v>
          </cell>
          <cell r="CY79">
            <v>2141.1275162857332</v>
          </cell>
        </row>
        <row r="80">
          <cell r="D80">
            <v>1395.6606777721711</v>
          </cell>
          <cell r="E80">
            <v>1199.9999999999995</v>
          </cell>
          <cell r="F80">
            <v>1141.0772510686097</v>
          </cell>
          <cell r="G80">
            <v>1141.0772510686097</v>
          </cell>
          <cell r="H80">
            <v>1199.9999999999995</v>
          </cell>
          <cell r="I80">
            <v>1141.0772510686095</v>
          </cell>
          <cell r="J80">
            <v>1261.9653916081936</v>
          </cell>
          <cell r="K80">
            <v>843.56364387297208</v>
          </cell>
          <cell r="L80">
            <v>1707.043695468745</v>
          </cell>
          <cell r="M80">
            <v>1327.1305413473519</v>
          </cell>
          <cell r="N80">
            <v>1141.0772510686097</v>
          </cell>
          <cell r="O80">
            <v>1623.2239395662305</v>
          </cell>
          <cell r="P80">
            <v>1327.1305413473517</v>
          </cell>
          <cell r="Q80">
            <v>1085.0477440885793</v>
          </cell>
          <cell r="R80">
            <v>1467.7295614807629</v>
          </cell>
          <cell r="S80">
            <v>1467.7295614807629</v>
          </cell>
          <cell r="T80">
            <v>1031.7694142523267</v>
          </cell>
          <cell r="U80">
            <v>802.14273654332578</v>
          </cell>
          <cell r="V80">
            <v>1199.9999999999998</v>
          </cell>
          <cell r="W80">
            <v>1707.0436954687445</v>
          </cell>
          <cell r="X80">
            <v>1543.5199256908281</v>
          </cell>
          <cell r="Y80">
            <v>887.12343682215874</v>
          </cell>
          <cell r="Z80">
            <v>1141.0772510686097</v>
          </cell>
          <cell r="AA80">
            <v>1031.7694142523274</v>
          </cell>
          <cell r="AB80">
            <v>1085.0477440885791</v>
          </cell>
          <cell r="AC80">
            <v>887.12343682215862</v>
          </cell>
          <cell r="AD80">
            <v>1623.2239395662305</v>
          </cell>
          <cell r="AE80">
            <v>1261.9653916081936</v>
          </cell>
          <cell r="AF80">
            <v>1199.9999999999995</v>
          </cell>
          <cell r="AG80">
            <v>1141.0772510686097</v>
          </cell>
          <cell r="AH80">
            <v>1031.7694142523274</v>
          </cell>
          <cell r="AI80">
            <v>1261.9653916081936</v>
          </cell>
          <cell r="AJ80">
            <v>981.10717245976252</v>
          </cell>
          <cell r="AK80">
            <v>1467.7295614807629</v>
          </cell>
          <cell r="AL80">
            <v>1261.9653916081941</v>
          </cell>
          <cell r="AM80">
            <v>1543.5199256908286</v>
          </cell>
          <cell r="AN80">
            <v>1200</v>
          </cell>
          <cell r="AO80">
            <v>1199.9999999999995</v>
          </cell>
          <cell r="AP80">
            <v>1395.6606777721709</v>
          </cell>
          <cell r="AQ80">
            <v>1261.9653916081941</v>
          </cell>
          <cell r="AR80">
            <v>1985.3781341705178</v>
          </cell>
          <cell r="AS80">
            <v>1261.9653916081936</v>
          </cell>
          <cell r="AT80">
            <v>1327.1305413473519</v>
          </cell>
          <cell r="AU80">
            <v>1199.9999999999995</v>
          </cell>
          <cell r="AV80">
            <v>1141.0772510686099</v>
          </cell>
          <cell r="AW80">
            <v>887.12343682215885</v>
          </cell>
          <cell r="AX80">
            <v>1467.7295614807629</v>
          </cell>
          <cell r="AY80">
            <v>1199.9999999999995</v>
          </cell>
          <cell r="AZ80">
            <v>1199.9999999999995</v>
          </cell>
          <cell r="BA80">
            <v>1141.0772510686097</v>
          </cell>
          <cell r="BB80">
            <v>1141.0772510686097</v>
          </cell>
          <cell r="BC80">
            <v>1543.5199256908281</v>
          </cell>
          <cell r="BD80">
            <v>1395.6606777721715</v>
          </cell>
          <cell r="BE80">
            <v>981.10717245976264</v>
          </cell>
          <cell r="BF80">
            <v>887.12343682215874</v>
          </cell>
          <cell r="BG80">
            <v>802.14273654332578</v>
          </cell>
          <cell r="BH80">
            <v>1261.9653916081936</v>
          </cell>
          <cell r="BI80">
            <v>1261.9653916081938</v>
          </cell>
          <cell r="BJ80">
            <v>1543.5199256908281</v>
          </cell>
          <cell r="BK80">
            <v>932.93256279506875</v>
          </cell>
          <cell r="BL80">
            <v>1031.7694142523274</v>
          </cell>
          <cell r="BM80">
            <v>1467.7295614807629</v>
          </cell>
          <cell r="BN80">
            <v>1327.1305413473522</v>
          </cell>
          <cell r="BO80">
            <v>1085.0477440885793</v>
          </cell>
          <cell r="BP80">
            <v>887.12343682215874</v>
          </cell>
          <cell r="BQ80">
            <v>1141.0772510686097</v>
          </cell>
          <cell r="BR80">
            <v>1985.3781341705176</v>
          </cell>
          <cell r="BS80">
            <v>1623.2239395662305</v>
          </cell>
          <cell r="BT80">
            <v>1395.6606777721711</v>
          </cell>
          <cell r="BU80">
            <v>1261.9653916081936</v>
          </cell>
          <cell r="BV80">
            <v>1085.0477440885795</v>
          </cell>
          <cell r="BW80">
            <v>1199.9999999999995</v>
          </cell>
          <cell r="BX80">
            <v>1141.0772510686097</v>
          </cell>
          <cell r="BY80">
            <v>1795.1917213704278</v>
          </cell>
          <cell r="BZ80">
            <v>887.12343682215874</v>
          </cell>
          <cell r="CA80">
            <v>1395.6606777721711</v>
          </cell>
          <cell r="CB80">
            <v>762.755690649592</v>
          </cell>
          <cell r="CC80">
            <v>1467.7295614807629</v>
          </cell>
          <cell r="CD80">
            <v>1327.1305413473519</v>
          </cell>
          <cell r="CE80">
            <v>981.10717245976264</v>
          </cell>
          <cell r="CF80">
            <v>981.10717245976264</v>
          </cell>
          <cell r="CG80">
            <v>932.93256279506875</v>
          </cell>
          <cell r="CH80">
            <v>1085.0477440885795</v>
          </cell>
          <cell r="CI80">
            <v>1707.0436954687445</v>
          </cell>
          <cell r="CJ80">
            <v>932.93256279506875</v>
          </cell>
          <cell r="CK80">
            <v>1141.0772510686097</v>
          </cell>
          <cell r="CL80">
            <v>1261.9653916081936</v>
          </cell>
          <cell r="CM80">
            <v>1085.0477440885795</v>
          </cell>
          <cell r="CN80">
            <v>1085.0477440885791</v>
          </cell>
          <cell r="CO80">
            <v>1199.9999999999995</v>
          </cell>
          <cell r="CP80">
            <v>1141.0772510686093</v>
          </cell>
          <cell r="CQ80">
            <v>1261.9653916081936</v>
          </cell>
          <cell r="CR80">
            <v>725.3026389361462</v>
          </cell>
          <cell r="CS80">
            <v>1085.0477440885795</v>
          </cell>
          <cell r="CT80">
            <v>932.93256279506875</v>
          </cell>
          <cell r="CU80">
            <v>1395.6606777721711</v>
          </cell>
          <cell r="CV80">
            <v>1623.2239395662309</v>
          </cell>
          <cell r="CW80">
            <v>1141.0772510686097</v>
          </cell>
          <cell r="CX80">
            <v>1199.9999999999995</v>
          </cell>
          <cell r="CY80">
            <v>2195.7132983174288</v>
          </cell>
        </row>
        <row r="81">
          <cell r="D81">
            <v>1360.9643312111427</v>
          </cell>
          <cell r="E81">
            <v>1230.5927311380608</v>
          </cell>
          <cell r="F81">
            <v>1112.7098890109644</v>
          </cell>
          <cell r="G81">
            <v>1170.167809026693</v>
          </cell>
          <cell r="H81">
            <v>1230.5927311380608</v>
          </cell>
          <cell r="I81">
            <v>1170.1678090266928</v>
          </cell>
          <cell r="J81">
            <v>1294.1378648840334</v>
          </cell>
          <cell r="K81">
            <v>865.06940700201301</v>
          </cell>
          <cell r="L81">
            <v>1664.6063175329095</v>
          </cell>
          <cell r="M81">
            <v>1360.964331211143</v>
          </cell>
          <cell r="N81">
            <v>1112.7098890109644</v>
          </cell>
          <cell r="O81">
            <v>1582.870334101578</v>
          </cell>
          <cell r="P81">
            <v>1360.9643312111427</v>
          </cell>
          <cell r="Q81">
            <v>1112.7098890109642</v>
          </cell>
          <cell r="R81">
            <v>1505.1477746955675</v>
          </cell>
          <cell r="S81">
            <v>1431.2415710013781</v>
          </cell>
          <cell r="T81">
            <v>1058.0732844912404</v>
          </cell>
          <cell r="U81">
            <v>822.59251743784137</v>
          </cell>
          <cell r="V81">
            <v>1230.592731138061</v>
          </cell>
          <cell r="W81">
            <v>1664.6063175329091</v>
          </cell>
          <cell r="X81">
            <v>1505.1477746955675</v>
          </cell>
          <cell r="Y81">
            <v>865.06940700201312</v>
          </cell>
          <cell r="Z81">
            <v>1170.167809026693</v>
          </cell>
          <cell r="AA81">
            <v>1006.1194624136672</v>
          </cell>
          <cell r="AB81">
            <v>1058.0732844912407</v>
          </cell>
          <cell r="AC81">
            <v>909.73971081296963</v>
          </cell>
          <cell r="AD81">
            <v>1582.870334101578</v>
          </cell>
          <cell r="AE81">
            <v>1294.1378648840334</v>
          </cell>
          <cell r="AF81">
            <v>1230.5927311380608</v>
          </cell>
          <cell r="AG81">
            <v>1170.167809026693</v>
          </cell>
          <cell r="AH81">
            <v>1006.1194624136672</v>
          </cell>
          <cell r="AI81">
            <v>1230.5927311380608</v>
          </cell>
          <cell r="AJ81">
            <v>1006.1194624136667</v>
          </cell>
          <cell r="AK81">
            <v>1505.1477746955675</v>
          </cell>
          <cell r="AL81">
            <v>1230.5927311380613</v>
          </cell>
          <cell r="AM81">
            <v>1505.1477746955679</v>
          </cell>
          <cell r="AN81">
            <v>1230.5927311380613</v>
          </cell>
          <cell r="AO81">
            <v>1170.167809026693</v>
          </cell>
          <cell r="AP81">
            <v>1431.2415710013779</v>
          </cell>
          <cell r="AQ81">
            <v>1230.5927311380613</v>
          </cell>
          <cell r="AR81">
            <v>2035.9932503922382</v>
          </cell>
          <cell r="AS81">
            <v>1230.5927311380608</v>
          </cell>
          <cell r="AT81">
            <v>1294.1378648840337</v>
          </cell>
          <cell r="AU81">
            <v>1230.5927311380608</v>
          </cell>
          <cell r="AV81">
            <v>1112.7098890109644</v>
          </cell>
          <cell r="AW81">
            <v>909.73971081296986</v>
          </cell>
          <cell r="AX81">
            <v>1431.2415710013781</v>
          </cell>
          <cell r="AY81">
            <v>1170.167809026693</v>
          </cell>
          <cell r="AZ81">
            <v>1230.5927311380608</v>
          </cell>
          <cell r="BA81">
            <v>1170.167809026693</v>
          </cell>
          <cell r="BB81">
            <v>1112.7098890109644</v>
          </cell>
          <cell r="BC81">
            <v>1582.870334101578</v>
          </cell>
          <cell r="BD81">
            <v>1360.9643312111432</v>
          </cell>
          <cell r="BE81">
            <v>956.71669201467887</v>
          </cell>
          <cell r="BF81">
            <v>865.06940700201312</v>
          </cell>
          <cell r="BG81">
            <v>782.20134045631642</v>
          </cell>
          <cell r="BH81">
            <v>1230.5927311380608</v>
          </cell>
          <cell r="BI81">
            <v>1294.1378648840337</v>
          </cell>
          <cell r="BJ81">
            <v>1505.1477746955675</v>
          </cell>
          <cell r="BK81">
            <v>909.73971081296975</v>
          </cell>
          <cell r="BL81">
            <v>1006.1194624136672</v>
          </cell>
          <cell r="BM81">
            <v>1431.2415710013781</v>
          </cell>
          <cell r="BN81">
            <v>1360.9643312111432</v>
          </cell>
          <cell r="BO81">
            <v>1058.0732844912409</v>
          </cell>
          <cell r="BP81">
            <v>909.73971081296975</v>
          </cell>
          <cell r="BQ81">
            <v>1170.167809026693</v>
          </cell>
          <cell r="BR81">
            <v>1936.0213177931826</v>
          </cell>
          <cell r="BS81">
            <v>1664.6063175329091</v>
          </cell>
          <cell r="BT81">
            <v>1360.9643312111427</v>
          </cell>
          <cell r="BU81">
            <v>1294.1378648840334</v>
          </cell>
          <cell r="BV81">
            <v>1058.0732844912411</v>
          </cell>
          <cell r="BW81">
            <v>1170.167809026693</v>
          </cell>
          <cell r="BX81">
            <v>1112.7098890109644</v>
          </cell>
          <cell r="BY81">
            <v>1750.5629694824097</v>
          </cell>
          <cell r="BZ81">
            <v>865.06940700201312</v>
          </cell>
          <cell r="CA81">
            <v>1431.2415710013781</v>
          </cell>
          <cell r="CB81">
            <v>782.20134045631642</v>
          </cell>
          <cell r="CC81">
            <v>1431.2415710013781</v>
          </cell>
          <cell r="CD81">
            <v>1360.964331211143</v>
          </cell>
          <cell r="CE81">
            <v>956.71669201467887</v>
          </cell>
          <cell r="CF81">
            <v>956.71669201467887</v>
          </cell>
          <cell r="CG81">
            <v>956.71669201467876</v>
          </cell>
          <cell r="CH81">
            <v>1058.0732844912411</v>
          </cell>
          <cell r="CI81">
            <v>1750.5629694824095</v>
          </cell>
          <cell r="CJ81">
            <v>956.71669201467876</v>
          </cell>
          <cell r="CK81">
            <v>1112.7098890109644</v>
          </cell>
          <cell r="CL81">
            <v>1294.1378648840334</v>
          </cell>
          <cell r="CM81">
            <v>1112.7098890109644</v>
          </cell>
          <cell r="CN81">
            <v>1112.7098890109639</v>
          </cell>
          <cell r="CO81">
            <v>1170.167809026693</v>
          </cell>
          <cell r="CP81">
            <v>1112.7098890109639</v>
          </cell>
          <cell r="CQ81">
            <v>1230.5927311380608</v>
          </cell>
          <cell r="CR81">
            <v>707.27149990432417</v>
          </cell>
          <cell r="CS81">
            <v>1112.7098890109644</v>
          </cell>
          <cell r="CT81">
            <v>909.73971081296975</v>
          </cell>
          <cell r="CU81">
            <v>1431.2415710013781</v>
          </cell>
          <cell r="CV81">
            <v>1582.8703341015785</v>
          </cell>
          <cell r="CW81">
            <v>1170.167809026693</v>
          </cell>
          <cell r="CX81">
            <v>1230.5927311380608</v>
          </cell>
          <cell r="CY81">
            <v>2251.6906871438377</v>
          </cell>
        </row>
        <row r="82">
          <cell r="D82">
            <v>1395.6606777721711</v>
          </cell>
          <cell r="E82">
            <v>1261.9653916081936</v>
          </cell>
          <cell r="F82">
            <v>1141.0772510686097</v>
          </cell>
          <cell r="G82">
            <v>1141.0772510686097</v>
          </cell>
          <cell r="H82">
            <v>1261.9653916081936</v>
          </cell>
          <cell r="I82">
            <v>1199.9999999999993</v>
          </cell>
          <cell r="J82">
            <v>1261.9653916081936</v>
          </cell>
          <cell r="K82">
            <v>843.56364387297208</v>
          </cell>
          <cell r="L82">
            <v>1623.2239395662309</v>
          </cell>
          <cell r="M82">
            <v>1395.6606777721713</v>
          </cell>
          <cell r="N82">
            <v>1141.0772510686097</v>
          </cell>
          <cell r="O82">
            <v>1623.2239395662305</v>
          </cell>
          <cell r="P82">
            <v>1327.1305413473517</v>
          </cell>
          <cell r="Q82">
            <v>1085.0477440885793</v>
          </cell>
          <cell r="R82">
            <v>1543.5199256908281</v>
          </cell>
          <cell r="S82">
            <v>1395.6606777721711</v>
          </cell>
          <cell r="T82">
            <v>1085.0477440885788</v>
          </cell>
          <cell r="U82">
            <v>802.14273654332578</v>
          </cell>
          <cell r="V82">
            <v>1261.9653916081938</v>
          </cell>
          <cell r="W82">
            <v>1707.0436954687445</v>
          </cell>
          <cell r="X82">
            <v>1467.7295614807629</v>
          </cell>
          <cell r="Y82">
            <v>843.56364387297219</v>
          </cell>
          <cell r="Z82">
            <v>1141.0772510686097</v>
          </cell>
          <cell r="AA82">
            <v>981.10717245976286</v>
          </cell>
          <cell r="AB82">
            <v>1031.7694142523269</v>
          </cell>
          <cell r="AC82">
            <v>887.12343682215862</v>
          </cell>
          <cell r="AD82">
            <v>1543.5199256908281</v>
          </cell>
          <cell r="AE82">
            <v>1327.1305413473517</v>
          </cell>
          <cell r="AF82">
            <v>1199.9999999999995</v>
          </cell>
          <cell r="AG82">
            <v>1199.9999999999995</v>
          </cell>
          <cell r="AH82">
            <v>981.10717245976286</v>
          </cell>
          <cell r="AI82">
            <v>1199.9999999999995</v>
          </cell>
          <cell r="AJ82">
            <v>1031.7694142523269</v>
          </cell>
          <cell r="AK82">
            <v>1543.5199256908281</v>
          </cell>
          <cell r="AL82">
            <v>1261.9653916081941</v>
          </cell>
          <cell r="AM82">
            <v>1543.5199256908286</v>
          </cell>
          <cell r="AN82">
            <v>1200</v>
          </cell>
          <cell r="AO82">
            <v>1199.9999999999995</v>
          </cell>
          <cell r="AP82">
            <v>1467.7295614807626</v>
          </cell>
          <cell r="AQ82">
            <v>1261.9653916081941</v>
          </cell>
          <cell r="AR82">
            <v>2087.8987454823691</v>
          </cell>
          <cell r="AS82">
            <v>1199.9999999999995</v>
          </cell>
          <cell r="AT82">
            <v>1261.9653916081938</v>
          </cell>
          <cell r="AU82">
            <v>1261.9653916081936</v>
          </cell>
          <cell r="AV82">
            <v>1085.0477440885795</v>
          </cell>
          <cell r="AW82">
            <v>887.12343682215885</v>
          </cell>
          <cell r="AX82">
            <v>1395.6606777721711</v>
          </cell>
          <cell r="AY82">
            <v>1199.9999999999995</v>
          </cell>
          <cell r="AZ82">
            <v>1199.9999999999995</v>
          </cell>
          <cell r="BA82">
            <v>1141.0772510686097</v>
          </cell>
          <cell r="BB82">
            <v>1141.0772510686097</v>
          </cell>
          <cell r="BC82">
            <v>1623.2239395662305</v>
          </cell>
          <cell r="BD82">
            <v>1327.1305413473522</v>
          </cell>
          <cell r="BE82">
            <v>981.10717245976264</v>
          </cell>
          <cell r="BF82">
            <v>887.12343682215874</v>
          </cell>
          <cell r="BG82">
            <v>762.755690649592</v>
          </cell>
          <cell r="BH82">
            <v>1199.9999999999995</v>
          </cell>
          <cell r="BI82">
            <v>1261.9653916081938</v>
          </cell>
          <cell r="BJ82">
            <v>1467.7295614807629</v>
          </cell>
          <cell r="BK82">
            <v>932.93256279506875</v>
          </cell>
          <cell r="BL82">
            <v>1031.7694142523274</v>
          </cell>
          <cell r="BM82">
            <v>1467.7295614807629</v>
          </cell>
          <cell r="BN82">
            <v>1395.6606777721715</v>
          </cell>
          <cell r="BO82">
            <v>1085.0477440885793</v>
          </cell>
          <cell r="BP82">
            <v>887.12343682215874</v>
          </cell>
          <cell r="BQ82">
            <v>1199.9999999999995</v>
          </cell>
          <cell r="BR82">
            <v>1887.89151972585</v>
          </cell>
          <cell r="BS82">
            <v>1623.2239395662305</v>
          </cell>
          <cell r="BT82">
            <v>1327.1305413473517</v>
          </cell>
          <cell r="BU82">
            <v>1327.1305413473517</v>
          </cell>
          <cell r="BV82">
            <v>1085.0477440885795</v>
          </cell>
          <cell r="BW82">
            <v>1199.9999999999995</v>
          </cell>
          <cell r="BX82">
            <v>1085.0477440885795</v>
          </cell>
          <cell r="BY82">
            <v>1795.1917213704278</v>
          </cell>
          <cell r="BZ82">
            <v>843.56364387297219</v>
          </cell>
          <cell r="CA82">
            <v>1395.6606777721711</v>
          </cell>
          <cell r="CB82">
            <v>762.755690649592</v>
          </cell>
          <cell r="CC82">
            <v>1395.6606777721711</v>
          </cell>
          <cell r="CD82">
            <v>1395.6606777721713</v>
          </cell>
          <cell r="CE82">
            <v>932.93256279506875</v>
          </cell>
          <cell r="CF82">
            <v>932.93256279506875</v>
          </cell>
          <cell r="CG82">
            <v>932.93256279506875</v>
          </cell>
          <cell r="CH82">
            <v>1085.0477440885795</v>
          </cell>
          <cell r="CI82">
            <v>1707.0436954687445</v>
          </cell>
          <cell r="CJ82">
            <v>932.93256279506875</v>
          </cell>
          <cell r="CK82">
            <v>1141.0772510686097</v>
          </cell>
          <cell r="CL82">
            <v>1261.9653916081936</v>
          </cell>
          <cell r="CM82">
            <v>1141.0772510686097</v>
          </cell>
          <cell r="CN82">
            <v>1085.0477440885791</v>
          </cell>
          <cell r="CO82">
            <v>1141.0772510686097</v>
          </cell>
          <cell r="CP82">
            <v>1141.0772510686093</v>
          </cell>
          <cell r="CQ82">
            <v>1261.9653916081936</v>
          </cell>
          <cell r="CR82">
            <v>725.3026389361462</v>
          </cell>
          <cell r="CS82">
            <v>1085.0477440885795</v>
          </cell>
          <cell r="CT82">
            <v>932.93256279506875</v>
          </cell>
          <cell r="CU82">
            <v>1467.7295614807629</v>
          </cell>
          <cell r="CV82">
            <v>1543.5199256908286</v>
          </cell>
          <cell r="CW82">
            <v>1141.0772510686097</v>
          </cell>
          <cell r="CX82">
            <v>1261.9653916081936</v>
          </cell>
          <cell r="CY82">
            <v>2309.0951603087278</v>
          </cell>
        </row>
        <row r="83">
          <cell r="D83">
            <v>1360.9643312111427</v>
          </cell>
          <cell r="E83">
            <v>1294.1378648840334</v>
          </cell>
          <cell r="F83">
            <v>1112.7098890109644</v>
          </cell>
          <cell r="G83">
            <v>1170.167809026693</v>
          </cell>
          <cell r="H83">
            <v>1294.1378648840334</v>
          </cell>
          <cell r="I83">
            <v>1170.1678090266928</v>
          </cell>
          <cell r="J83">
            <v>1230.5927311380608</v>
          </cell>
          <cell r="K83">
            <v>865.06940700201301</v>
          </cell>
          <cell r="L83">
            <v>1664.6063175329095</v>
          </cell>
          <cell r="M83">
            <v>1431.2415710013784</v>
          </cell>
          <cell r="N83">
            <v>1112.7098890109644</v>
          </cell>
          <cell r="O83">
            <v>1664.6063175329091</v>
          </cell>
          <cell r="P83">
            <v>1294.1378648840334</v>
          </cell>
          <cell r="Q83">
            <v>1112.7098890109642</v>
          </cell>
          <cell r="R83">
            <v>1582.870334101578</v>
          </cell>
          <cell r="S83">
            <v>1360.9643312111427</v>
          </cell>
          <cell r="T83">
            <v>1112.7098890109637</v>
          </cell>
          <cell r="U83">
            <v>822.59251743784137</v>
          </cell>
          <cell r="V83">
            <v>1294.1378648840337</v>
          </cell>
          <cell r="W83">
            <v>1664.6063175329091</v>
          </cell>
          <cell r="X83">
            <v>1431.2415710013781</v>
          </cell>
          <cell r="Y83">
            <v>822.59251743784137</v>
          </cell>
          <cell r="Z83">
            <v>1112.7098890109644</v>
          </cell>
          <cell r="AA83">
            <v>956.7166920146791</v>
          </cell>
          <cell r="AB83">
            <v>1006.1194624136668</v>
          </cell>
          <cell r="AC83">
            <v>909.73971081296963</v>
          </cell>
          <cell r="AD83">
            <v>1582.870334101578</v>
          </cell>
          <cell r="AE83">
            <v>1360.9643312111427</v>
          </cell>
          <cell r="AF83">
            <v>1230.5927311380608</v>
          </cell>
          <cell r="AG83">
            <v>1170.167809026693</v>
          </cell>
          <cell r="AH83">
            <v>1006.1194624136671</v>
          </cell>
          <cell r="AI83">
            <v>1170.167809026693</v>
          </cell>
          <cell r="AJ83">
            <v>1058.0732844912407</v>
          </cell>
          <cell r="AK83">
            <v>1582.870334101578</v>
          </cell>
          <cell r="AL83">
            <v>1230.5927311380613</v>
          </cell>
          <cell r="AM83">
            <v>1505.1477746955679</v>
          </cell>
          <cell r="AN83">
            <v>1230.5927311380613</v>
          </cell>
          <cell r="AO83">
            <v>1170.167809026693</v>
          </cell>
          <cell r="AP83">
            <v>1505.1477746955673</v>
          </cell>
          <cell r="AQ83">
            <v>1294.1378648840339</v>
          </cell>
          <cell r="AR83">
            <v>2141.1275162857337</v>
          </cell>
          <cell r="AS83">
            <v>1230.5927311380608</v>
          </cell>
          <cell r="AT83">
            <v>1230.592731138061</v>
          </cell>
          <cell r="AU83">
            <v>1230.5927311380608</v>
          </cell>
          <cell r="AV83">
            <v>1112.7098890109644</v>
          </cell>
          <cell r="AW83">
            <v>865.06940700201324</v>
          </cell>
          <cell r="AX83">
            <v>1360.9643312111427</v>
          </cell>
          <cell r="AY83">
            <v>1170.167809026693</v>
          </cell>
          <cell r="AZ83">
            <v>1230.5927311380608</v>
          </cell>
          <cell r="BA83">
            <v>1170.167809026693</v>
          </cell>
          <cell r="BB83">
            <v>1170.167809026693</v>
          </cell>
          <cell r="BC83">
            <v>1664.6063175329091</v>
          </cell>
          <cell r="BD83">
            <v>1360.9643312111432</v>
          </cell>
          <cell r="BE83">
            <v>1006.1194624136668</v>
          </cell>
          <cell r="BF83">
            <v>909.73971081296975</v>
          </cell>
          <cell r="BG83">
            <v>743.79346279172944</v>
          </cell>
          <cell r="BH83">
            <v>1230.5927311380608</v>
          </cell>
          <cell r="BI83">
            <v>1230.592731138061</v>
          </cell>
          <cell r="BJ83">
            <v>1431.2415710013781</v>
          </cell>
          <cell r="BK83">
            <v>909.73971081296975</v>
          </cell>
          <cell r="BL83">
            <v>1058.0732844912411</v>
          </cell>
          <cell r="BM83">
            <v>1505.1477746955675</v>
          </cell>
          <cell r="BN83">
            <v>1360.9643312111432</v>
          </cell>
          <cell r="BO83">
            <v>1058.0732844912409</v>
          </cell>
          <cell r="BP83">
            <v>909.73971081296975</v>
          </cell>
          <cell r="BQ83">
            <v>1230.5927311380608</v>
          </cell>
          <cell r="BR83">
            <v>1840.9582360980603</v>
          </cell>
          <cell r="BS83">
            <v>1664.6063175329091</v>
          </cell>
          <cell r="BT83">
            <v>1294.1378648840334</v>
          </cell>
          <cell r="BU83">
            <v>1360.9643312111427</v>
          </cell>
          <cell r="BV83">
            <v>1058.0732844912411</v>
          </cell>
          <cell r="BW83">
            <v>1230.5927311380608</v>
          </cell>
          <cell r="BX83">
            <v>1112.7098890109644</v>
          </cell>
          <cell r="BY83">
            <v>1750.5629694824097</v>
          </cell>
          <cell r="BZ83">
            <v>822.59251743784137</v>
          </cell>
          <cell r="CA83">
            <v>1431.2415710013781</v>
          </cell>
          <cell r="CB83">
            <v>743.79346279172944</v>
          </cell>
          <cell r="CC83">
            <v>1431.2415710013781</v>
          </cell>
          <cell r="CD83">
            <v>1360.964331211143</v>
          </cell>
          <cell r="CE83">
            <v>909.73971081296975</v>
          </cell>
          <cell r="CF83">
            <v>909.73971081296975</v>
          </cell>
          <cell r="CG83">
            <v>909.73971081296975</v>
          </cell>
          <cell r="CH83">
            <v>1058.0732844912411</v>
          </cell>
          <cell r="CI83">
            <v>1750.5629694824095</v>
          </cell>
          <cell r="CJ83">
            <v>909.73971081296975</v>
          </cell>
          <cell r="CK83">
            <v>1112.7098890109644</v>
          </cell>
          <cell r="CL83">
            <v>1294.1378648840334</v>
          </cell>
          <cell r="CM83">
            <v>1170.167809026693</v>
          </cell>
          <cell r="CN83">
            <v>1058.0732844912407</v>
          </cell>
          <cell r="CO83">
            <v>1112.7098890109644</v>
          </cell>
          <cell r="CP83">
            <v>1112.7098890109639</v>
          </cell>
          <cell r="CQ83">
            <v>1294.1378648840334</v>
          </cell>
          <cell r="CR83">
            <v>743.79346279172944</v>
          </cell>
          <cell r="CS83">
            <v>1058.0732844912411</v>
          </cell>
          <cell r="CT83">
            <v>909.73971081296975</v>
          </cell>
          <cell r="CU83">
            <v>1505.1477746955675</v>
          </cell>
          <cell r="CV83">
            <v>1582.8703341015785</v>
          </cell>
          <cell r="CW83">
            <v>1170.167809026693</v>
          </cell>
          <cell r="CX83">
            <v>1294.1378648840334</v>
          </cell>
          <cell r="CY83">
            <v>2251.6906871438377</v>
          </cell>
        </row>
        <row r="84">
          <cell r="D84">
            <v>1395.6606777721711</v>
          </cell>
          <cell r="E84">
            <v>1327.1305413473517</v>
          </cell>
          <cell r="F84">
            <v>1141.0772510686097</v>
          </cell>
          <cell r="G84">
            <v>1141.0772510686097</v>
          </cell>
          <cell r="H84">
            <v>1327.1305413473517</v>
          </cell>
          <cell r="I84">
            <v>1199.9999999999993</v>
          </cell>
          <cell r="J84">
            <v>1261.9653916081936</v>
          </cell>
          <cell r="K84">
            <v>887.12343682215862</v>
          </cell>
          <cell r="L84">
            <v>1623.2239395662309</v>
          </cell>
          <cell r="M84">
            <v>1395.6606777721713</v>
          </cell>
          <cell r="N84">
            <v>1141.0772510686097</v>
          </cell>
          <cell r="O84">
            <v>1623.2239395662305</v>
          </cell>
          <cell r="P84">
            <v>1261.9653916081936</v>
          </cell>
          <cell r="Q84">
            <v>1141.0772510686095</v>
          </cell>
          <cell r="R84">
            <v>1623.2239395662305</v>
          </cell>
          <cell r="S84">
            <v>1395.6606777721711</v>
          </cell>
          <cell r="T84">
            <v>1141.077251068609</v>
          </cell>
          <cell r="U84">
            <v>843.56364387297208</v>
          </cell>
          <cell r="V84">
            <v>1327.1305413473519</v>
          </cell>
          <cell r="W84">
            <v>1707.0436954687445</v>
          </cell>
          <cell r="X84">
            <v>1467.7295614807629</v>
          </cell>
          <cell r="Y84">
            <v>802.14273654332578</v>
          </cell>
          <cell r="Z84">
            <v>1085.0477440885795</v>
          </cell>
          <cell r="AA84">
            <v>981.10717245976286</v>
          </cell>
          <cell r="AB84">
            <v>981.10717245976264</v>
          </cell>
          <cell r="AC84">
            <v>932.93256279506863</v>
          </cell>
          <cell r="AD84">
            <v>1623.2239395662305</v>
          </cell>
          <cell r="AE84">
            <v>1327.1305413473517</v>
          </cell>
          <cell r="AF84">
            <v>1261.9653916081936</v>
          </cell>
          <cell r="AG84">
            <v>1141.0772510686097</v>
          </cell>
          <cell r="AH84">
            <v>981.10717245976275</v>
          </cell>
          <cell r="AI84">
            <v>1141.0772510686097</v>
          </cell>
          <cell r="AJ84">
            <v>1085.0477440885791</v>
          </cell>
          <cell r="AK84">
            <v>1623.2239395662305</v>
          </cell>
          <cell r="AL84">
            <v>1200</v>
          </cell>
          <cell r="AM84">
            <v>1543.5199256908286</v>
          </cell>
          <cell r="AN84">
            <v>1200</v>
          </cell>
          <cell r="AO84">
            <v>1199.9999999999995</v>
          </cell>
          <cell r="AP84">
            <v>1543.5199256908279</v>
          </cell>
          <cell r="AQ84">
            <v>1327.1305413473522</v>
          </cell>
          <cell r="AR84">
            <v>2195.7132983174292</v>
          </cell>
          <cell r="AS84">
            <v>1199.9999999999995</v>
          </cell>
          <cell r="AT84">
            <v>1199.9999999999998</v>
          </cell>
          <cell r="AU84">
            <v>1261.9653916081936</v>
          </cell>
          <cell r="AV84">
            <v>1141.0772510686097</v>
          </cell>
          <cell r="AW84">
            <v>887.12343682215885</v>
          </cell>
          <cell r="AX84">
            <v>1327.1305413473517</v>
          </cell>
          <cell r="AY84">
            <v>1199.9999999999995</v>
          </cell>
          <cell r="AZ84">
            <v>1261.9653916081936</v>
          </cell>
          <cell r="BA84">
            <v>1141.0772510686097</v>
          </cell>
          <cell r="BB84">
            <v>1199.9999999999995</v>
          </cell>
          <cell r="BC84">
            <v>1623.2239395662305</v>
          </cell>
          <cell r="BD84">
            <v>1327.1305413473522</v>
          </cell>
          <cell r="BE84">
            <v>1031.7694142523269</v>
          </cell>
          <cell r="BF84">
            <v>887.12343682215874</v>
          </cell>
          <cell r="BG84">
            <v>762.755690649592</v>
          </cell>
          <cell r="BH84">
            <v>1261.9653916081936</v>
          </cell>
          <cell r="BI84">
            <v>1199.9999999999998</v>
          </cell>
          <cell r="BJ84">
            <v>1395.6606777721711</v>
          </cell>
          <cell r="BK84">
            <v>932.93256279506875</v>
          </cell>
          <cell r="BL84">
            <v>1085.0477440885795</v>
          </cell>
          <cell r="BM84">
            <v>1467.7295614807629</v>
          </cell>
          <cell r="BN84">
            <v>1395.6606777721715</v>
          </cell>
          <cell r="BO84">
            <v>1031.7694142523271</v>
          </cell>
          <cell r="BP84">
            <v>887.12343682215874</v>
          </cell>
          <cell r="BQ84">
            <v>1199.9999999999995</v>
          </cell>
          <cell r="BR84">
            <v>1887.89151972585</v>
          </cell>
          <cell r="BS84">
            <v>1707.0436954687445</v>
          </cell>
          <cell r="BT84">
            <v>1261.9653916081936</v>
          </cell>
          <cell r="BU84">
            <v>1327.1305413473517</v>
          </cell>
          <cell r="BV84">
            <v>1031.7694142523274</v>
          </cell>
          <cell r="BW84">
            <v>1199.9999999999995</v>
          </cell>
          <cell r="BX84">
            <v>1141.0772510686097</v>
          </cell>
          <cell r="BY84">
            <v>1707.0436954687448</v>
          </cell>
          <cell r="BZ84">
            <v>843.56364387297208</v>
          </cell>
          <cell r="CA84">
            <v>1467.7295614807629</v>
          </cell>
          <cell r="CB84">
            <v>762.755690649592</v>
          </cell>
          <cell r="CC84">
            <v>1467.7295614807629</v>
          </cell>
          <cell r="CD84">
            <v>1327.1305413473519</v>
          </cell>
          <cell r="CE84">
            <v>887.12343682215874</v>
          </cell>
          <cell r="CF84">
            <v>887.12343682215874</v>
          </cell>
          <cell r="CG84">
            <v>887.12343682215874</v>
          </cell>
          <cell r="CH84">
            <v>1031.7694142523274</v>
          </cell>
          <cell r="CI84">
            <v>1795.1917213704276</v>
          </cell>
          <cell r="CJ84">
            <v>932.93256279506875</v>
          </cell>
          <cell r="CK84">
            <v>1085.0477440885795</v>
          </cell>
          <cell r="CL84">
            <v>1327.1305413473517</v>
          </cell>
          <cell r="CM84">
            <v>1199.9999999999995</v>
          </cell>
          <cell r="CN84">
            <v>1031.7694142523269</v>
          </cell>
          <cell r="CO84">
            <v>1141.0772510686097</v>
          </cell>
          <cell r="CP84">
            <v>1141.0772510686093</v>
          </cell>
          <cell r="CQ84">
            <v>1261.9653916081936</v>
          </cell>
          <cell r="CR84">
            <v>725.3026389361462</v>
          </cell>
          <cell r="CS84">
            <v>1085.0477440885795</v>
          </cell>
          <cell r="CT84">
            <v>887.12343682215874</v>
          </cell>
          <cell r="CU84">
            <v>1467.7295614807629</v>
          </cell>
          <cell r="CV84">
            <v>1623.2239395662309</v>
          </cell>
          <cell r="CW84">
            <v>1199.9999999999995</v>
          </cell>
          <cell r="CX84">
            <v>1327.1305413473517</v>
          </cell>
          <cell r="CY84">
            <v>2195.7132983174288</v>
          </cell>
        </row>
        <row r="85">
          <cell r="D85">
            <v>1431.2415710013781</v>
          </cell>
          <cell r="E85">
            <v>1294.1378648840334</v>
          </cell>
          <cell r="F85">
            <v>1170.167809026693</v>
          </cell>
          <cell r="G85">
            <v>1170.167809026693</v>
          </cell>
          <cell r="H85">
            <v>1360.9643312111427</v>
          </cell>
          <cell r="I85">
            <v>1170.1678090266928</v>
          </cell>
          <cell r="J85">
            <v>1294.1378648840334</v>
          </cell>
          <cell r="K85">
            <v>909.73971081296963</v>
          </cell>
          <cell r="L85">
            <v>1664.6063175329095</v>
          </cell>
          <cell r="M85">
            <v>1360.964331211143</v>
          </cell>
          <cell r="N85">
            <v>1112.7098890109644</v>
          </cell>
          <cell r="O85">
            <v>1582.870334101578</v>
          </cell>
          <cell r="P85">
            <v>1230.5927311380608</v>
          </cell>
          <cell r="Q85">
            <v>1170.1678090266928</v>
          </cell>
          <cell r="R85">
            <v>1582.870334101578</v>
          </cell>
          <cell r="S85">
            <v>1431.2415710013781</v>
          </cell>
          <cell r="T85">
            <v>1170.1678090266923</v>
          </cell>
          <cell r="U85">
            <v>865.06940700201301</v>
          </cell>
          <cell r="V85">
            <v>1360.964331211143</v>
          </cell>
          <cell r="W85">
            <v>1750.5629694824095</v>
          </cell>
          <cell r="X85">
            <v>1505.1477746955675</v>
          </cell>
          <cell r="Y85">
            <v>782.20134045631642</v>
          </cell>
          <cell r="Z85">
            <v>1058.0732844912411</v>
          </cell>
          <cell r="AA85">
            <v>956.7166920146791</v>
          </cell>
          <cell r="AB85">
            <v>956.71669201467887</v>
          </cell>
          <cell r="AC85">
            <v>956.71669201467864</v>
          </cell>
          <cell r="AD85">
            <v>1582.870334101578</v>
          </cell>
          <cell r="AE85">
            <v>1360.9643312111427</v>
          </cell>
          <cell r="AF85">
            <v>1230.5927311380608</v>
          </cell>
          <cell r="AG85">
            <v>1112.7098890109644</v>
          </cell>
          <cell r="AH85">
            <v>1006.119462413667</v>
          </cell>
          <cell r="AI85">
            <v>1112.7098890109644</v>
          </cell>
          <cell r="AJ85">
            <v>1112.7098890109639</v>
          </cell>
          <cell r="AK85">
            <v>1664.6063175329091</v>
          </cell>
          <cell r="AL85">
            <v>1170.1678090266935</v>
          </cell>
          <cell r="AM85">
            <v>1505.1477746955679</v>
          </cell>
          <cell r="AN85">
            <v>1230.5927311380613</v>
          </cell>
          <cell r="AO85">
            <v>1170.167809026693</v>
          </cell>
          <cell r="AP85">
            <v>1505.1477746955673</v>
          </cell>
          <cell r="AQ85">
            <v>1360.9643312111432</v>
          </cell>
          <cell r="AR85">
            <v>2141.1275162857337</v>
          </cell>
          <cell r="AS85">
            <v>1230.5927311380608</v>
          </cell>
          <cell r="AT85">
            <v>1230.592731138061</v>
          </cell>
          <cell r="AU85">
            <v>1230.5927311380608</v>
          </cell>
          <cell r="AV85">
            <v>1112.7098890109644</v>
          </cell>
          <cell r="AW85">
            <v>865.06940700201324</v>
          </cell>
          <cell r="AX85">
            <v>1294.1378648840334</v>
          </cell>
          <cell r="AY85">
            <v>1230.5927311380608</v>
          </cell>
          <cell r="AZ85">
            <v>1294.1378648840334</v>
          </cell>
          <cell r="BA85">
            <v>1112.7098890109644</v>
          </cell>
          <cell r="BB85">
            <v>1230.5927311380608</v>
          </cell>
          <cell r="BC85">
            <v>1582.870334101578</v>
          </cell>
          <cell r="BD85">
            <v>1360.9643312111432</v>
          </cell>
          <cell r="BE85">
            <v>1006.1194624136668</v>
          </cell>
          <cell r="BF85">
            <v>865.06940700201312</v>
          </cell>
          <cell r="BG85">
            <v>782.20134045631642</v>
          </cell>
          <cell r="BH85">
            <v>1230.5927311380608</v>
          </cell>
          <cell r="BI85">
            <v>1170.1678090266932</v>
          </cell>
          <cell r="BJ85">
            <v>1431.2415710013781</v>
          </cell>
          <cell r="BK85">
            <v>909.73971081296975</v>
          </cell>
          <cell r="BL85">
            <v>1112.7098890109644</v>
          </cell>
          <cell r="BM85">
            <v>1431.2415710013781</v>
          </cell>
          <cell r="BN85">
            <v>1360.9643312111432</v>
          </cell>
          <cell r="BO85">
            <v>1006.119462413667</v>
          </cell>
          <cell r="BP85">
            <v>909.73971081296975</v>
          </cell>
          <cell r="BQ85">
            <v>1170.167809026693</v>
          </cell>
          <cell r="BR85">
            <v>1840.9582360980603</v>
          </cell>
          <cell r="BS85">
            <v>1664.6063175329091</v>
          </cell>
          <cell r="BT85">
            <v>1230.5927311380608</v>
          </cell>
          <cell r="BU85">
            <v>1294.1378648840334</v>
          </cell>
          <cell r="BV85">
            <v>1058.0732844912411</v>
          </cell>
          <cell r="BW85">
            <v>1170.167809026693</v>
          </cell>
          <cell r="BX85">
            <v>1170.167809026693</v>
          </cell>
          <cell r="BY85">
            <v>1664.6063175329093</v>
          </cell>
          <cell r="BZ85">
            <v>822.59251743784137</v>
          </cell>
          <cell r="CA85">
            <v>1431.2415710013781</v>
          </cell>
          <cell r="CB85">
            <v>782.20134045631642</v>
          </cell>
          <cell r="CC85">
            <v>1431.2415710013781</v>
          </cell>
          <cell r="CD85">
            <v>1294.1378648840337</v>
          </cell>
          <cell r="CE85">
            <v>909.73971081296975</v>
          </cell>
          <cell r="CF85">
            <v>909.73971081296975</v>
          </cell>
          <cell r="CG85">
            <v>865.06940700201312</v>
          </cell>
          <cell r="CH85">
            <v>1006.1194624136672</v>
          </cell>
          <cell r="CI85">
            <v>1750.5629694824095</v>
          </cell>
          <cell r="CJ85">
            <v>956.71669201467876</v>
          </cell>
          <cell r="CK85">
            <v>1058.0732844912411</v>
          </cell>
          <cell r="CL85">
            <v>1294.1378648840334</v>
          </cell>
          <cell r="CM85">
            <v>1230.5927311380608</v>
          </cell>
          <cell r="CN85">
            <v>1006.1194624136668</v>
          </cell>
          <cell r="CO85">
            <v>1170.167809026693</v>
          </cell>
          <cell r="CP85">
            <v>1170.1678090266926</v>
          </cell>
          <cell r="CQ85">
            <v>1230.5927311380608</v>
          </cell>
          <cell r="CR85">
            <v>743.79346279172944</v>
          </cell>
          <cell r="CS85">
            <v>1112.7098890109644</v>
          </cell>
          <cell r="CT85">
            <v>909.73971081296975</v>
          </cell>
          <cell r="CU85">
            <v>1431.2415710013781</v>
          </cell>
          <cell r="CV85">
            <v>1664.6063175329095</v>
          </cell>
          <cell r="CW85">
            <v>1230.5927311380608</v>
          </cell>
          <cell r="CX85">
            <v>1360.9643312111427</v>
          </cell>
          <cell r="CY85">
            <v>2141.1275162857332</v>
          </cell>
        </row>
        <row r="86">
          <cell r="D86">
            <v>1395.6606777721711</v>
          </cell>
          <cell r="E86">
            <v>1327.1305413473517</v>
          </cell>
          <cell r="F86">
            <v>1199.9999999999995</v>
          </cell>
          <cell r="G86">
            <v>1199.9999999999995</v>
          </cell>
          <cell r="H86">
            <v>1327.1305413473517</v>
          </cell>
          <cell r="I86">
            <v>1199.9999999999993</v>
          </cell>
          <cell r="J86">
            <v>1261.9653916081936</v>
          </cell>
          <cell r="K86">
            <v>887.12343682215862</v>
          </cell>
          <cell r="L86">
            <v>1623.2239395662309</v>
          </cell>
          <cell r="M86">
            <v>1327.1305413473519</v>
          </cell>
          <cell r="N86">
            <v>1085.0477440885795</v>
          </cell>
          <cell r="O86">
            <v>1543.5199256908281</v>
          </cell>
          <cell r="P86">
            <v>1199.9999999999995</v>
          </cell>
          <cell r="Q86">
            <v>1199.9999999999993</v>
          </cell>
          <cell r="R86">
            <v>1623.2239395662305</v>
          </cell>
          <cell r="S86">
            <v>1395.6606777721711</v>
          </cell>
          <cell r="T86">
            <v>1141.077251068609</v>
          </cell>
          <cell r="U86">
            <v>843.56364387297208</v>
          </cell>
          <cell r="V86">
            <v>1327.1305413473519</v>
          </cell>
          <cell r="W86">
            <v>1795.1917213704276</v>
          </cell>
          <cell r="X86">
            <v>1543.5199256908281</v>
          </cell>
          <cell r="Y86">
            <v>762.755690649592</v>
          </cell>
          <cell r="Z86">
            <v>1031.7694142523274</v>
          </cell>
          <cell r="AA86">
            <v>932.93256279506897</v>
          </cell>
          <cell r="AB86">
            <v>981.10717245976264</v>
          </cell>
          <cell r="AC86">
            <v>981.10717245976241</v>
          </cell>
          <cell r="AD86">
            <v>1543.5199256908281</v>
          </cell>
          <cell r="AE86">
            <v>1395.6606777721711</v>
          </cell>
          <cell r="AF86">
            <v>1199.9999999999995</v>
          </cell>
          <cell r="AG86">
            <v>1141.0772510686097</v>
          </cell>
          <cell r="AH86">
            <v>1031.7694142523271</v>
          </cell>
          <cell r="AI86">
            <v>1141.0772510686097</v>
          </cell>
          <cell r="AJ86">
            <v>1141.0772510686093</v>
          </cell>
          <cell r="AK86">
            <v>1623.2239395662305</v>
          </cell>
          <cell r="AL86">
            <v>1141.0772510686099</v>
          </cell>
          <cell r="AM86">
            <v>1543.5199256908286</v>
          </cell>
          <cell r="AN86">
            <v>1200</v>
          </cell>
          <cell r="AO86">
            <v>1141.0772510686097</v>
          </cell>
          <cell r="AP86">
            <v>1467.7295614807626</v>
          </cell>
          <cell r="AQ86">
            <v>1327.1305413473522</v>
          </cell>
          <cell r="AR86">
            <v>2195.7132983174292</v>
          </cell>
          <cell r="AS86">
            <v>1199.9999999999995</v>
          </cell>
          <cell r="AT86">
            <v>1199.9999999999998</v>
          </cell>
          <cell r="AU86">
            <v>1261.9653916081936</v>
          </cell>
          <cell r="AV86">
            <v>1141.0772510686097</v>
          </cell>
          <cell r="AW86">
            <v>887.12343682215885</v>
          </cell>
          <cell r="AX86">
            <v>1261.9653916081936</v>
          </cell>
          <cell r="AY86">
            <v>1199.9999999999995</v>
          </cell>
          <cell r="AZ86">
            <v>1327.1305413473517</v>
          </cell>
          <cell r="BA86">
            <v>1085.0477440885795</v>
          </cell>
          <cell r="BB86">
            <v>1261.9653916081936</v>
          </cell>
          <cell r="BC86">
            <v>1623.2239395662305</v>
          </cell>
          <cell r="BD86">
            <v>1327.1305413473522</v>
          </cell>
          <cell r="BE86">
            <v>1031.7694142523269</v>
          </cell>
          <cell r="BF86">
            <v>843.56364387297219</v>
          </cell>
          <cell r="BG86">
            <v>762.755690649592</v>
          </cell>
          <cell r="BH86">
            <v>1199.9999999999995</v>
          </cell>
          <cell r="BI86">
            <v>1199.9999999999998</v>
          </cell>
          <cell r="BJ86">
            <v>1467.7295614807629</v>
          </cell>
          <cell r="BK86">
            <v>887.12343682215874</v>
          </cell>
          <cell r="BL86">
            <v>1141.0772510686097</v>
          </cell>
          <cell r="BM86">
            <v>1467.7295614807629</v>
          </cell>
          <cell r="BN86">
            <v>1395.6606777721715</v>
          </cell>
          <cell r="BO86">
            <v>981.10717245976264</v>
          </cell>
          <cell r="BP86">
            <v>887.12343682215874</v>
          </cell>
          <cell r="BQ86">
            <v>1141.0772510686097</v>
          </cell>
          <cell r="BR86">
            <v>1795.1917213704278</v>
          </cell>
          <cell r="BS86">
            <v>1707.0436954687445</v>
          </cell>
          <cell r="BT86">
            <v>1199.9999999999995</v>
          </cell>
          <cell r="BU86">
            <v>1327.1305413473517</v>
          </cell>
          <cell r="BV86">
            <v>1085.0477440885795</v>
          </cell>
          <cell r="BW86">
            <v>1199.9999999999995</v>
          </cell>
          <cell r="BX86">
            <v>1141.0772510686097</v>
          </cell>
          <cell r="BY86">
            <v>1623.2239395662307</v>
          </cell>
          <cell r="BZ86">
            <v>802.14273654332578</v>
          </cell>
          <cell r="CA86">
            <v>1395.6606777721711</v>
          </cell>
          <cell r="CB86">
            <v>802.14273654332578</v>
          </cell>
          <cell r="CC86">
            <v>1467.7295614807629</v>
          </cell>
          <cell r="CD86">
            <v>1261.9653916081938</v>
          </cell>
          <cell r="CE86">
            <v>932.93256279506875</v>
          </cell>
          <cell r="CF86">
            <v>887.12343682215874</v>
          </cell>
          <cell r="CG86">
            <v>887.12343682215874</v>
          </cell>
          <cell r="CH86">
            <v>981.10717245976286</v>
          </cell>
          <cell r="CI86">
            <v>1707.0436954687445</v>
          </cell>
          <cell r="CJ86">
            <v>981.10717245976252</v>
          </cell>
          <cell r="CK86">
            <v>1085.0477440885795</v>
          </cell>
          <cell r="CL86">
            <v>1261.9653916081936</v>
          </cell>
          <cell r="CM86">
            <v>1261.9653916081936</v>
          </cell>
          <cell r="CN86">
            <v>981.10717245976264</v>
          </cell>
          <cell r="CO86">
            <v>1199.9999999999995</v>
          </cell>
          <cell r="CP86">
            <v>1141.0772510686093</v>
          </cell>
          <cell r="CQ86">
            <v>1261.9653916081936</v>
          </cell>
          <cell r="CR86">
            <v>725.3026389361462</v>
          </cell>
          <cell r="CS86">
            <v>1141.0772510686097</v>
          </cell>
          <cell r="CT86">
            <v>932.93256279506875</v>
          </cell>
          <cell r="CU86">
            <v>1395.6606777721711</v>
          </cell>
          <cell r="CV86">
            <v>1623.2239395662309</v>
          </cell>
          <cell r="CW86">
            <v>1261.9653916081936</v>
          </cell>
          <cell r="CX86">
            <v>1327.1305413473517</v>
          </cell>
          <cell r="CY86">
            <v>2195.7132983174288</v>
          </cell>
        </row>
        <row r="87">
          <cell r="D87">
            <v>1431.2415710013781</v>
          </cell>
          <cell r="E87">
            <v>1360.9643312111427</v>
          </cell>
          <cell r="F87">
            <v>1230.5927311380608</v>
          </cell>
          <cell r="G87">
            <v>1230.5927311380608</v>
          </cell>
          <cell r="H87">
            <v>1360.9643312111427</v>
          </cell>
          <cell r="I87">
            <v>1230.5927311380606</v>
          </cell>
          <cell r="J87">
            <v>1294.1378648840334</v>
          </cell>
          <cell r="K87">
            <v>865.06940700201301</v>
          </cell>
          <cell r="L87">
            <v>1664.6063175329095</v>
          </cell>
          <cell r="M87">
            <v>1294.1378648840337</v>
          </cell>
          <cell r="N87">
            <v>1058.0732844912411</v>
          </cell>
          <cell r="O87">
            <v>1582.870334101578</v>
          </cell>
          <cell r="P87">
            <v>1170.167809026693</v>
          </cell>
          <cell r="Q87">
            <v>1170.1678090266928</v>
          </cell>
          <cell r="R87">
            <v>1664.6063175329091</v>
          </cell>
          <cell r="S87">
            <v>1431.2415710013781</v>
          </cell>
          <cell r="T87">
            <v>1170.1678090266923</v>
          </cell>
          <cell r="U87">
            <v>822.59251743784137</v>
          </cell>
          <cell r="V87">
            <v>1294.1378648840337</v>
          </cell>
          <cell r="W87">
            <v>1750.5629694824095</v>
          </cell>
          <cell r="X87">
            <v>1505.1477746955675</v>
          </cell>
          <cell r="Y87">
            <v>743.79346279172944</v>
          </cell>
          <cell r="Z87">
            <v>1058.0732844912411</v>
          </cell>
          <cell r="AA87">
            <v>909.73971081296986</v>
          </cell>
          <cell r="AB87">
            <v>956.71669201467887</v>
          </cell>
          <cell r="AC87">
            <v>1006.1194624136666</v>
          </cell>
          <cell r="AD87">
            <v>1505.1477746955675</v>
          </cell>
          <cell r="AE87">
            <v>1360.9643312111427</v>
          </cell>
          <cell r="AF87">
            <v>1170.167809026693</v>
          </cell>
          <cell r="AG87">
            <v>1170.167809026693</v>
          </cell>
          <cell r="AH87">
            <v>1006.119462413667</v>
          </cell>
          <cell r="AI87">
            <v>1170.167809026693</v>
          </cell>
          <cell r="AJ87">
            <v>1112.7098890109639</v>
          </cell>
          <cell r="AK87">
            <v>1582.870334101578</v>
          </cell>
          <cell r="AL87">
            <v>1112.7098890109644</v>
          </cell>
          <cell r="AM87">
            <v>1505.1477746955679</v>
          </cell>
          <cell r="AN87">
            <v>1170.1678090266935</v>
          </cell>
          <cell r="AO87">
            <v>1112.7098890109644</v>
          </cell>
          <cell r="AP87">
            <v>1431.2415710013779</v>
          </cell>
          <cell r="AQ87">
            <v>1294.1378648840339</v>
          </cell>
          <cell r="AR87">
            <v>2141.1275162857337</v>
          </cell>
          <cell r="AS87">
            <v>1230.5927311380608</v>
          </cell>
          <cell r="AT87">
            <v>1170.1678090266932</v>
          </cell>
          <cell r="AU87">
            <v>1230.5927311380608</v>
          </cell>
          <cell r="AV87">
            <v>1112.7098890109644</v>
          </cell>
          <cell r="AW87">
            <v>865.06940700201324</v>
          </cell>
          <cell r="AX87">
            <v>1294.1378648840334</v>
          </cell>
          <cell r="AY87">
            <v>1170.167809026693</v>
          </cell>
          <cell r="AZ87">
            <v>1294.1378648840334</v>
          </cell>
          <cell r="BA87">
            <v>1112.7098890109644</v>
          </cell>
          <cell r="BB87">
            <v>1294.1378648840334</v>
          </cell>
          <cell r="BC87">
            <v>1664.6063175329091</v>
          </cell>
          <cell r="BD87">
            <v>1294.1378648840339</v>
          </cell>
          <cell r="BE87">
            <v>1058.0732844912407</v>
          </cell>
          <cell r="BF87">
            <v>865.06940700201312</v>
          </cell>
          <cell r="BG87">
            <v>782.20134045631642</v>
          </cell>
          <cell r="BH87">
            <v>1170.167809026693</v>
          </cell>
          <cell r="BI87">
            <v>1230.592731138061</v>
          </cell>
          <cell r="BJ87">
            <v>1505.1477746955675</v>
          </cell>
          <cell r="BK87">
            <v>865.06940700201312</v>
          </cell>
          <cell r="BL87">
            <v>1112.7098890109644</v>
          </cell>
          <cell r="BM87">
            <v>1431.2415710013781</v>
          </cell>
          <cell r="BN87">
            <v>1431.2415710013786</v>
          </cell>
          <cell r="BO87">
            <v>956.71669201467887</v>
          </cell>
          <cell r="BP87">
            <v>909.73971081296975</v>
          </cell>
          <cell r="BQ87">
            <v>1112.7098890109644</v>
          </cell>
          <cell r="BR87">
            <v>1750.5629694824097</v>
          </cell>
          <cell r="BS87">
            <v>1750.5629694824095</v>
          </cell>
          <cell r="BT87">
            <v>1170.167809026693</v>
          </cell>
          <cell r="BU87">
            <v>1294.1378648840334</v>
          </cell>
          <cell r="BV87">
            <v>1058.0732844912411</v>
          </cell>
          <cell r="BW87">
            <v>1230.5927311380608</v>
          </cell>
          <cell r="BX87">
            <v>1112.7098890109644</v>
          </cell>
          <cell r="BY87">
            <v>1582.8703341015782</v>
          </cell>
          <cell r="BZ87">
            <v>822.59251743784137</v>
          </cell>
          <cell r="CA87">
            <v>1360.9643312111427</v>
          </cell>
          <cell r="CB87">
            <v>782.20134045631642</v>
          </cell>
          <cell r="CC87">
            <v>1431.2415710013781</v>
          </cell>
          <cell r="CD87">
            <v>1230.592731138061</v>
          </cell>
          <cell r="CE87">
            <v>956.71669201467876</v>
          </cell>
          <cell r="CF87">
            <v>909.73971081296975</v>
          </cell>
          <cell r="CG87">
            <v>865.06940700201312</v>
          </cell>
          <cell r="CH87">
            <v>956.7166920146791</v>
          </cell>
          <cell r="CI87">
            <v>1664.6063175329091</v>
          </cell>
          <cell r="CJ87">
            <v>956.71669201467876</v>
          </cell>
          <cell r="CK87">
            <v>1058.0732844912411</v>
          </cell>
          <cell r="CL87">
            <v>1230.5927311380608</v>
          </cell>
          <cell r="CM87">
            <v>1294.1378648840334</v>
          </cell>
          <cell r="CN87">
            <v>1006.1194624136668</v>
          </cell>
          <cell r="CO87">
            <v>1230.5927311380608</v>
          </cell>
          <cell r="CP87">
            <v>1170.1678090266926</v>
          </cell>
          <cell r="CQ87">
            <v>1294.1378648840334</v>
          </cell>
          <cell r="CR87">
            <v>743.79346279172944</v>
          </cell>
          <cell r="CS87">
            <v>1170.167809026693</v>
          </cell>
          <cell r="CT87">
            <v>909.73971081296975</v>
          </cell>
          <cell r="CU87">
            <v>1360.9643312111427</v>
          </cell>
          <cell r="CV87">
            <v>1582.8703341015785</v>
          </cell>
          <cell r="CW87">
            <v>1294.1378648840334</v>
          </cell>
          <cell r="CX87">
            <v>1294.1378648840334</v>
          </cell>
          <cell r="CY87">
            <v>2251.6906871438377</v>
          </cell>
        </row>
        <row r="88">
          <cell r="D88">
            <v>1467.7295614807629</v>
          </cell>
          <cell r="E88">
            <v>1395.6606777721711</v>
          </cell>
          <cell r="F88">
            <v>1199.9999999999995</v>
          </cell>
          <cell r="G88">
            <v>1261.9653916081936</v>
          </cell>
          <cell r="H88">
            <v>1327.1305413473517</v>
          </cell>
          <cell r="I88">
            <v>1199.9999999999993</v>
          </cell>
          <cell r="J88">
            <v>1261.9653916081936</v>
          </cell>
          <cell r="K88">
            <v>887.12343682215862</v>
          </cell>
          <cell r="L88">
            <v>1623.2239395662309</v>
          </cell>
          <cell r="M88">
            <v>1327.1305413473519</v>
          </cell>
          <cell r="N88">
            <v>1085.0477440885795</v>
          </cell>
          <cell r="O88">
            <v>1543.5199256908281</v>
          </cell>
          <cell r="P88">
            <v>1199.9999999999995</v>
          </cell>
          <cell r="Q88">
            <v>1199.9999999999993</v>
          </cell>
          <cell r="R88">
            <v>1707.0436954687445</v>
          </cell>
          <cell r="S88">
            <v>1395.6606777721711</v>
          </cell>
          <cell r="T88">
            <v>1199.9999999999989</v>
          </cell>
          <cell r="U88">
            <v>843.56364387297208</v>
          </cell>
          <cell r="V88">
            <v>1327.1305413473519</v>
          </cell>
          <cell r="W88">
            <v>1707.0436954687445</v>
          </cell>
          <cell r="X88">
            <v>1467.7295614807629</v>
          </cell>
          <cell r="Y88">
            <v>762.755690649592</v>
          </cell>
          <cell r="Z88">
            <v>1031.7694142523274</v>
          </cell>
          <cell r="AA88">
            <v>932.93256279506886</v>
          </cell>
          <cell r="AB88">
            <v>981.10717245976264</v>
          </cell>
          <cell r="AC88">
            <v>981.10717245976241</v>
          </cell>
          <cell r="AD88">
            <v>1543.5199256908281</v>
          </cell>
          <cell r="AE88">
            <v>1327.1305413473517</v>
          </cell>
          <cell r="AF88">
            <v>1141.0772510686097</v>
          </cell>
          <cell r="AG88">
            <v>1141.0772510686097</v>
          </cell>
          <cell r="AH88">
            <v>1031.7694142523271</v>
          </cell>
          <cell r="AI88">
            <v>1199.9999999999995</v>
          </cell>
          <cell r="AJ88">
            <v>1085.0477440885791</v>
          </cell>
          <cell r="AK88">
            <v>1623.2239395662305</v>
          </cell>
          <cell r="AL88">
            <v>1085.0477440885795</v>
          </cell>
          <cell r="AM88">
            <v>1543.5199256908286</v>
          </cell>
          <cell r="AN88">
            <v>1141.0772510686099</v>
          </cell>
          <cell r="AO88">
            <v>1141.0772510686097</v>
          </cell>
          <cell r="AP88">
            <v>1467.7295614807626</v>
          </cell>
          <cell r="AQ88">
            <v>1327.1305413473522</v>
          </cell>
          <cell r="AR88">
            <v>2195.7132983174292</v>
          </cell>
          <cell r="AS88">
            <v>1199.9999999999995</v>
          </cell>
          <cell r="AT88">
            <v>1199.9999999999998</v>
          </cell>
          <cell r="AU88">
            <v>1199.9999999999995</v>
          </cell>
          <cell r="AV88">
            <v>1141.0772510686097</v>
          </cell>
          <cell r="AW88">
            <v>843.56364387297231</v>
          </cell>
          <cell r="AX88">
            <v>1327.1305413473517</v>
          </cell>
          <cell r="AY88">
            <v>1141.0772510686097</v>
          </cell>
          <cell r="AZ88">
            <v>1261.9653916081936</v>
          </cell>
          <cell r="BA88">
            <v>1085.0477440885795</v>
          </cell>
          <cell r="BB88">
            <v>1327.1305413473517</v>
          </cell>
          <cell r="BC88">
            <v>1623.2239395662305</v>
          </cell>
          <cell r="BD88">
            <v>1327.1305413473522</v>
          </cell>
          <cell r="BE88">
            <v>1031.7694142523269</v>
          </cell>
          <cell r="BF88">
            <v>887.12343682215874</v>
          </cell>
          <cell r="BG88">
            <v>762.755690649592</v>
          </cell>
          <cell r="BH88">
            <v>1141.0772510686097</v>
          </cell>
          <cell r="BI88">
            <v>1261.9653916081938</v>
          </cell>
          <cell r="BJ88">
            <v>1467.7295614807629</v>
          </cell>
          <cell r="BK88">
            <v>843.56364387297219</v>
          </cell>
          <cell r="BL88">
            <v>1085.0477440885795</v>
          </cell>
          <cell r="BM88">
            <v>1467.7295614807629</v>
          </cell>
          <cell r="BN88">
            <v>1395.6606777721715</v>
          </cell>
          <cell r="BO88">
            <v>981.10717245976264</v>
          </cell>
          <cell r="BP88">
            <v>932.93256279506875</v>
          </cell>
          <cell r="BQ88">
            <v>1085.0477440885795</v>
          </cell>
          <cell r="BR88">
            <v>1795.1917213704278</v>
          </cell>
          <cell r="BS88">
            <v>1707.0436954687445</v>
          </cell>
          <cell r="BT88">
            <v>1141.0772510686097</v>
          </cell>
          <cell r="BU88">
            <v>1327.1305413473517</v>
          </cell>
          <cell r="BV88">
            <v>1085.0477440885795</v>
          </cell>
          <cell r="BW88">
            <v>1199.9999999999995</v>
          </cell>
          <cell r="BX88">
            <v>1085.0477440885795</v>
          </cell>
          <cell r="BY88">
            <v>1623.2239395662307</v>
          </cell>
          <cell r="BZ88">
            <v>843.56364387297208</v>
          </cell>
          <cell r="CA88">
            <v>1327.1305413473517</v>
          </cell>
          <cell r="CB88">
            <v>762.755690649592</v>
          </cell>
          <cell r="CC88">
            <v>1467.7295614807629</v>
          </cell>
          <cell r="CD88">
            <v>1261.9653916081938</v>
          </cell>
          <cell r="CE88">
            <v>981.10717245976252</v>
          </cell>
          <cell r="CF88">
            <v>887.12343682215874</v>
          </cell>
          <cell r="CG88">
            <v>887.12343682215874</v>
          </cell>
          <cell r="CH88">
            <v>932.93256279506897</v>
          </cell>
          <cell r="CI88">
            <v>1623.2239395662305</v>
          </cell>
          <cell r="CJ88">
            <v>981.10717245976252</v>
          </cell>
          <cell r="CK88">
            <v>1031.7694142523274</v>
          </cell>
          <cell r="CL88">
            <v>1261.9653916081936</v>
          </cell>
          <cell r="CM88">
            <v>1261.9653916081936</v>
          </cell>
          <cell r="CN88">
            <v>981.10717245976264</v>
          </cell>
          <cell r="CO88">
            <v>1199.9999999999995</v>
          </cell>
          <cell r="CP88">
            <v>1141.0772510686093</v>
          </cell>
          <cell r="CQ88">
            <v>1327.1305413473517</v>
          </cell>
          <cell r="CR88">
            <v>725.3026389361462</v>
          </cell>
          <cell r="CS88">
            <v>1199.9999999999995</v>
          </cell>
          <cell r="CT88">
            <v>932.93256279506875</v>
          </cell>
          <cell r="CU88">
            <v>1395.6606777721711</v>
          </cell>
          <cell r="CV88">
            <v>1623.2239395662309</v>
          </cell>
          <cell r="CW88">
            <v>1327.1305413473517</v>
          </cell>
          <cell r="CX88">
            <v>1327.1305413473517</v>
          </cell>
          <cell r="CY88">
            <v>2195.7132983174288</v>
          </cell>
        </row>
        <row r="89">
          <cell r="D89">
            <v>1505.1477746955675</v>
          </cell>
          <cell r="E89">
            <v>1360.9643312111427</v>
          </cell>
          <cell r="F89">
            <v>1170.167809026693</v>
          </cell>
          <cell r="G89">
            <v>1230.5927311380608</v>
          </cell>
          <cell r="H89">
            <v>1360.9643312111427</v>
          </cell>
          <cell r="I89">
            <v>1170.1678090266928</v>
          </cell>
          <cell r="J89">
            <v>1230.5927311380608</v>
          </cell>
          <cell r="K89">
            <v>865.06940700201301</v>
          </cell>
          <cell r="L89">
            <v>1582.8703341015785</v>
          </cell>
          <cell r="M89">
            <v>1360.964331211143</v>
          </cell>
          <cell r="N89">
            <v>1058.0732844912411</v>
          </cell>
          <cell r="O89">
            <v>1582.870334101578</v>
          </cell>
          <cell r="P89">
            <v>1230.5927311380608</v>
          </cell>
          <cell r="Q89">
            <v>1170.1678090266928</v>
          </cell>
          <cell r="R89">
            <v>1750.5629694824095</v>
          </cell>
          <cell r="S89">
            <v>1431.2415710013781</v>
          </cell>
          <cell r="T89">
            <v>1170.1678090266923</v>
          </cell>
          <cell r="U89">
            <v>865.06940700201301</v>
          </cell>
          <cell r="V89">
            <v>1360.964331211143</v>
          </cell>
          <cell r="W89">
            <v>1664.6063175329091</v>
          </cell>
          <cell r="X89">
            <v>1431.2415710013781</v>
          </cell>
          <cell r="Y89">
            <v>782.20134045631642</v>
          </cell>
          <cell r="Z89">
            <v>1058.0732844912411</v>
          </cell>
          <cell r="AA89">
            <v>956.71669201467887</v>
          </cell>
          <cell r="AB89">
            <v>1006.1194624136668</v>
          </cell>
          <cell r="AC89">
            <v>956.71669201467864</v>
          </cell>
          <cell r="AD89">
            <v>1505.1477746955675</v>
          </cell>
          <cell r="AE89">
            <v>1360.9643312111427</v>
          </cell>
          <cell r="AF89">
            <v>1112.7098890109644</v>
          </cell>
          <cell r="AG89">
            <v>1112.7098890109644</v>
          </cell>
          <cell r="AH89">
            <v>1006.119462413667</v>
          </cell>
          <cell r="AI89">
            <v>1230.5927311380608</v>
          </cell>
          <cell r="AJ89">
            <v>1058.0732844912407</v>
          </cell>
          <cell r="AK89">
            <v>1582.870334101578</v>
          </cell>
          <cell r="AL89">
            <v>1112.7098890109644</v>
          </cell>
          <cell r="AM89">
            <v>1582.8703341015785</v>
          </cell>
          <cell r="AN89">
            <v>1112.7098890109644</v>
          </cell>
          <cell r="AO89">
            <v>1112.7098890109644</v>
          </cell>
          <cell r="AP89">
            <v>1505.1477746955673</v>
          </cell>
          <cell r="AQ89">
            <v>1294.1378648840339</v>
          </cell>
          <cell r="AR89">
            <v>2141.1275162857337</v>
          </cell>
          <cell r="AS89">
            <v>1170.167809026693</v>
          </cell>
          <cell r="AT89">
            <v>1170.1678090266932</v>
          </cell>
          <cell r="AU89">
            <v>1170.167809026693</v>
          </cell>
          <cell r="AV89">
            <v>1170.167809026693</v>
          </cell>
          <cell r="AW89">
            <v>865.06940700201324</v>
          </cell>
          <cell r="AX89">
            <v>1294.1378648840334</v>
          </cell>
          <cell r="AY89">
            <v>1170.167809026693</v>
          </cell>
          <cell r="AZ89">
            <v>1230.5927311380608</v>
          </cell>
          <cell r="BA89">
            <v>1058.0732844912411</v>
          </cell>
          <cell r="BB89">
            <v>1294.1378648840334</v>
          </cell>
          <cell r="BC89">
            <v>1664.6063175329091</v>
          </cell>
          <cell r="BD89">
            <v>1360.9643312111432</v>
          </cell>
          <cell r="BE89">
            <v>1058.0732844912407</v>
          </cell>
          <cell r="BF89">
            <v>909.73971081296975</v>
          </cell>
          <cell r="BG89">
            <v>743.79346279172944</v>
          </cell>
          <cell r="BH89">
            <v>1170.167809026693</v>
          </cell>
          <cell r="BI89">
            <v>1294.1378648840337</v>
          </cell>
          <cell r="BJ89">
            <v>1505.1477746955675</v>
          </cell>
          <cell r="BK89">
            <v>822.59251743784137</v>
          </cell>
          <cell r="BL89">
            <v>1058.0732844912411</v>
          </cell>
          <cell r="BM89">
            <v>1505.1477746955675</v>
          </cell>
          <cell r="BN89">
            <v>1431.2415710013786</v>
          </cell>
          <cell r="BO89">
            <v>1006.1194624136668</v>
          </cell>
          <cell r="BP89">
            <v>956.71669201467876</v>
          </cell>
          <cell r="BQ89">
            <v>1058.0732844912411</v>
          </cell>
          <cell r="BR89">
            <v>1840.9582360980603</v>
          </cell>
          <cell r="BS89">
            <v>1664.6063175329091</v>
          </cell>
          <cell r="BT89">
            <v>1112.7098890109644</v>
          </cell>
          <cell r="BU89">
            <v>1360.9643312111427</v>
          </cell>
          <cell r="BV89">
            <v>1058.0732844912411</v>
          </cell>
          <cell r="BW89">
            <v>1230.5927311380608</v>
          </cell>
          <cell r="BX89">
            <v>1112.7098890109644</v>
          </cell>
          <cell r="BY89">
            <v>1582.8703341015782</v>
          </cell>
          <cell r="BZ89">
            <v>822.59251743784137</v>
          </cell>
          <cell r="CA89">
            <v>1294.1378648840334</v>
          </cell>
          <cell r="CB89">
            <v>782.20134045631642</v>
          </cell>
          <cell r="CC89">
            <v>1505.1477746955675</v>
          </cell>
          <cell r="CD89">
            <v>1230.592731138061</v>
          </cell>
          <cell r="CE89">
            <v>956.71669201467876</v>
          </cell>
          <cell r="CF89">
            <v>909.73971081296975</v>
          </cell>
          <cell r="CG89">
            <v>865.06940700201312</v>
          </cell>
          <cell r="CH89">
            <v>909.73971081296986</v>
          </cell>
          <cell r="CI89">
            <v>1582.870334101578</v>
          </cell>
          <cell r="CJ89">
            <v>956.71669201467876</v>
          </cell>
          <cell r="CK89">
            <v>1058.0732844912411</v>
          </cell>
          <cell r="CL89">
            <v>1230.5927311380608</v>
          </cell>
          <cell r="CM89">
            <v>1230.5927311380608</v>
          </cell>
          <cell r="CN89">
            <v>956.71669201467887</v>
          </cell>
          <cell r="CO89">
            <v>1170.167809026693</v>
          </cell>
          <cell r="CP89">
            <v>1112.7098890109639</v>
          </cell>
          <cell r="CQ89">
            <v>1294.1378648840334</v>
          </cell>
          <cell r="CR89">
            <v>743.79346279172944</v>
          </cell>
          <cell r="CS89">
            <v>1170.167809026693</v>
          </cell>
          <cell r="CT89">
            <v>956.71669201467876</v>
          </cell>
          <cell r="CU89">
            <v>1431.2415710013781</v>
          </cell>
          <cell r="CV89">
            <v>1582.8703341015785</v>
          </cell>
          <cell r="CW89">
            <v>1294.1378648840334</v>
          </cell>
          <cell r="CX89">
            <v>1294.1378648840334</v>
          </cell>
          <cell r="CY89">
            <v>2141.1275162857332</v>
          </cell>
        </row>
        <row r="90">
          <cell r="D90">
            <v>1543.5199256908281</v>
          </cell>
          <cell r="E90">
            <v>1395.6606777721711</v>
          </cell>
          <cell r="F90">
            <v>1141.0772510686097</v>
          </cell>
          <cell r="G90">
            <v>1199.9999999999995</v>
          </cell>
          <cell r="H90">
            <v>1327.1305413473517</v>
          </cell>
          <cell r="I90">
            <v>1141.0772510686095</v>
          </cell>
          <cell r="J90">
            <v>1199.9999999999995</v>
          </cell>
          <cell r="K90">
            <v>843.56364387297208</v>
          </cell>
          <cell r="L90">
            <v>1623.2239395662309</v>
          </cell>
          <cell r="M90">
            <v>1327.1305413473519</v>
          </cell>
          <cell r="N90">
            <v>1085.0477440885795</v>
          </cell>
          <cell r="O90">
            <v>1543.5199256908281</v>
          </cell>
          <cell r="P90">
            <v>1199.9999999999995</v>
          </cell>
          <cell r="Q90">
            <v>1199.9999999999993</v>
          </cell>
          <cell r="R90">
            <v>1707.0436954687445</v>
          </cell>
          <cell r="S90">
            <v>1467.7295614807629</v>
          </cell>
          <cell r="T90">
            <v>1141.077251068609</v>
          </cell>
          <cell r="U90">
            <v>887.12343682215862</v>
          </cell>
          <cell r="V90">
            <v>1327.1305413473519</v>
          </cell>
          <cell r="W90">
            <v>1707.0436954687445</v>
          </cell>
          <cell r="X90">
            <v>1467.7295614807629</v>
          </cell>
          <cell r="Y90">
            <v>802.14273654332578</v>
          </cell>
          <cell r="Z90">
            <v>1031.7694142523274</v>
          </cell>
          <cell r="AA90">
            <v>932.93256279506875</v>
          </cell>
          <cell r="AB90">
            <v>1031.7694142523269</v>
          </cell>
          <cell r="AC90">
            <v>932.93256279506863</v>
          </cell>
          <cell r="AD90">
            <v>1467.7295614807629</v>
          </cell>
          <cell r="AE90">
            <v>1395.6606777721711</v>
          </cell>
          <cell r="AF90">
            <v>1141.0772510686097</v>
          </cell>
          <cell r="AG90">
            <v>1085.0477440885795</v>
          </cell>
          <cell r="AH90">
            <v>981.10717245976264</v>
          </cell>
          <cell r="AI90">
            <v>1261.9653916081936</v>
          </cell>
          <cell r="AJ90">
            <v>1085.0477440885791</v>
          </cell>
          <cell r="AK90">
            <v>1623.2239395662305</v>
          </cell>
          <cell r="AL90">
            <v>1085.0477440885795</v>
          </cell>
          <cell r="AM90">
            <v>1543.5199256908286</v>
          </cell>
          <cell r="AN90">
            <v>1085.0477440885795</v>
          </cell>
          <cell r="AO90">
            <v>1085.0477440885795</v>
          </cell>
          <cell r="AP90">
            <v>1543.5199256908279</v>
          </cell>
          <cell r="AQ90">
            <v>1327.1305413473522</v>
          </cell>
          <cell r="AR90">
            <v>2087.8987454823691</v>
          </cell>
          <cell r="AS90">
            <v>1199.9999999999995</v>
          </cell>
          <cell r="AT90">
            <v>1199.9999999999998</v>
          </cell>
          <cell r="AU90">
            <v>1199.9999999999995</v>
          </cell>
          <cell r="AV90">
            <v>1199.9999999999995</v>
          </cell>
          <cell r="AW90">
            <v>843.56364387297231</v>
          </cell>
          <cell r="AX90">
            <v>1327.1305413473517</v>
          </cell>
          <cell r="AY90">
            <v>1141.0772510686097</v>
          </cell>
          <cell r="AZ90">
            <v>1261.9653916081936</v>
          </cell>
          <cell r="BA90">
            <v>1031.7694142523274</v>
          </cell>
          <cell r="BB90">
            <v>1261.9653916081936</v>
          </cell>
          <cell r="BC90">
            <v>1707.0436954687445</v>
          </cell>
          <cell r="BD90">
            <v>1327.1305413473522</v>
          </cell>
          <cell r="BE90">
            <v>1085.0477440885791</v>
          </cell>
          <cell r="BF90">
            <v>932.93256279506875</v>
          </cell>
          <cell r="BG90">
            <v>725.3026389361462</v>
          </cell>
          <cell r="BH90">
            <v>1141.0772510686097</v>
          </cell>
          <cell r="BI90">
            <v>1261.9653916081938</v>
          </cell>
          <cell r="BJ90">
            <v>1467.7295614807629</v>
          </cell>
          <cell r="BK90">
            <v>843.56364387297208</v>
          </cell>
          <cell r="BL90">
            <v>1085.0477440885795</v>
          </cell>
          <cell r="BM90">
            <v>1467.7295614807629</v>
          </cell>
          <cell r="BN90">
            <v>1395.6606777721715</v>
          </cell>
          <cell r="BO90">
            <v>1031.7694142523269</v>
          </cell>
          <cell r="BP90">
            <v>932.93256279506875</v>
          </cell>
          <cell r="BQ90">
            <v>1031.7694142523274</v>
          </cell>
          <cell r="BR90">
            <v>1795.1917213704278</v>
          </cell>
          <cell r="BS90">
            <v>1707.0436954687445</v>
          </cell>
          <cell r="BT90">
            <v>1085.0477440885795</v>
          </cell>
          <cell r="BU90">
            <v>1395.6606777721711</v>
          </cell>
          <cell r="BV90">
            <v>1085.0477440885795</v>
          </cell>
          <cell r="BW90">
            <v>1261.9653916081936</v>
          </cell>
          <cell r="BX90">
            <v>1141.0772510686097</v>
          </cell>
          <cell r="BY90">
            <v>1623.2239395662307</v>
          </cell>
          <cell r="BZ90">
            <v>802.14273654332578</v>
          </cell>
          <cell r="CA90">
            <v>1327.1305413473517</v>
          </cell>
          <cell r="CB90">
            <v>802.14273654332578</v>
          </cell>
          <cell r="CC90">
            <v>1543.5199256908281</v>
          </cell>
          <cell r="CD90">
            <v>1261.9653916081938</v>
          </cell>
          <cell r="CE90">
            <v>932.93256279506875</v>
          </cell>
          <cell r="CF90">
            <v>887.12343682215874</v>
          </cell>
          <cell r="CG90">
            <v>887.12343682215874</v>
          </cell>
          <cell r="CH90">
            <v>887.12343682215885</v>
          </cell>
          <cell r="CI90">
            <v>1623.2239395662305</v>
          </cell>
          <cell r="CJ90">
            <v>932.93256279506875</v>
          </cell>
          <cell r="CK90">
            <v>1031.7694142523274</v>
          </cell>
          <cell r="CL90">
            <v>1261.9653916081936</v>
          </cell>
          <cell r="CM90">
            <v>1261.9653916081936</v>
          </cell>
          <cell r="CN90">
            <v>981.10717245976264</v>
          </cell>
          <cell r="CO90">
            <v>1141.0772510686097</v>
          </cell>
          <cell r="CP90">
            <v>1141.0772510686093</v>
          </cell>
          <cell r="CQ90">
            <v>1261.9653916081936</v>
          </cell>
          <cell r="CR90">
            <v>762.755690649592</v>
          </cell>
          <cell r="CS90">
            <v>1141.0772510686097</v>
          </cell>
          <cell r="CT90">
            <v>981.10717245976252</v>
          </cell>
          <cell r="CU90">
            <v>1395.6606777721711</v>
          </cell>
          <cell r="CV90">
            <v>1623.2239395662309</v>
          </cell>
          <cell r="CW90">
            <v>1327.1305413473517</v>
          </cell>
          <cell r="CX90">
            <v>1327.1305413473517</v>
          </cell>
          <cell r="CY90">
            <v>2087.8987454823687</v>
          </cell>
        </row>
        <row r="91">
          <cell r="D91">
            <v>1582.870334101578</v>
          </cell>
          <cell r="E91">
            <v>1360.9643312111427</v>
          </cell>
          <cell r="F91">
            <v>1170.167809026693</v>
          </cell>
          <cell r="G91">
            <v>1230.5927311380608</v>
          </cell>
          <cell r="H91">
            <v>1360.9643312111427</v>
          </cell>
          <cell r="I91">
            <v>1170.1678090266928</v>
          </cell>
          <cell r="J91">
            <v>1230.5927311380608</v>
          </cell>
          <cell r="K91">
            <v>865.06940700201301</v>
          </cell>
          <cell r="L91">
            <v>1664.6063175329095</v>
          </cell>
          <cell r="M91">
            <v>1294.1378648840337</v>
          </cell>
          <cell r="N91">
            <v>1058.0732844912411</v>
          </cell>
          <cell r="O91">
            <v>1505.1477746955675</v>
          </cell>
          <cell r="P91">
            <v>1230.5927311380608</v>
          </cell>
          <cell r="Q91">
            <v>1170.1678090266928</v>
          </cell>
          <cell r="R91">
            <v>1664.6063175329091</v>
          </cell>
          <cell r="S91">
            <v>1505.1477746955675</v>
          </cell>
          <cell r="T91">
            <v>1170.1678090266923</v>
          </cell>
          <cell r="U91">
            <v>865.06940700201301</v>
          </cell>
          <cell r="V91">
            <v>1360.964331211143</v>
          </cell>
          <cell r="W91">
            <v>1750.5629694824095</v>
          </cell>
          <cell r="X91">
            <v>1505.1477746955675</v>
          </cell>
          <cell r="Y91">
            <v>782.20134045631642</v>
          </cell>
          <cell r="Z91">
            <v>1058.0732844912411</v>
          </cell>
          <cell r="AA91">
            <v>956.71669201467876</v>
          </cell>
          <cell r="AB91">
            <v>1058.0732844912407</v>
          </cell>
          <cell r="AC91">
            <v>956.71669201467864</v>
          </cell>
          <cell r="AD91">
            <v>1431.2415710013781</v>
          </cell>
          <cell r="AE91">
            <v>1431.2415710013781</v>
          </cell>
          <cell r="AF91">
            <v>1170.167809026693</v>
          </cell>
          <cell r="AG91">
            <v>1112.7098890109644</v>
          </cell>
          <cell r="AH91">
            <v>1006.1194624136668</v>
          </cell>
          <cell r="AI91">
            <v>1294.1378648840334</v>
          </cell>
          <cell r="AJ91">
            <v>1058.0732844912407</v>
          </cell>
          <cell r="AK91">
            <v>1582.870334101578</v>
          </cell>
          <cell r="AL91">
            <v>1058.0732844912411</v>
          </cell>
          <cell r="AM91">
            <v>1582.8703341015785</v>
          </cell>
          <cell r="AN91">
            <v>1112.7098890109644</v>
          </cell>
          <cell r="AO91">
            <v>1058.0732844912411</v>
          </cell>
          <cell r="AP91">
            <v>1582.8703341015778</v>
          </cell>
          <cell r="AQ91">
            <v>1294.1378648840339</v>
          </cell>
          <cell r="AR91">
            <v>2035.993250392238</v>
          </cell>
          <cell r="AS91">
            <v>1170.167809026693</v>
          </cell>
          <cell r="AT91">
            <v>1170.1678090266932</v>
          </cell>
          <cell r="AU91">
            <v>1230.5927311380608</v>
          </cell>
          <cell r="AV91">
            <v>1230.5927311380608</v>
          </cell>
          <cell r="AW91">
            <v>822.59251743784148</v>
          </cell>
          <cell r="AX91">
            <v>1294.1378648840334</v>
          </cell>
          <cell r="AY91">
            <v>1170.167809026693</v>
          </cell>
          <cell r="AZ91">
            <v>1294.1378648840334</v>
          </cell>
          <cell r="BA91">
            <v>1006.1194624136672</v>
          </cell>
          <cell r="BB91">
            <v>1230.5927311380608</v>
          </cell>
          <cell r="BC91">
            <v>1750.5629694824095</v>
          </cell>
          <cell r="BD91">
            <v>1294.1378648840339</v>
          </cell>
          <cell r="BE91">
            <v>1058.0732844912407</v>
          </cell>
          <cell r="BF91">
            <v>909.73971081296975</v>
          </cell>
          <cell r="BG91">
            <v>707.27149990432417</v>
          </cell>
          <cell r="BH91">
            <v>1112.7098890109644</v>
          </cell>
          <cell r="BI91">
            <v>1230.592731138061</v>
          </cell>
          <cell r="BJ91">
            <v>1431.2415710013781</v>
          </cell>
          <cell r="BK91">
            <v>865.06940700201301</v>
          </cell>
          <cell r="BL91">
            <v>1058.0732844912411</v>
          </cell>
          <cell r="BM91">
            <v>1505.1477746955675</v>
          </cell>
          <cell r="BN91">
            <v>1431.2415710013786</v>
          </cell>
          <cell r="BO91">
            <v>1058.0732844912407</v>
          </cell>
          <cell r="BP91">
            <v>909.73971081296975</v>
          </cell>
          <cell r="BQ91">
            <v>1006.1194624136672</v>
          </cell>
          <cell r="BR91">
            <v>1840.9582360980603</v>
          </cell>
          <cell r="BS91">
            <v>1664.6063175329091</v>
          </cell>
          <cell r="BT91">
            <v>1112.7098890109644</v>
          </cell>
          <cell r="BU91">
            <v>1360.9643312111427</v>
          </cell>
          <cell r="BV91">
            <v>1058.0732844912411</v>
          </cell>
          <cell r="BW91">
            <v>1294.1378648840334</v>
          </cell>
          <cell r="BX91">
            <v>1112.7098890109644</v>
          </cell>
          <cell r="BY91">
            <v>1664.6063175329093</v>
          </cell>
          <cell r="BZ91">
            <v>782.20134045631642</v>
          </cell>
          <cell r="CA91">
            <v>1360.9643312111427</v>
          </cell>
          <cell r="CB91">
            <v>822.59251743784137</v>
          </cell>
          <cell r="CC91">
            <v>1505.1477746955675</v>
          </cell>
          <cell r="CD91">
            <v>1294.1378648840337</v>
          </cell>
          <cell r="CE91">
            <v>909.73971081296975</v>
          </cell>
          <cell r="CF91">
            <v>865.06940700201312</v>
          </cell>
          <cell r="CG91">
            <v>865.06940700201312</v>
          </cell>
          <cell r="CH91">
            <v>865.06940700201324</v>
          </cell>
          <cell r="CI91">
            <v>1582.870334101578</v>
          </cell>
          <cell r="CJ91">
            <v>956.71669201467876</v>
          </cell>
          <cell r="CK91">
            <v>1058.0732844912411</v>
          </cell>
          <cell r="CL91">
            <v>1230.5927311380608</v>
          </cell>
          <cell r="CM91">
            <v>1294.1378648840334</v>
          </cell>
          <cell r="CN91">
            <v>956.71669201467887</v>
          </cell>
          <cell r="CO91">
            <v>1112.7098890109644</v>
          </cell>
          <cell r="CP91">
            <v>1112.7098890109639</v>
          </cell>
          <cell r="CQ91">
            <v>1294.1378648840334</v>
          </cell>
          <cell r="CR91">
            <v>782.20134045631642</v>
          </cell>
          <cell r="CS91">
            <v>1170.167809026693</v>
          </cell>
          <cell r="CT91">
            <v>956.71669201467876</v>
          </cell>
          <cell r="CU91">
            <v>1360.9643312111427</v>
          </cell>
          <cell r="CV91">
            <v>1664.6063175329095</v>
          </cell>
          <cell r="CW91">
            <v>1294.1378648840334</v>
          </cell>
          <cell r="CX91">
            <v>1294.1378648840334</v>
          </cell>
          <cell r="CY91">
            <v>2035.9932503922375</v>
          </cell>
        </row>
        <row r="92">
          <cell r="D92">
            <v>1543.5199256908281</v>
          </cell>
          <cell r="E92">
            <v>1395.6606777721711</v>
          </cell>
          <cell r="F92">
            <v>1141.0772510686097</v>
          </cell>
          <cell r="G92">
            <v>1199.9999999999995</v>
          </cell>
          <cell r="H92">
            <v>1327.1305413473517</v>
          </cell>
          <cell r="I92">
            <v>1199.9999999999993</v>
          </cell>
          <cell r="J92">
            <v>1199.9999999999995</v>
          </cell>
          <cell r="K92">
            <v>843.56364387297208</v>
          </cell>
          <cell r="L92">
            <v>1623.2239395662309</v>
          </cell>
          <cell r="M92">
            <v>1261.9653916081938</v>
          </cell>
          <cell r="N92">
            <v>1031.7694142523274</v>
          </cell>
          <cell r="O92">
            <v>1467.7295614807629</v>
          </cell>
          <cell r="P92">
            <v>1261.9653916081936</v>
          </cell>
          <cell r="Q92">
            <v>1199.9999999999993</v>
          </cell>
          <cell r="R92">
            <v>1707.0436954687445</v>
          </cell>
          <cell r="S92">
            <v>1467.7295614807629</v>
          </cell>
          <cell r="T92">
            <v>1199.9999999999989</v>
          </cell>
          <cell r="U92">
            <v>843.56364387297208</v>
          </cell>
          <cell r="V92">
            <v>1395.6606777721713</v>
          </cell>
          <cell r="W92">
            <v>1795.1917213704276</v>
          </cell>
          <cell r="X92">
            <v>1467.7295614807629</v>
          </cell>
          <cell r="Y92">
            <v>762.755690649592</v>
          </cell>
          <cell r="Z92">
            <v>1031.7694142523274</v>
          </cell>
          <cell r="AA92">
            <v>981.10717245976252</v>
          </cell>
          <cell r="AB92">
            <v>1085.0477440885791</v>
          </cell>
          <cell r="AC92">
            <v>932.93256279506863</v>
          </cell>
          <cell r="AD92">
            <v>1395.6606777721711</v>
          </cell>
          <cell r="AE92">
            <v>1467.7295614807629</v>
          </cell>
          <cell r="AF92">
            <v>1199.9999999999995</v>
          </cell>
          <cell r="AG92">
            <v>1141.0772510686097</v>
          </cell>
          <cell r="AH92">
            <v>1031.7694142523269</v>
          </cell>
          <cell r="AI92">
            <v>1327.1305413473517</v>
          </cell>
          <cell r="AJ92">
            <v>1031.7694142523269</v>
          </cell>
          <cell r="AK92">
            <v>1543.5199256908281</v>
          </cell>
          <cell r="AL92">
            <v>1031.7694142523274</v>
          </cell>
          <cell r="AM92">
            <v>1543.5199256908286</v>
          </cell>
          <cell r="AN92">
            <v>1085.0477440885795</v>
          </cell>
          <cell r="AO92">
            <v>1085.0477440885795</v>
          </cell>
          <cell r="AP92">
            <v>1543.5199256908279</v>
          </cell>
          <cell r="AQ92">
            <v>1261.9653916081941</v>
          </cell>
          <cell r="AR92">
            <v>1985.3781341705176</v>
          </cell>
          <cell r="AS92">
            <v>1141.0772510686097</v>
          </cell>
          <cell r="AT92">
            <v>1141.0772510686097</v>
          </cell>
          <cell r="AU92">
            <v>1199.9999999999995</v>
          </cell>
          <cell r="AV92">
            <v>1199.9999999999995</v>
          </cell>
          <cell r="AW92">
            <v>802.1427365433259</v>
          </cell>
          <cell r="AX92">
            <v>1327.1305413473517</v>
          </cell>
          <cell r="AY92">
            <v>1199.9999999999995</v>
          </cell>
          <cell r="AZ92">
            <v>1327.1305413473517</v>
          </cell>
          <cell r="BA92">
            <v>1031.7694142523274</v>
          </cell>
          <cell r="BB92">
            <v>1261.9653916081936</v>
          </cell>
          <cell r="BC92">
            <v>1795.1917213704276</v>
          </cell>
          <cell r="BD92">
            <v>1261.9653916081941</v>
          </cell>
          <cell r="BE92">
            <v>1031.7694142523269</v>
          </cell>
          <cell r="BF92">
            <v>932.93256279506875</v>
          </cell>
          <cell r="BG92">
            <v>689.68861785838851</v>
          </cell>
          <cell r="BH92">
            <v>1085.0477440885795</v>
          </cell>
          <cell r="BI92">
            <v>1261.9653916081938</v>
          </cell>
          <cell r="BJ92">
            <v>1395.6606777721711</v>
          </cell>
          <cell r="BK92">
            <v>887.12343682215862</v>
          </cell>
          <cell r="BL92">
            <v>1085.0477440885795</v>
          </cell>
          <cell r="BM92">
            <v>1467.7295614807629</v>
          </cell>
          <cell r="BN92">
            <v>1467.7295614807633</v>
          </cell>
          <cell r="BO92">
            <v>1031.7694142523269</v>
          </cell>
          <cell r="BP92">
            <v>932.93256279506875</v>
          </cell>
          <cell r="BQ92">
            <v>981.10717245976286</v>
          </cell>
          <cell r="BR92">
            <v>1795.1917213704278</v>
          </cell>
          <cell r="BS92">
            <v>1707.0436954687445</v>
          </cell>
          <cell r="BT92">
            <v>1085.0477440885795</v>
          </cell>
          <cell r="BU92">
            <v>1327.1305413473517</v>
          </cell>
          <cell r="BV92">
            <v>1031.7694142523274</v>
          </cell>
          <cell r="BW92">
            <v>1327.1305413473517</v>
          </cell>
          <cell r="BX92">
            <v>1085.0477440885795</v>
          </cell>
          <cell r="BY92">
            <v>1623.2239395662307</v>
          </cell>
          <cell r="BZ92">
            <v>762.755690649592</v>
          </cell>
          <cell r="CA92">
            <v>1327.1305413473517</v>
          </cell>
          <cell r="CB92">
            <v>843.56364387297208</v>
          </cell>
          <cell r="CC92">
            <v>1467.7295614807629</v>
          </cell>
          <cell r="CD92">
            <v>1261.9653916081938</v>
          </cell>
          <cell r="CE92">
            <v>932.93256279506875</v>
          </cell>
          <cell r="CF92">
            <v>887.12343682215874</v>
          </cell>
          <cell r="CG92">
            <v>887.12343682215874</v>
          </cell>
          <cell r="CH92">
            <v>843.56364387297231</v>
          </cell>
          <cell r="CI92">
            <v>1623.2239395662305</v>
          </cell>
          <cell r="CJ92">
            <v>981.10717245976252</v>
          </cell>
          <cell r="CK92">
            <v>1031.7694142523274</v>
          </cell>
          <cell r="CL92">
            <v>1261.9653916081936</v>
          </cell>
          <cell r="CM92">
            <v>1261.9653916081936</v>
          </cell>
          <cell r="CN92">
            <v>932.93256279506875</v>
          </cell>
          <cell r="CO92">
            <v>1141.0772510686097</v>
          </cell>
          <cell r="CP92">
            <v>1141.0772510686093</v>
          </cell>
          <cell r="CQ92">
            <v>1261.9653916081936</v>
          </cell>
          <cell r="CR92">
            <v>762.755690649592</v>
          </cell>
          <cell r="CS92">
            <v>1199.9999999999995</v>
          </cell>
          <cell r="CT92">
            <v>932.93256279506875</v>
          </cell>
          <cell r="CU92">
            <v>1327.1305413473517</v>
          </cell>
          <cell r="CV92">
            <v>1623.2239395662309</v>
          </cell>
          <cell r="CW92">
            <v>1327.1305413473517</v>
          </cell>
          <cell r="CX92">
            <v>1327.1305413473517</v>
          </cell>
          <cell r="CY92">
            <v>2087.8987454823687</v>
          </cell>
        </row>
        <row r="93">
          <cell r="D93">
            <v>1582.870334101578</v>
          </cell>
          <cell r="E93">
            <v>1431.2415710013781</v>
          </cell>
          <cell r="F93">
            <v>1112.7098890109644</v>
          </cell>
          <cell r="G93">
            <v>1170.167809026693</v>
          </cell>
          <cell r="H93">
            <v>1294.1378648840334</v>
          </cell>
          <cell r="I93">
            <v>1170.1678090266928</v>
          </cell>
          <cell r="J93">
            <v>1230.5927311380608</v>
          </cell>
          <cell r="K93">
            <v>822.59251743784137</v>
          </cell>
          <cell r="L93">
            <v>1582.8703341015785</v>
          </cell>
          <cell r="M93">
            <v>1294.1378648840337</v>
          </cell>
          <cell r="N93">
            <v>1058.0732844912411</v>
          </cell>
          <cell r="O93">
            <v>1431.2415710013781</v>
          </cell>
          <cell r="P93">
            <v>1294.1378648840334</v>
          </cell>
          <cell r="Q93">
            <v>1170.1678090266928</v>
          </cell>
          <cell r="R93">
            <v>1750.5629694824095</v>
          </cell>
          <cell r="S93">
            <v>1505.1477746955675</v>
          </cell>
          <cell r="T93">
            <v>1170.1678090266923</v>
          </cell>
          <cell r="U93">
            <v>822.59251743784137</v>
          </cell>
          <cell r="V93">
            <v>1431.2415710013784</v>
          </cell>
          <cell r="W93">
            <v>1840.9582360980601</v>
          </cell>
          <cell r="X93">
            <v>1431.2415710013781</v>
          </cell>
          <cell r="Y93">
            <v>782.20134045631642</v>
          </cell>
          <cell r="Z93">
            <v>1006.1194624136672</v>
          </cell>
          <cell r="AA93">
            <v>1006.1194624136667</v>
          </cell>
          <cell r="AB93">
            <v>1058.0732844912407</v>
          </cell>
          <cell r="AC93">
            <v>956.71669201467864</v>
          </cell>
          <cell r="AD93">
            <v>1360.9643312111427</v>
          </cell>
          <cell r="AE93">
            <v>1431.2415710013781</v>
          </cell>
          <cell r="AF93">
            <v>1170.167809026693</v>
          </cell>
          <cell r="AG93">
            <v>1112.7098890109644</v>
          </cell>
          <cell r="AH93">
            <v>1058.0732844912407</v>
          </cell>
          <cell r="AI93">
            <v>1294.1378648840334</v>
          </cell>
          <cell r="AJ93">
            <v>1006.1194624136668</v>
          </cell>
          <cell r="AK93">
            <v>1505.1477746955675</v>
          </cell>
          <cell r="AL93">
            <v>1006.1194624136672</v>
          </cell>
          <cell r="AM93">
            <v>1505.1477746955679</v>
          </cell>
          <cell r="AN93">
            <v>1112.7098890109644</v>
          </cell>
          <cell r="AO93">
            <v>1112.7098890109644</v>
          </cell>
          <cell r="AP93">
            <v>1582.8703341015778</v>
          </cell>
          <cell r="AQ93">
            <v>1230.5927311380613</v>
          </cell>
          <cell r="AR93">
            <v>1936.0213177931826</v>
          </cell>
          <cell r="AS93">
            <v>1112.7098890109644</v>
          </cell>
          <cell r="AT93">
            <v>1112.7098890109644</v>
          </cell>
          <cell r="AU93">
            <v>1170.167809026693</v>
          </cell>
          <cell r="AV93">
            <v>1170.167809026693</v>
          </cell>
          <cell r="AW93">
            <v>782.20134045631653</v>
          </cell>
          <cell r="AX93">
            <v>1360.9643312111427</v>
          </cell>
          <cell r="AY93">
            <v>1170.167809026693</v>
          </cell>
          <cell r="AZ93">
            <v>1360.9643312111427</v>
          </cell>
          <cell r="BA93">
            <v>1058.0732844912411</v>
          </cell>
          <cell r="BB93">
            <v>1230.5927311380608</v>
          </cell>
          <cell r="BC93">
            <v>1750.5629694824095</v>
          </cell>
          <cell r="BD93">
            <v>1230.5927311380613</v>
          </cell>
          <cell r="BE93">
            <v>1006.1194624136668</v>
          </cell>
          <cell r="BF93">
            <v>956.71669201467876</v>
          </cell>
          <cell r="BG93">
            <v>672.54284905833242</v>
          </cell>
          <cell r="BH93">
            <v>1058.0732844912411</v>
          </cell>
          <cell r="BI93">
            <v>1294.1378648840337</v>
          </cell>
          <cell r="BJ93">
            <v>1431.2415710013781</v>
          </cell>
          <cell r="BK93">
            <v>865.06940700201301</v>
          </cell>
          <cell r="BL93">
            <v>1058.0732844912411</v>
          </cell>
          <cell r="BM93">
            <v>1431.2415710013781</v>
          </cell>
          <cell r="BN93">
            <v>1431.2415710013786</v>
          </cell>
          <cell r="BO93">
            <v>1058.0732844912407</v>
          </cell>
          <cell r="BP93">
            <v>909.73971081296975</v>
          </cell>
          <cell r="BQ93">
            <v>956.7166920146791</v>
          </cell>
          <cell r="BR93">
            <v>1750.5629694824097</v>
          </cell>
          <cell r="BS93">
            <v>1664.6063175329091</v>
          </cell>
          <cell r="BT93">
            <v>1058.0732844912411</v>
          </cell>
          <cell r="BU93">
            <v>1360.9643312111427</v>
          </cell>
          <cell r="BV93">
            <v>1006.1194624136672</v>
          </cell>
          <cell r="BW93">
            <v>1294.1378648840334</v>
          </cell>
          <cell r="BX93">
            <v>1112.7098890109644</v>
          </cell>
          <cell r="BY93">
            <v>1582.8703341015782</v>
          </cell>
          <cell r="BZ93">
            <v>782.20134045631642</v>
          </cell>
          <cell r="CA93">
            <v>1360.9643312111427</v>
          </cell>
          <cell r="CB93">
            <v>865.06940700201301</v>
          </cell>
          <cell r="CC93">
            <v>1431.2415710013781</v>
          </cell>
          <cell r="CD93">
            <v>1230.592731138061</v>
          </cell>
          <cell r="CE93">
            <v>956.71669201467876</v>
          </cell>
          <cell r="CF93">
            <v>909.73971081296975</v>
          </cell>
          <cell r="CG93">
            <v>865.06940700201312</v>
          </cell>
          <cell r="CH93">
            <v>865.06940700201324</v>
          </cell>
          <cell r="CI93">
            <v>1664.6063175329091</v>
          </cell>
          <cell r="CJ93">
            <v>956.71669201467876</v>
          </cell>
          <cell r="CK93">
            <v>1058.0732844912411</v>
          </cell>
          <cell r="CL93">
            <v>1230.5927311380608</v>
          </cell>
          <cell r="CM93">
            <v>1294.1378648840334</v>
          </cell>
          <cell r="CN93">
            <v>909.73971081296975</v>
          </cell>
          <cell r="CO93">
            <v>1112.7098890109644</v>
          </cell>
          <cell r="CP93">
            <v>1112.7098890109639</v>
          </cell>
          <cell r="CQ93">
            <v>1294.1378648840334</v>
          </cell>
          <cell r="CR93">
            <v>743.79346279172944</v>
          </cell>
          <cell r="CS93">
            <v>1170.167809026693</v>
          </cell>
          <cell r="CT93">
            <v>909.73971081296975</v>
          </cell>
          <cell r="CU93">
            <v>1360.9643312111427</v>
          </cell>
          <cell r="CV93">
            <v>1664.6063175329095</v>
          </cell>
          <cell r="CW93">
            <v>1360.9643312111427</v>
          </cell>
          <cell r="CX93">
            <v>1360.9643312111427</v>
          </cell>
          <cell r="CY93">
            <v>2141.1275162857332</v>
          </cell>
        </row>
        <row r="94">
          <cell r="D94">
            <v>1543.5199256908281</v>
          </cell>
          <cell r="E94">
            <v>1395.6606777721711</v>
          </cell>
          <cell r="F94">
            <v>1141.0772510686097</v>
          </cell>
          <cell r="G94">
            <v>1141.0772510686097</v>
          </cell>
          <cell r="H94">
            <v>1327.1305413473517</v>
          </cell>
          <cell r="I94">
            <v>1199.9999999999993</v>
          </cell>
          <cell r="J94">
            <v>1261.9653916081936</v>
          </cell>
          <cell r="K94">
            <v>802.14273654332578</v>
          </cell>
          <cell r="L94">
            <v>1623.2239395662309</v>
          </cell>
          <cell r="M94">
            <v>1261.9653916081938</v>
          </cell>
          <cell r="N94">
            <v>1085.0477440885795</v>
          </cell>
          <cell r="O94">
            <v>1395.6606777721711</v>
          </cell>
          <cell r="P94">
            <v>1261.9653916081936</v>
          </cell>
          <cell r="Q94">
            <v>1199.9999999999993</v>
          </cell>
          <cell r="R94">
            <v>1795.1917213704276</v>
          </cell>
          <cell r="S94">
            <v>1543.5199256908281</v>
          </cell>
          <cell r="T94">
            <v>1141.077251068609</v>
          </cell>
          <cell r="U94">
            <v>802.14273654332578</v>
          </cell>
          <cell r="V94">
            <v>1467.7295614807631</v>
          </cell>
          <cell r="W94">
            <v>1795.1917213704276</v>
          </cell>
          <cell r="X94">
            <v>1467.7295614807629</v>
          </cell>
          <cell r="Y94">
            <v>802.14273654332578</v>
          </cell>
          <cell r="Z94">
            <v>981.10717245976286</v>
          </cell>
          <cell r="AA94">
            <v>1031.7694142523269</v>
          </cell>
          <cell r="AB94">
            <v>1085.0477440885791</v>
          </cell>
          <cell r="AC94">
            <v>981.10717245976241</v>
          </cell>
          <cell r="AD94">
            <v>1327.1305413473517</v>
          </cell>
          <cell r="AE94">
            <v>1395.6606777721711</v>
          </cell>
          <cell r="AF94">
            <v>1141.0772510686097</v>
          </cell>
          <cell r="AG94">
            <v>1141.0772510686097</v>
          </cell>
          <cell r="AH94">
            <v>1085.0477440885791</v>
          </cell>
          <cell r="AI94">
            <v>1327.1305413473517</v>
          </cell>
          <cell r="AJ94">
            <v>1031.7694142523269</v>
          </cell>
          <cell r="AK94">
            <v>1467.7295614807629</v>
          </cell>
          <cell r="AL94">
            <v>981.10717245976286</v>
          </cell>
          <cell r="AM94">
            <v>1467.7295614807631</v>
          </cell>
          <cell r="AN94">
            <v>1141.0772510686097</v>
          </cell>
          <cell r="AO94">
            <v>1141.0772510686097</v>
          </cell>
          <cell r="AP94">
            <v>1543.5199256908279</v>
          </cell>
          <cell r="AQ94">
            <v>1200</v>
          </cell>
          <cell r="AR94">
            <v>1887.89151972585</v>
          </cell>
          <cell r="AS94">
            <v>1141.0772510686097</v>
          </cell>
          <cell r="AT94">
            <v>1085.0477440885795</v>
          </cell>
          <cell r="AU94">
            <v>1199.9999999999995</v>
          </cell>
          <cell r="AV94">
            <v>1141.0772510686097</v>
          </cell>
          <cell r="AW94">
            <v>802.1427365433259</v>
          </cell>
          <cell r="AX94">
            <v>1395.6606777721711</v>
          </cell>
          <cell r="AY94">
            <v>1199.9999999999995</v>
          </cell>
          <cell r="AZ94">
            <v>1395.6606777721711</v>
          </cell>
          <cell r="BA94">
            <v>1031.7694142523274</v>
          </cell>
          <cell r="BB94">
            <v>1261.9653916081936</v>
          </cell>
          <cell r="BC94">
            <v>1795.1917213704276</v>
          </cell>
          <cell r="BD94">
            <v>1200</v>
          </cell>
          <cell r="BE94">
            <v>1031.7694142523269</v>
          </cell>
          <cell r="BF94">
            <v>981.10717245976252</v>
          </cell>
          <cell r="BG94">
            <v>689.68861785838851</v>
          </cell>
          <cell r="BH94">
            <v>1031.7694142523274</v>
          </cell>
          <cell r="BI94">
            <v>1327.1305413473519</v>
          </cell>
          <cell r="BJ94">
            <v>1395.6606777721711</v>
          </cell>
          <cell r="BK94">
            <v>843.56364387297208</v>
          </cell>
          <cell r="BL94">
            <v>1085.0477440885795</v>
          </cell>
          <cell r="BM94">
            <v>1467.7295614807629</v>
          </cell>
          <cell r="BN94">
            <v>1467.7295614807633</v>
          </cell>
          <cell r="BO94">
            <v>1031.7694142523269</v>
          </cell>
          <cell r="BP94">
            <v>887.12343682215874</v>
          </cell>
          <cell r="BQ94">
            <v>981.10717245976286</v>
          </cell>
          <cell r="BR94">
            <v>1707.0436954687448</v>
          </cell>
          <cell r="BS94">
            <v>1707.0436954687445</v>
          </cell>
          <cell r="BT94">
            <v>1085.0477440885795</v>
          </cell>
          <cell r="BU94">
            <v>1395.6606777721711</v>
          </cell>
          <cell r="BV94">
            <v>981.10717245976286</v>
          </cell>
          <cell r="BW94">
            <v>1261.9653916081936</v>
          </cell>
          <cell r="BX94">
            <v>1141.0772510686097</v>
          </cell>
          <cell r="BY94">
            <v>1543.5199256908284</v>
          </cell>
          <cell r="BZ94">
            <v>762.755690649592</v>
          </cell>
          <cell r="CA94">
            <v>1327.1305413473517</v>
          </cell>
          <cell r="CB94">
            <v>887.12343682215862</v>
          </cell>
          <cell r="CC94">
            <v>1395.6606777721711</v>
          </cell>
          <cell r="CD94">
            <v>1261.9653916081938</v>
          </cell>
          <cell r="CE94">
            <v>981.10717245976252</v>
          </cell>
          <cell r="CF94">
            <v>932.93256279506875</v>
          </cell>
          <cell r="CG94">
            <v>843.56364387297219</v>
          </cell>
          <cell r="CH94">
            <v>843.56364387297231</v>
          </cell>
          <cell r="CI94">
            <v>1623.2239395662305</v>
          </cell>
          <cell r="CJ94">
            <v>981.10717245976252</v>
          </cell>
          <cell r="CK94">
            <v>1031.7694142523274</v>
          </cell>
          <cell r="CL94">
            <v>1261.9653916081936</v>
          </cell>
          <cell r="CM94">
            <v>1327.1305413473517</v>
          </cell>
          <cell r="CN94">
            <v>932.93256279506875</v>
          </cell>
          <cell r="CO94">
            <v>1085.0477440885795</v>
          </cell>
          <cell r="CP94">
            <v>1141.0772510686093</v>
          </cell>
          <cell r="CQ94">
            <v>1327.1305413473517</v>
          </cell>
          <cell r="CR94">
            <v>762.755690649592</v>
          </cell>
          <cell r="CS94">
            <v>1199.9999999999995</v>
          </cell>
          <cell r="CT94">
            <v>932.93256279506875</v>
          </cell>
          <cell r="CU94">
            <v>1395.6606777721711</v>
          </cell>
          <cell r="CV94">
            <v>1623.2239395662309</v>
          </cell>
          <cell r="CW94">
            <v>1395.6606777721711</v>
          </cell>
          <cell r="CX94">
            <v>1327.1305413473517</v>
          </cell>
          <cell r="CY94">
            <v>2087.8987454823687</v>
          </cell>
        </row>
        <row r="95">
          <cell r="D95">
            <v>1505.1477746955675</v>
          </cell>
          <cell r="E95">
            <v>1431.2415710013781</v>
          </cell>
          <cell r="F95">
            <v>1112.7098890109644</v>
          </cell>
          <cell r="G95">
            <v>1112.7098890109644</v>
          </cell>
          <cell r="H95">
            <v>1294.1378648840334</v>
          </cell>
          <cell r="I95">
            <v>1170.1678090266928</v>
          </cell>
          <cell r="J95">
            <v>1294.1378648840334</v>
          </cell>
          <cell r="K95">
            <v>822.59251743784137</v>
          </cell>
          <cell r="L95">
            <v>1664.6063175329095</v>
          </cell>
          <cell r="M95">
            <v>1294.1378648840337</v>
          </cell>
          <cell r="N95">
            <v>1112.7098890109644</v>
          </cell>
          <cell r="O95">
            <v>1360.9643312111427</v>
          </cell>
          <cell r="P95">
            <v>1230.5927311380608</v>
          </cell>
          <cell r="Q95">
            <v>1230.5927311380606</v>
          </cell>
          <cell r="R95">
            <v>1840.9582360980601</v>
          </cell>
          <cell r="S95">
            <v>1582.870334101578</v>
          </cell>
          <cell r="T95">
            <v>1170.1678090266923</v>
          </cell>
          <cell r="U95">
            <v>822.59251743784137</v>
          </cell>
          <cell r="V95">
            <v>1431.2415710013784</v>
          </cell>
          <cell r="W95">
            <v>1750.5629694824095</v>
          </cell>
          <cell r="X95">
            <v>1431.2415710013781</v>
          </cell>
          <cell r="Y95">
            <v>782.20134045631642</v>
          </cell>
          <cell r="Z95">
            <v>956.7166920146791</v>
          </cell>
          <cell r="AA95">
            <v>1058.0732844912407</v>
          </cell>
          <cell r="AB95">
            <v>1058.0732844912407</v>
          </cell>
          <cell r="AC95">
            <v>956.71669201467864</v>
          </cell>
          <cell r="AD95">
            <v>1294.1378648840334</v>
          </cell>
          <cell r="AE95">
            <v>1431.2415710013781</v>
          </cell>
          <cell r="AF95">
            <v>1112.7098890109644</v>
          </cell>
          <cell r="AG95">
            <v>1112.7098890109644</v>
          </cell>
          <cell r="AH95">
            <v>1112.7098890109639</v>
          </cell>
          <cell r="AI95">
            <v>1360.9643312111427</v>
          </cell>
          <cell r="AJ95">
            <v>1058.0732844912407</v>
          </cell>
          <cell r="AK95">
            <v>1431.2415710013781</v>
          </cell>
          <cell r="AL95">
            <v>1006.1194624136671</v>
          </cell>
          <cell r="AM95">
            <v>1431.2415710013784</v>
          </cell>
          <cell r="AN95">
            <v>1112.7098890109644</v>
          </cell>
          <cell r="AO95">
            <v>1170.167809026693</v>
          </cell>
          <cell r="AP95">
            <v>1505.1477746955673</v>
          </cell>
          <cell r="AQ95">
            <v>1230.5927311380613</v>
          </cell>
          <cell r="AR95">
            <v>1840.9582360980603</v>
          </cell>
          <cell r="AS95">
            <v>1112.7098890109644</v>
          </cell>
          <cell r="AT95">
            <v>1112.7098890109644</v>
          </cell>
          <cell r="AU95">
            <v>1170.167809026693</v>
          </cell>
          <cell r="AV95">
            <v>1170.167809026693</v>
          </cell>
          <cell r="AW95">
            <v>782.20134045631653</v>
          </cell>
          <cell r="AX95">
            <v>1360.9643312111427</v>
          </cell>
          <cell r="AY95">
            <v>1230.5927311380608</v>
          </cell>
          <cell r="AZ95">
            <v>1360.9643312111427</v>
          </cell>
          <cell r="BA95">
            <v>1058.0732844912411</v>
          </cell>
          <cell r="BB95">
            <v>1294.1378648840334</v>
          </cell>
          <cell r="BC95">
            <v>1840.9582360980601</v>
          </cell>
          <cell r="BD95">
            <v>1170.1678090266935</v>
          </cell>
          <cell r="BE95">
            <v>1058.0732844912407</v>
          </cell>
          <cell r="BF95">
            <v>956.71669201467876</v>
          </cell>
          <cell r="BG95">
            <v>707.27149990432417</v>
          </cell>
          <cell r="BH95">
            <v>1006.1194624136672</v>
          </cell>
          <cell r="BI95">
            <v>1294.1378648840337</v>
          </cell>
          <cell r="BJ95">
            <v>1431.2415710013781</v>
          </cell>
          <cell r="BK95">
            <v>865.06940700201301</v>
          </cell>
          <cell r="BL95">
            <v>1058.0732844912411</v>
          </cell>
          <cell r="BM95">
            <v>1431.2415710013781</v>
          </cell>
          <cell r="BN95">
            <v>1505.1477746955679</v>
          </cell>
          <cell r="BO95">
            <v>1006.1194624136668</v>
          </cell>
          <cell r="BP95">
            <v>865.06940700201312</v>
          </cell>
          <cell r="BQ95">
            <v>1006.1194624136671</v>
          </cell>
          <cell r="BR95">
            <v>1750.5629694824097</v>
          </cell>
          <cell r="BS95">
            <v>1750.5629694824095</v>
          </cell>
          <cell r="BT95">
            <v>1058.0732844912411</v>
          </cell>
          <cell r="BU95">
            <v>1360.9643312111427</v>
          </cell>
          <cell r="BV95">
            <v>1006.1194624136671</v>
          </cell>
          <cell r="BW95">
            <v>1294.1378648840334</v>
          </cell>
          <cell r="BX95">
            <v>1112.7098890109644</v>
          </cell>
          <cell r="BY95">
            <v>1505.1477746955677</v>
          </cell>
          <cell r="BZ95">
            <v>782.20134045631642</v>
          </cell>
          <cell r="CA95">
            <v>1294.1378648840334</v>
          </cell>
          <cell r="CB95">
            <v>865.06940700201301</v>
          </cell>
          <cell r="CC95">
            <v>1360.9643312111427</v>
          </cell>
          <cell r="CD95">
            <v>1294.1378648840337</v>
          </cell>
          <cell r="CE95">
            <v>1006.1194624136667</v>
          </cell>
          <cell r="CF95">
            <v>956.71669201467876</v>
          </cell>
          <cell r="CG95">
            <v>865.06940700201312</v>
          </cell>
          <cell r="CH95">
            <v>822.59251743784148</v>
          </cell>
          <cell r="CI95">
            <v>1664.6063175329091</v>
          </cell>
          <cell r="CJ95">
            <v>956.71669201467876</v>
          </cell>
          <cell r="CK95">
            <v>1006.1194624136672</v>
          </cell>
          <cell r="CL95">
            <v>1294.1378648840334</v>
          </cell>
          <cell r="CM95">
            <v>1360.9643312111427</v>
          </cell>
          <cell r="CN95">
            <v>909.73971081296975</v>
          </cell>
          <cell r="CO95">
            <v>1112.7098890109644</v>
          </cell>
          <cell r="CP95">
            <v>1112.7098890109639</v>
          </cell>
          <cell r="CQ95">
            <v>1294.1378648840334</v>
          </cell>
          <cell r="CR95">
            <v>782.20134045631642</v>
          </cell>
          <cell r="CS95">
            <v>1230.5927311380608</v>
          </cell>
          <cell r="CT95">
            <v>956.71669201467876</v>
          </cell>
          <cell r="CU95">
            <v>1431.2415710013781</v>
          </cell>
          <cell r="CV95">
            <v>1582.8703341015785</v>
          </cell>
          <cell r="CW95">
            <v>1431.2415710013781</v>
          </cell>
          <cell r="CX95">
            <v>1294.1378648840334</v>
          </cell>
          <cell r="CY95">
            <v>2141.1275162857332</v>
          </cell>
        </row>
        <row r="96">
          <cell r="D96">
            <v>1467.7295614807629</v>
          </cell>
          <cell r="E96">
            <v>1395.6606777721711</v>
          </cell>
          <cell r="F96">
            <v>1141.0772510686097</v>
          </cell>
          <cell r="G96">
            <v>1141.0772510686097</v>
          </cell>
          <cell r="H96">
            <v>1261.9653916081936</v>
          </cell>
          <cell r="I96">
            <v>1199.9999999999993</v>
          </cell>
          <cell r="J96">
            <v>1327.1305413473517</v>
          </cell>
          <cell r="K96">
            <v>802.14273654332578</v>
          </cell>
          <cell r="L96">
            <v>1707.043695468745</v>
          </cell>
          <cell r="M96">
            <v>1327.1305413473519</v>
          </cell>
          <cell r="N96">
            <v>1085.0477440885795</v>
          </cell>
          <cell r="O96">
            <v>1395.6606777721711</v>
          </cell>
          <cell r="P96">
            <v>1199.9999999999995</v>
          </cell>
          <cell r="Q96">
            <v>1199.9999999999993</v>
          </cell>
          <cell r="R96">
            <v>1887.8915197258498</v>
          </cell>
          <cell r="S96">
            <v>1623.2239395662305</v>
          </cell>
          <cell r="T96">
            <v>1199.9999999999989</v>
          </cell>
          <cell r="U96">
            <v>802.14273654332578</v>
          </cell>
          <cell r="V96">
            <v>1467.7295614807631</v>
          </cell>
          <cell r="W96">
            <v>1707.0436954687445</v>
          </cell>
          <cell r="X96">
            <v>1395.6606777721711</v>
          </cell>
          <cell r="Y96">
            <v>802.14273654332578</v>
          </cell>
          <cell r="Z96">
            <v>932.93256279506897</v>
          </cell>
          <cell r="AA96">
            <v>1031.7694142523269</v>
          </cell>
          <cell r="AB96">
            <v>1085.0477440885791</v>
          </cell>
          <cell r="AC96">
            <v>932.93256279506863</v>
          </cell>
          <cell r="AD96">
            <v>1327.1305413473517</v>
          </cell>
          <cell r="AE96">
            <v>1395.6606777721711</v>
          </cell>
          <cell r="AF96">
            <v>1085.0477440885795</v>
          </cell>
          <cell r="AG96">
            <v>1141.0772510686097</v>
          </cell>
          <cell r="AH96">
            <v>1141.0772510686093</v>
          </cell>
          <cell r="AI96">
            <v>1395.6606777721711</v>
          </cell>
          <cell r="AJ96">
            <v>1085.0477440885791</v>
          </cell>
          <cell r="AK96">
            <v>1395.6606777721711</v>
          </cell>
          <cell r="AL96">
            <v>981.10717245976275</v>
          </cell>
          <cell r="AM96">
            <v>1395.6606777721713</v>
          </cell>
          <cell r="AN96">
            <v>1141.0772510686097</v>
          </cell>
          <cell r="AO96">
            <v>1199.9999999999995</v>
          </cell>
          <cell r="AP96">
            <v>1467.7295614807626</v>
          </cell>
          <cell r="AQ96">
            <v>1261.9653916081941</v>
          </cell>
          <cell r="AR96">
            <v>1795.1917213704278</v>
          </cell>
          <cell r="AS96">
            <v>1141.0772510686097</v>
          </cell>
          <cell r="AT96">
            <v>1141.0772510686097</v>
          </cell>
          <cell r="AU96">
            <v>1141.0772510686097</v>
          </cell>
          <cell r="AV96">
            <v>1141.0772510686097</v>
          </cell>
          <cell r="AW96">
            <v>762.75569064959211</v>
          </cell>
          <cell r="AX96">
            <v>1327.1305413473517</v>
          </cell>
          <cell r="AY96">
            <v>1261.9653916081936</v>
          </cell>
          <cell r="AZ96">
            <v>1395.6606777721711</v>
          </cell>
          <cell r="BA96">
            <v>1085.0477440885795</v>
          </cell>
          <cell r="BB96">
            <v>1261.9653916081936</v>
          </cell>
          <cell r="BC96">
            <v>1887.8915197258498</v>
          </cell>
          <cell r="BD96">
            <v>1200</v>
          </cell>
          <cell r="BE96">
            <v>1085.0477440885791</v>
          </cell>
          <cell r="BF96">
            <v>932.93256279506875</v>
          </cell>
          <cell r="BG96">
            <v>725.3026389361462</v>
          </cell>
          <cell r="BH96">
            <v>981.10717245976286</v>
          </cell>
          <cell r="BI96">
            <v>1261.9653916081938</v>
          </cell>
          <cell r="BJ96">
            <v>1395.6606777721711</v>
          </cell>
          <cell r="BK96">
            <v>887.12343682215862</v>
          </cell>
          <cell r="BL96">
            <v>1085.0477440885795</v>
          </cell>
          <cell r="BM96">
            <v>1395.6606777721711</v>
          </cell>
          <cell r="BN96">
            <v>1543.5199256908286</v>
          </cell>
          <cell r="BO96">
            <v>981.10717245976264</v>
          </cell>
          <cell r="BP96">
            <v>887.12343682215874</v>
          </cell>
          <cell r="BQ96">
            <v>981.10717245976275</v>
          </cell>
          <cell r="BR96">
            <v>1795.1917213704278</v>
          </cell>
          <cell r="BS96">
            <v>1795.1917213704276</v>
          </cell>
          <cell r="BT96">
            <v>1085.0477440885795</v>
          </cell>
          <cell r="BU96">
            <v>1327.1305413473517</v>
          </cell>
          <cell r="BV96">
            <v>981.10717245976275</v>
          </cell>
          <cell r="BW96">
            <v>1327.1305413473517</v>
          </cell>
          <cell r="BX96">
            <v>1141.0772510686097</v>
          </cell>
          <cell r="BY96">
            <v>1467.7295614807629</v>
          </cell>
          <cell r="BZ96">
            <v>762.755690649592</v>
          </cell>
          <cell r="CA96">
            <v>1261.9653916081936</v>
          </cell>
          <cell r="CB96">
            <v>887.12343682215862</v>
          </cell>
          <cell r="CC96">
            <v>1395.6606777721711</v>
          </cell>
          <cell r="CD96">
            <v>1261.9653916081938</v>
          </cell>
          <cell r="CE96">
            <v>981.10717245976252</v>
          </cell>
          <cell r="CF96">
            <v>932.93256279506875</v>
          </cell>
          <cell r="CG96">
            <v>887.12343682215874</v>
          </cell>
          <cell r="CH96">
            <v>802.1427365433259</v>
          </cell>
          <cell r="CI96">
            <v>1707.0436954687445</v>
          </cell>
          <cell r="CJ96">
            <v>981.10717245976252</v>
          </cell>
          <cell r="CK96">
            <v>981.10717245976286</v>
          </cell>
          <cell r="CL96">
            <v>1261.9653916081936</v>
          </cell>
          <cell r="CM96">
            <v>1327.1305413473517</v>
          </cell>
          <cell r="CN96">
            <v>887.12343682215874</v>
          </cell>
          <cell r="CO96">
            <v>1085.0477440885795</v>
          </cell>
          <cell r="CP96">
            <v>1085.0477440885791</v>
          </cell>
          <cell r="CQ96">
            <v>1261.9653916081936</v>
          </cell>
          <cell r="CR96">
            <v>762.755690649592</v>
          </cell>
          <cell r="CS96">
            <v>1199.9999999999995</v>
          </cell>
          <cell r="CT96">
            <v>932.93256279506875</v>
          </cell>
          <cell r="CU96">
            <v>1467.7295614807629</v>
          </cell>
          <cell r="CV96">
            <v>1623.2239395662309</v>
          </cell>
          <cell r="CW96">
            <v>1467.7295614807629</v>
          </cell>
          <cell r="CX96">
            <v>1327.1305413473517</v>
          </cell>
          <cell r="CY96">
            <v>2087.8987454823687</v>
          </cell>
        </row>
        <row r="97">
          <cell r="D97">
            <v>1505.1477746955675</v>
          </cell>
          <cell r="E97">
            <v>1431.2415710013781</v>
          </cell>
          <cell r="F97">
            <v>1170.167809026693</v>
          </cell>
          <cell r="G97">
            <v>1112.7098890109644</v>
          </cell>
          <cell r="H97">
            <v>1294.1378648840334</v>
          </cell>
          <cell r="I97">
            <v>1230.5927311380606</v>
          </cell>
          <cell r="J97">
            <v>1294.1378648840334</v>
          </cell>
          <cell r="K97">
            <v>782.20134045631642</v>
          </cell>
          <cell r="L97">
            <v>1750.5629694824099</v>
          </cell>
          <cell r="M97">
            <v>1294.1378648840337</v>
          </cell>
          <cell r="N97">
            <v>1112.7098890109644</v>
          </cell>
          <cell r="O97">
            <v>1431.2415710013781</v>
          </cell>
          <cell r="P97">
            <v>1230.5927311380608</v>
          </cell>
          <cell r="Q97">
            <v>1170.1678090266928</v>
          </cell>
          <cell r="R97">
            <v>1840.9582360980601</v>
          </cell>
          <cell r="S97">
            <v>1664.6063175329091</v>
          </cell>
          <cell r="T97">
            <v>1170.1678090266923</v>
          </cell>
          <cell r="U97">
            <v>782.20134045631642</v>
          </cell>
          <cell r="V97">
            <v>1505.1477746955677</v>
          </cell>
          <cell r="W97">
            <v>1750.5629694824095</v>
          </cell>
          <cell r="X97">
            <v>1431.2415710013781</v>
          </cell>
          <cell r="Y97">
            <v>782.20134045631642</v>
          </cell>
          <cell r="Z97">
            <v>909.73971081296986</v>
          </cell>
          <cell r="AA97">
            <v>1006.1194624136668</v>
          </cell>
          <cell r="AB97">
            <v>1112.7098890109639</v>
          </cell>
          <cell r="AC97">
            <v>956.71669201467864</v>
          </cell>
          <cell r="AD97">
            <v>1294.1378648840334</v>
          </cell>
          <cell r="AE97">
            <v>1431.2415710013781</v>
          </cell>
          <cell r="AF97">
            <v>1112.7098890109644</v>
          </cell>
          <cell r="AG97">
            <v>1170.167809026693</v>
          </cell>
          <cell r="AH97">
            <v>1170.1678090266926</v>
          </cell>
          <cell r="AI97">
            <v>1431.2415710013781</v>
          </cell>
          <cell r="AJ97">
            <v>1112.7098890109639</v>
          </cell>
          <cell r="AK97">
            <v>1431.2415710013781</v>
          </cell>
          <cell r="AL97">
            <v>956.71669201467898</v>
          </cell>
          <cell r="AM97">
            <v>1360.964331211143</v>
          </cell>
          <cell r="AN97">
            <v>1170.167809026693</v>
          </cell>
          <cell r="AO97">
            <v>1230.5927311380608</v>
          </cell>
          <cell r="AP97">
            <v>1431.2415710013779</v>
          </cell>
          <cell r="AQ97">
            <v>1294.1378648840339</v>
          </cell>
          <cell r="AR97">
            <v>1750.5629694824097</v>
          </cell>
          <cell r="AS97">
            <v>1112.7098890109644</v>
          </cell>
          <cell r="AT97">
            <v>1112.7098890109644</v>
          </cell>
          <cell r="AU97">
            <v>1170.167809026693</v>
          </cell>
          <cell r="AV97">
            <v>1112.7098890109644</v>
          </cell>
          <cell r="AW97">
            <v>743.79346279172955</v>
          </cell>
          <cell r="AX97">
            <v>1294.1378648840334</v>
          </cell>
          <cell r="AY97">
            <v>1230.5927311380608</v>
          </cell>
          <cell r="AZ97">
            <v>1431.2415710013781</v>
          </cell>
          <cell r="BA97">
            <v>1058.0732844912411</v>
          </cell>
          <cell r="BB97">
            <v>1230.5927311380608</v>
          </cell>
          <cell r="BC97">
            <v>1840.9582360980601</v>
          </cell>
          <cell r="BD97">
            <v>1170.1678090266935</v>
          </cell>
          <cell r="BE97">
            <v>1058.0732844912407</v>
          </cell>
          <cell r="BF97">
            <v>909.73971081296975</v>
          </cell>
          <cell r="BG97">
            <v>707.27149990432417</v>
          </cell>
          <cell r="BH97">
            <v>956.7166920146791</v>
          </cell>
          <cell r="BI97">
            <v>1230.592731138061</v>
          </cell>
          <cell r="BJ97">
            <v>1431.2415710013781</v>
          </cell>
          <cell r="BK97">
            <v>865.06940700201301</v>
          </cell>
          <cell r="BL97">
            <v>1058.0732844912411</v>
          </cell>
          <cell r="BM97">
            <v>1431.2415710013781</v>
          </cell>
          <cell r="BN97">
            <v>1505.1477746955679</v>
          </cell>
          <cell r="BO97">
            <v>1006.1194624136668</v>
          </cell>
          <cell r="BP97">
            <v>909.73971081296975</v>
          </cell>
          <cell r="BQ97">
            <v>956.71669201467898</v>
          </cell>
          <cell r="BR97">
            <v>1750.5629694824097</v>
          </cell>
          <cell r="BS97">
            <v>1750.5629694824095</v>
          </cell>
          <cell r="BT97">
            <v>1058.0732844912411</v>
          </cell>
          <cell r="BU97">
            <v>1294.1378648840334</v>
          </cell>
          <cell r="BV97">
            <v>1006.119462413667</v>
          </cell>
          <cell r="BW97">
            <v>1360.9643312111427</v>
          </cell>
          <cell r="BX97">
            <v>1170.167809026693</v>
          </cell>
          <cell r="BY97">
            <v>1431.2415710013781</v>
          </cell>
          <cell r="BZ97">
            <v>743.79346279172944</v>
          </cell>
          <cell r="CA97">
            <v>1294.1378648840334</v>
          </cell>
          <cell r="CB97">
            <v>909.73971081296963</v>
          </cell>
          <cell r="CC97">
            <v>1360.9643312111427</v>
          </cell>
          <cell r="CD97">
            <v>1294.1378648840337</v>
          </cell>
          <cell r="CE97">
            <v>1006.1194624136667</v>
          </cell>
          <cell r="CF97">
            <v>909.73971081296975</v>
          </cell>
          <cell r="CG97">
            <v>909.73971081296975</v>
          </cell>
          <cell r="CH97">
            <v>822.59251743784148</v>
          </cell>
          <cell r="CI97">
            <v>1664.6063175329091</v>
          </cell>
          <cell r="CJ97">
            <v>1006.1194624136667</v>
          </cell>
          <cell r="CK97">
            <v>956.7166920146791</v>
          </cell>
          <cell r="CL97">
            <v>1230.5927311380608</v>
          </cell>
          <cell r="CM97">
            <v>1294.1378648840334</v>
          </cell>
          <cell r="CN97">
            <v>909.73971081296975</v>
          </cell>
          <cell r="CO97">
            <v>1058.0732844912411</v>
          </cell>
          <cell r="CP97">
            <v>1112.7098890109639</v>
          </cell>
          <cell r="CQ97">
            <v>1230.5927311380608</v>
          </cell>
          <cell r="CR97">
            <v>782.20134045631642</v>
          </cell>
          <cell r="CS97">
            <v>1170.167809026693</v>
          </cell>
          <cell r="CT97">
            <v>956.71669201467876</v>
          </cell>
          <cell r="CU97">
            <v>1505.1477746955675</v>
          </cell>
          <cell r="CV97">
            <v>1582.8703341015785</v>
          </cell>
          <cell r="CW97">
            <v>1431.2415710013781</v>
          </cell>
          <cell r="CX97">
            <v>1360.9643312111427</v>
          </cell>
          <cell r="CY97">
            <v>2141.1275162857332</v>
          </cell>
        </row>
        <row r="98">
          <cell r="D98">
            <v>1543.5199256908281</v>
          </cell>
          <cell r="E98">
            <v>1395.6606777721711</v>
          </cell>
          <cell r="F98">
            <v>1199.9999999999995</v>
          </cell>
          <cell r="G98">
            <v>1085.0477440885795</v>
          </cell>
          <cell r="H98">
            <v>1261.9653916081936</v>
          </cell>
          <cell r="I98">
            <v>1261.9653916081934</v>
          </cell>
          <cell r="J98">
            <v>1327.1305413473517</v>
          </cell>
          <cell r="K98">
            <v>802.14273654332578</v>
          </cell>
          <cell r="L98">
            <v>1707.043695468745</v>
          </cell>
          <cell r="M98">
            <v>1261.9653916081938</v>
          </cell>
          <cell r="N98">
            <v>1085.0477440885795</v>
          </cell>
          <cell r="O98">
            <v>1467.7295614807629</v>
          </cell>
          <cell r="P98">
            <v>1199.9999999999995</v>
          </cell>
          <cell r="Q98">
            <v>1141.0772510686095</v>
          </cell>
          <cell r="R98">
            <v>1795.1917213704276</v>
          </cell>
          <cell r="S98">
            <v>1623.2239395662305</v>
          </cell>
          <cell r="T98">
            <v>1141.077251068609</v>
          </cell>
          <cell r="U98">
            <v>762.755690649592</v>
          </cell>
          <cell r="V98">
            <v>1543.5199256908284</v>
          </cell>
          <cell r="W98">
            <v>1707.0436954687445</v>
          </cell>
          <cell r="X98">
            <v>1467.7295614807629</v>
          </cell>
          <cell r="Y98">
            <v>762.755690649592</v>
          </cell>
          <cell r="Z98">
            <v>887.12343682215885</v>
          </cell>
          <cell r="AA98">
            <v>1031.7694142523269</v>
          </cell>
          <cell r="AB98">
            <v>1085.0477440885791</v>
          </cell>
          <cell r="AC98">
            <v>981.10717245976241</v>
          </cell>
          <cell r="AD98">
            <v>1261.9653916081936</v>
          </cell>
          <cell r="AE98">
            <v>1395.6606777721711</v>
          </cell>
          <cell r="AF98">
            <v>1141.0772510686097</v>
          </cell>
          <cell r="AG98">
            <v>1199.9999999999995</v>
          </cell>
          <cell r="AH98">
            <v>1199.9999999999991</v>
          </cell>
          <cell r="AI98">
            <v>1467.7295614807629</v>
          </cell>
          <cell r="AJ98">
            <v>1085.0477440885791</v>
          </cell>
          <cell r="AK98">
            <v>1395.6606777721711</v>
          </cell>
          <cell r="AL98">
            <v>932.93256279506886</v>
          </cell>
          <cell r="AM98">
            <v>1327.1305413473519</v>
          </cell>
          <cell r="AN98">
            <v>1141.0772510686097</v>
          </cell>
          <cell r="AO98">
            <v>1261.9653916081936</v>
          </cell>
          <cell r="AP98">
            <v>1467.7295614807626</v>
          </cell>
          <cell r="AQ98">
            <v>1327.1305413473522</v>
          </cell>
          <cell r="AR98">
            <v>1707.0436954687448</v>
          </cell>
          <cell r="AS98">
            <v>1085.0477440885795</v>
          </cell>
          <cell r="AT98">
            <v>1085.0477440885795</v>
          </cell>
          <cell r="AU98">
            <v>1199.9999999999995</v>
          </cell>
          <cell r="AV98">
            <v>1085.0477440885795</v>
          </cell>
          <cell r="AW98">
            <v>762.75569064959211</v>
          </cell>
          <cell r="AX98">
            <v>1261.9653916081936</v>
          </cell>
          <cell r="AY98">
            <v>1261.9653916081936</v>
          </cell>
          <cell r="AZ98">
            <v>1467.7295614807629</v>
          </cell>
          <cell r="BA98">
            <v>1031.7694142523274</v>
          </cell>
          <cell r="BB98">
            <v>1261.9653916081936</v>
          </cell>
          <cell r="BC98">
            <v>1887.8915197258498</v>
          </cell>
          <cell r="BD98">
            <v>1141.0772510686099</v>
          </cell>
          <cell r="BE98">
            <v>1031.7694142523269</v>
          </cell>
          <cell r="BF98">
            <v>887.12343682215874</v>
          </cell>
          <cell r="BG98">
            <v>689.68861785838851</v>
          </cell>
          <cell r="BH98">
            <v>981.10717245976286</v>
          </cell>
          <cell r="BI98">
            <v>1199.9999999999998</v>
          </cell>
          <cell r="BJ98">
            <v>1395.6606777721711</v>
          </cell>
          <cell r="BK98">
            <v>887.12343682215862</v>
          </cell>
          <cell r="BL98">
            <v>1031.7694142523274</v>
          </cell>
          <cell r="BM98">
            <v>1395.6606777721711</v>
          </cell>
          <cell r="BN98">
            <v>1543.5199256908286</v>
          </cell>
          <cell r="BO98">
            <v>1031.7694142523269</v>
          </cell>
          <cell r="BP98">
            <v>932.93256279506875</v>
          </cell>
          <cell r="BQ98">
            <v>981.10717245976275</v>
          </cell>
          <cell r="BR98">
            <v>1795.1917213704278</v>
          </cell>
          <cell r="BS98">
            <v>1707.0436954687445</v>
          </cell>
          <cell r="BT98">
            <v>1085.0477440885795</v>
          </cell>
          <cell r="BU98">
            <v>1261.9653916081936</v>
          </cell>
          <cell r="BV98">
            <v>1031.7694142523271</v>
          </cell>
          <cell r="BW98">
            <v>1327.1305413473517</v>
          </cell>
          <cell r="BX98">
            <v>1141.0772510686097</v>
          </cell>
          <cell r="BY98">
            <v>1467.7295614807629</v>
          </cell>
          <cell r="BZ98">
            <v>762.755690649592</v>
          </cell>
          <cell r="CA98">
            <v>1261.9653916081936</v>
          </cell>
          <cell r="CB98">
            <v>887.12343682215862</v>
          </cell>
          <cell r="CC98">
            <v>1395.6606777721711</v>
          </cell>
          <cell r="CD98">
            <v>1327.1305413473519</v>
          </cell>
          <cell r="CE98">
            <v>1031.7694142523269</v>
          </cell>
          <cell r="CF98">
            <v>932.93256279506875</v>
          </cell>
          <cell r="CG98">
            <v>887.12343682215874</v>
          </cell>
          <cell r="CH98">
            <v>802.1427365433259</v>
          </cell>
          <cell r="CI98">
            <v>1707.0436954687445</v>
          </cell>
          <cell r="CJ98">
            <v>1031.7694142523269</v>
          </cell>
          <cell r="CK98">
            <v>981.10717245976286</v>
          </cell>
          <cell r="CL98">
            <v>1261.9653916081936</v>
          </cell>
          <cell r="CM98">
            <v>1261.9653916081936</v>
          </cell>
          <cell r="CN98">
            <v>887.12343682215874</v>
          </cell>
          <cell r="CO98">
            <v>1085.0477440885795</v>
          </cell>
          <cell r="CP98">
            <v>1085.0477440885791</v>
          </cell>
          <cell r="CQ98">
            <v>1199.9999999999995</v>
          </cell>
          <cell r="CR98">
            <v>802.14273654332578</v>
          </cell>
          <cell r="CS98">
            <v>1199.9999999999995</v>
          </cell>
          <cell r="CT98">
            <v>981.10717245976252</v>
          </cell>
          <cell r="CU98">
            <v>1467.7295614807629</v>
          </cell>
          <cell r="CV98">
            <v>1543.5199256908286</v>
          </cell>
          <cell r="CW98">
            <v>1395.6606777721711</v>
          </cell>
          <cell r="CX98">
            <v>1327.1305413473517</v>
          </cell>
          <cell r="CY98">
            <v>2195.7132983174288</v>
          </cell>
        </row>
        <row r="99">
          <cell r="D99">
            <v>1582.870334101578</v>
          </cell>
          <cell r="E99">
            <v>1431.2415710013781</v>
          </cell>
          <cell r="F99">
            <v>1230.5927311380608</v>
          </cell>
          <cell r="G99">
            <v>1112.7098890109644</v>
          </cell>
          <cell r="H99">
            <v>1294.1378648840334</v>
          </cell>
          <cell r="I99">
            <v>1230.5927311380606</v>
          </cell>
          <cell r="J99">
            <v>1360.9643312111427</v>
          </cell>
          <cell r="K99">
            <v>822.59251743784137</v>
          </cell>
          <cell r="L99">
            <v>1664.6063175329095</v>
          </cell>
          <cell r="M99">
            <v>1294.1378648840337</v>
          </cell>
          <cell r="N99">
            <v>1112.7098890109644</v>
          </cell>
          <cell r="O99">
            <v>1505.1477746955675</v>
          </cell>
          <cell r="P99">
            <v>1170.167809026693</v>
          </cell>
          <cell r="Q99">
            <v>1112.7098890109642</v>
          </cell>
          <cell r="R99">
            <v>1840.9582360980601</v>
          </cell>
          <cell r="S99">
            <v>1664.6063175329091</v>
          </cell>
          <cell r="T99">
            <v>1112.7098890109637</v>
          </cell>
          <cell r="U99">
            <v>743.79346279172944</v>
          </cell>
          <cell r="V99">
            <v>1505.1477746955677</v>
          </cell>
          <cell r="W99">
            <v>1750.5629694824095</v>
          </cell>
          <cell r="X99">
            <v>1431.2415710013781</v>
          </cell>
          <cell r="Y99">
            <v>782.20134045631642</v>
          </cell>
          <cell r="Z99">
            <v>865.06940700201324</v>
          </cell>
          <cell r="AA99">
            <v>1058.0732844912407</v>
          </cell>
          <cell r="AB99">
            <v>1112.7098890109639</v>
          </cell>
          <cell r="AC99">
            <v>956.71669201467864</v>
          </cell>
          <cell r="AD99">
            <v>1230.5927311380608</v>
          </cell>
          <cell r="AE99">
            <v>1360.9643312111427</v>
          </cell>
          <cell r="AF99">
            <v>1170.167809026693</v>
          </cell>
          <cell r="AG99">
            <v>1230.5927311380608</v>
          </cell>
          <cell r="AH99">
            <v>1170.1678090266926</v>
          </cell>
          <cell r="AI99">
            <v>1431.2415710013781</v>
          </cell>
          <cell r="AJ99">
            <v>1112.7098890109639</v>
          </cell>
          <cell r="AK99">
            <v>1360.9643312111427</v>
          </cell>
          <cell r="AL99">
            <v>956.71669201467887</v>
          </cell>
          <cell r="AM99">
            <v>1294.1378648840337</v>
          </cell>
          <cell r="AN99">
            <v>1170.167809026693</v>
          </cell>
          <cell r="AO99">
            <v>1230.5927311380608</v>
          </cell>
          <cell r="AP99">
            <v>1431.2415710013779</v>
          </cell>
          <cell r="AQ99">
            <v>1360.9643312111432</v>
          </cell>
          <cell r="AR99">
            <v>1750.5629694824097</v>
          </cell>
          <cell r="AS99">
            <v>1058.0732844912411</v>
          </cell>
          <cell r="AT99">
            <v>1112.7098890109644</v>
          </cell>
          <cell r="AU99">
            <v>1170.167809026693</v>
          </cell>
          <cell r="AV99">
            <v>1058.0732844912411</v>
          </cell>
          <cell r="AW99">
            <v>782.20134045631653</v>
          </cell>
          <cell r="AX99">
            <v>1294.1378648840334</v>
          </cell>
          <cell r="AY99">
            <v>1230.5927311380608</v>
          </cell>
          <cell r="AZ99">
            <v>1431.2415710013781</v>
          </cell>
          <cell r="BA99">
            <v>1006.1194624136672</v>
          </cell>
          <cell r="BB99">
            <v>1294.1378648840334</v>
          </cell>
          <cell r="BC99">
            <v>1840.9582360980601</v>
          </cell>
          <cell r="BD99">
            <v>1112.7098890109644</v>
          </cell>
          <cell r="BE99">
            <v>1006.1194624136668</v>
          </cell>
          <cell r="BF99">
            <v>909.73971081296975</v>
          </cell>
          <cell r="BG99">
            <v>707.27149990432417</v>
          </cell>
          <cell r="BH99">
            <v>956.7166920146791</v>
          </cell>
          <cell r="BI99">
            <v>1230.592731138061</v>
          </cell>
          <cell r="BJ99">
            <v>1431.2415710013781</v>
          </cell>
          <cell r="BK99">
            <v>865.06940700201301</v>
          </cell>
          <cell r="BL99">
            <v>1058.0732844912411</v>
          </cell>
          <cell r="BM99">
            <v>1431.2415710013781</v>
          </cell>
          <cell r="BN99">
            <v>1582.8703341015785</v>
          </cell>
          <cell r="BO99">
            <v>1006.1194624136668</v>
          </cell>
          <cell r="BP99">
            <v>909.73971081296975</v>
          </cell>
          <cell r="BQ99">
            <v>1006.119462413667</v>
          </cell>
          <cell r="BR99">
            <v>1750.5629694824097</v>
          </cell>
          <cell r="BS99">
            <v>1750.5629694824095</v>
          </cell>
          <cell r="BT99">
            <v>1058.0732844912411</v>
          </cell>
          <cell r="BU99">
            <v>1294.1378648840334</v>
          </cell>
          <cell r="BV99">
            <v>1058.0732844912409</v>
          </cell>
          <cell r="BW99">
            <v>1294.1378648840334</v>
          </cell>
          <cell r="BX99">
            <v>1112.7098890109644</v>
          </cell>
          <cell r="BY99">
            <v>1505.1477746955675</v>
          </cell>
          <cell r="BZ99">
            <v>782.20134045631642</v>
          </cell>
          <cell r="CA99">
            <v>1294.1378648840334</v>
          </cell>
          <cell r="CB99">
            <v>909.73971081296963</v>
          </cell>
          <cell r="CC99">
            <v>1360.9643312111427</v>
          </cell>
          <cell r="CD99">
            <v>1360.964331211143</v>
          </cell>
          <cell r="CE99">
            <v>1058.0732844912407</v>
          </cell>
          <cell r="CF99">
            <v>909.73971081296975</v>
          </cell>
          <cell r="CG99">
            <v>865.06940700201312</v>
          </cell>
          <cell r="CH99">
            <v>782.20134045631653</v>
          </cell>
          <cell r="CI99">
            <v>1664.6063175329091</v>
          </cell>
          <cell r="CJ99">
            <v>1058.0732844912407</v>
          </cell>
          <cell r="CK99">
            <v>1006.1194624136671</v>
          </cell>
          <cell r="CL99">
            <v>1230.5927311380608</v>
          </cell>
          <cell r="CM99">
            <v>1230.5927311380608</v>
          </cell>
          <cell r="CN99">
            <v>909.73971081296975</v>
          </cell>
          <cell r="CO99">
            <v>1112.7098890109644</v>
          </cell>
          <cell r="CP99">
            <v>1112.7098890109639</v>
          </cell>
          <cell r="CQ99">
            <v>1230.5927311380608</v>
          </cell>
          <cell r="CR99">
            <v>782.20134045631642</v>
          </cell>
          <cell r="CS99">
            <v>1170.167809026693</v>
          </cell>
          <cell r="CT99">
            <v>1006.1194624136667</v>
          </cell>
          <cell r="CU99">
            <v>1431.2415710013781</v>
          </cell>
          <cell r="CV99">
            <v>1505.1477746955679</v>
          </cell>
          <cell r="CW99">
            <v>1431.2415710013781</v>
          </cell>
          <cell r="CX99">
            <v>1360.9643312111427</v>
          </cell>
          <cell r="CY99">
            <v>2251.6906871438377</v>
          </cell>
        </row>
        <row r="100">
          <cell r="D100">
            <v>1623.2239395662305</v>
          </cell>
          <cell r="E100">
            <v>1395.6606777721711</v>
          </cell>
          <cell r="F100">
            <v>1199.9999999999995</v>
          </cell>
          <cell r="G100">
            <v>1085.0477440885795</v>
          </cell>
          <cell r="H100">
            <v>1327.1305413473517</v>
          </cell>
          <cell r="I100">
            <v>1199.9999999999993</v>
          </cell>
          <cell r="J100">
            <v>1395.6606777721711</v>
          </cell>
          <cell r="K100">
            <v>802.14273654332578</v>
          </cell>
          <cell r="L100">
            <v>1623.2239395662309</v>
          </cell>
          <cell r="M100">
            <v>1327.1305413473519</v>
          </cell>
          <cell r="N100">
            <v>1141.0772510686097</v>
          </cell>
          <cell r="O100">
            <v>1467.7295614807629</v>
          </cell>
          <cell r="P100">
            <v>1141.0772510686097</v>
          </cell>
          <cell r="Q100">
            <v>1085.0477440885793</v>
          </cell>
          <cell r="R100">
            <v>1887.8915197258498</v>
          </cell>
          <cell r="S100">
            <v>1623.2239395662305</v>
          </cell>
          <cell r="T100">
            <v>1141.077251068609</v>
          </cell>
          <cell r="U100">
            <v>725.3026389361462</v>
          </cell>
          <cell r="V100">
            <v>1467.7295614807629</v>
          </cell>
          <cell r="W100">
            <v>1795.1917213704276</v>
          </cell>
          <cell r="X100">
            <v>1395.6606777721711</v>
          </cell>
          <cell r="Y100">
            <v>802.14273654332578</v>
          </cell>
          <cell r="Z100">
            <v>843.56364387297231</v>
          </cell>
          <cell r="AA100">
            <v>1085.0477440885791</v>
          </cell>
          <cell r="AB100">
            <v>1085.0477440885791</v>
          </cell>
          <cell r="AC100">
            <v>932.93256279506863</v>
          </cell>
          <cell r="AD100">
            <v>1261.9653916081936</v>
          </cell>
          <cell r="AE100">
            <v>1395.6606777721711</v>
          </cell>
          <cell r="AF100">
            <v>1141.0772510686097</v>
          </cell>
          <cell r="AG100">
            <v>1199.9999999999995</v>
          </cell>
          <cell r="AH100">
            <v>1199.9999999999991</v>
          </cell>
          <cell r="AI100">
            <v>1467.7295614807629</v>
          </cell>
          <cell r="AJ100">
            <v>1085.0477440885791</v>
          </cell>
          <cell r="AK100">
            <v>1327.1305413473517</v>
          </cell>
          <cell r="AL100">
            <v>932.93256279506875</v>
          </cell>
          <cell r="AM100">
            <v>1261.9653916081938</v>
          </cell>
          <cell r="AN100">
            <v>1199.9999999999995</v>
          </cell>
          <cell r="AO100">
            <v>1199.9999999999995</v>
          </cell>
          <cell r="AP100">
            <v>1467.7295614807626</v>
          </cell>
          <cell r="AQ100">
            <v>1395.6606777721715</v>
          </cell>
          <cell r="AR100">
            <v>1795.1917213704278</v>
          </cell>
          <cell r="AS100">
            <v>1031.7694142523274</v>
          </cell>
          <cell r="AT100">
            <v>1141.0772510686097</v>
          </cell>
          <cell r="AU100">
            <v>1141.0772510686097</v>
          </cell>
          <cell r="AV100">
            <v>1085.0477440885795</v>
          </cell>
          <cell r="AW100">
            <v>762.75569064959211</v>
          </cell>
          <cell r="AX100">
            <v>1261.9653916081936</v>
          </cell>
          <cell r="AY100">
            <v>1199.9999999999995</v>
          </cell>
          <cell r="AZ100">
            <v>1467.7295614807629</v>
          </cell>
          <cell r="BA100">
            <v>981.10717245976286</v>
          </cell>
          <cell r="BB100">
            <v>1261.9653916081936</v>
          </cell>
          <cell r="BC100">
            <v>1795.1917213704276</v>
          </cell>
          <cell r="BD100">
            <v>1085.0477440885795</v>
          </cell>
          <cell r="BE100">
            <v>981.10717245976264</v>
          </cell>
          <cell r="BF100">
            <v>887.12343682215874</v>
          </cell>
          <cell r="BG100">
            <v>689.68861785838851</v>
          </cell>
          <cell r="BH100">
            <v>932.93256279506897</v>
          </cell>
          <cell r="BI100">
            <v>1199.9999999999998</v>
          </cell>
          <cell r="BJ100">
            <v>1395.6606777721711</v>
          </cell>
          <cell r="BK100">
            <v>887.12343682215862</v>
          </cell>
          <cell r="BL100">
            <v>1031.7694142523274</v>
          </cell>
          <cell r="BM100">
            <v>1395.6606777721711</v>
          </cell>
          <cell r="BN100">
            <v>1623.2239395662309</v>
          </cell>
          <cell r="BO100">
            <v>1031.7694142523269</v>
          </cell>
          <cell r="BP100">
            <v>932.93256279506875</v>
          </cell>
          <cell r="BQ100">
            <v>1031.7694142523271</v>
          </cell>
          <cell r="BR100">
            <v>1707.0436954687448</v>
          </cell>
          <cell r="BS100">
            <v>1707.0436954687445</v>
          </cell>
          <cell r="BT100">
            <v>1085.0477440885795</v>
          </cell>
          <cell r="BU100">
            <v>1261.9653916081936</v>
          </cell>
          <cell r="BV100">
            <v>1085.0477440885793</v>
          </cell>
          <cell r="BW100">
            <v>1261.9653916081936</v>
          </cell>
          <cell r="BX100">
            <v>1085.0477440885795</v>
          </cell>
          <cell r="BY100">
            <v>1467.7295614807629</v>
          </cell>
          <cell r="BZ100">
            <v>762.755690649592</v>
          </cell>
          <cell r="CA100">
            <v>1327.1305413473517</v>
          </cell>
          <cell r="CB100">
            <v>932.93256279506863</v>
          </cell>
          <cell r="CC100">
            <v>1395.6606777721711</v>
          </cell>
          <cell r="CD100">
            <v>1327.1305413473519</v>
          </cell>
          <cell r="CE100">
            <v>1031.7694142523269</v>
          </cell>
          <cell r="CF100">
            <v>887.12343682215874</v>
          </cell>
          <cell r="CG100">
            <v>887.12343682215874</v>
          </cell>
          <cell r="CH100">
            <v>762.75569064959211</v>
          </cell>
          <cell r="CI100">
            <v>1707.0436954687445</v>
          </cell>
          <cell r="CJ100">
            <v>1031.7694142523269</v>
          </cell>
          <cell r="CK100">
            <v>1031.7694142523271</v>
          </cell>
          <cell r="CL100">
            <v>1261.9653916081936</v>
          </cell>
          <cell r="CM100">
            <v>1199.9999999999995</v>
          </cell>
          <cell r="CN100">
            <v>932.93256279506875</v>
          </cell>
          <cell r="CO100">
            <v>1085.0477440885795</v>
          </cell>
          <cell r="CP100">
            <v>1085.0477440885791</v>
          </cell>
          <cell r="CQ100">
            <v>1199.9999999999995</v>
          </cell>
          <cell r="CR100">
            <v>802.14273654332578</v>
          </cell>
          <cell r="CS100">
            <v>1141.0772510686097</v>
          </cell>
          <cell r="CT100">
            <v>981.10717245976252</v>
          </cell>
          <cell r="CU100">
            <v>1467.7295614807629</v>
          </cell>
          <cell r="CV100">
            <v>1467.7295614807631</v>
          </cell>
          <cell r="CW100">
            <v>1395.6606777721711</v>
          </cell>
          <cell r="CX100">
            <v>1327.1305413473517</v>
          </cell>
          <cell r="CY100">
            <v>2309.0951603087278</v>
          </cell>
        </row>
        <row r="101">
          <cell r="D101">
            <v>1664.6063175329091</v>
          </cell>
          <cell r="E101">
            <v>1431.2415710013781</v>
          </cell>
          <cell r="F101">
            <v>1170.167809026693</v>
          </cell>
          <cell r="G101">
            <v>1058.0732844912411</v>
          </cell>
          <cell r="H101">
            <v>1360.9643312111427</v>
          </cell>
          <cell r="I101">
            <v>1170.1678090266928</v>
          </cell>
          <cell r="J101">
            <v>1360.9643312111427</v>
          </cell>
          <cell r="K101">
            <v>782.20134045631642</v>
          </cell>
          <cell r="L101">
            <v>1664.6063175329095</v>
          </cell>
          <cell r="M101">
            <v>1360.964331211143</v>
          </cell>
          <cell r="N101">
            <v>1170.167809026693</v>
          </cell>
          <cell r="O101">
            <v>1431.2415710013781</v>
          </cell>
          <cell r="P101">
            <v>1112.7098890109644</v>
          </cell>
          <cell r="Q101">
            <v>1112.7098890109642</v>
          </cell>
          <cell r="R101">
            <v>1936.0213177931823</v>
          </cell>
          <cell r="S101">
            <v>1582.870334101578</v>
          </cell>
          <cell r="T101">
            <v>1170.1678090266923</v>
          </cell>
          <cell r="U101">
            <v>743.79346279172944</v>
          </cell>
          <cell r="V101">
            <v>1431.2415710013781</v>
          </cell>
          <cell r="W101">
            <v>1750.5629694824095</v>
          </cell>
          <cell r="X101">
            <v>1431.2415710013781</v>
          </cell>
          <cell r="Y101">
            <v>782.20134045631642</v>
          </cell>
          <cell r="Z101">
            <v>822.59251743784148</v>
          </cell>
          <cell r="AA101">
            <v>1058.0732844912407</v>
          </cell>
          <cell r="AB101">
            <v>1058.0732844912407</v>
          </cell>
          <cell r="AC101">
            <v>909.73971081296963</v>
          </cell>
          <cell r="AD101">
            <v>1294.1378648840334</v>
          </cell>
          <cell r="AE101">
            <v>1360.9643312111427</v>
          </cell>
          <cell r="AF101">
            <v>1170.167809026693</v>
          </cell>
          <cell r="AG101">
            <v>1170.167809026693</v>
          </cell>
          <cell r="AH101">
            <v>1170.1678090266926</v>
          </cell>
          <cell r="AI101">
            <v>1431.2415710013781</v>
          </cell>
          <cell r="AJ101">
            <v>1058.0732844912407</v>
          </cell>
          <cell r="AK101">
            <v>1360.9643312111427</v>
          </cell>
          <cell r="AL101">
            <v>956.71669201467876</v>
          </cell>
          <cell r="AM101">
            <v>1294.1378648840337</v>
          </cell>
          <cell r="AN101">
            <v>1170.167809026693</v>
          </cell>
          <cell r="AO101">
            <v>1170.167809026693</v>
          </cell>
          <cell r="AP101">
            <v>1505.1477746955673</v>
          </cell>
          <cell r="AQ101">
            <v>1360.9643312111432</v>
          </cell>
          <cell r="AR101">
            <v>1750.5629694824097</v>
          </cell>
          <cell r="AS101">
            <v>1058.0732844912411</v>
          </cell>
          <cell r="AT101">
            <v>1170.167809026693</v>
          </cell>
          <cell r="AU101">
            <v>1170.167809026693</v>
          </cell>
          <cell r="AV101">
            <v>1112.7098890109644</v>
          </cell>
          <cell r="AW101">
            <v>782.20134045631653</v>
          </cell>
          <cell r="AX101">
            <v>1294.1378648840334</v>
          </cell>
          <cell r="AY101">
            <v>1170.167809026693</v>
          </cell>
          <cell r="AZ101">
            <v>1431.2415710013781</v>
          </cell>
          <cell r="BA101">
            <v>956.7166920146791</v>
          </cell>
          <cell r="BB101">
            <v>1294.1378648840334</v>
          </cell>
          <cell r="BC101">
            <v>1750.5629694824095</v>
          </cell>
          <cell r="BD101">
            <v>1112.7098890109644</v>
          </cell>
          <cell r="BE101">
            <v>956.71669201467887</v>
          </cell>
          <cell r="BF101">
            <v>909.73971081296975</v>
          </cell>
          <cell r="BG101">
            <v>672.54284905833242</v>
          </cell>
          <cell r="BH101">
            <v>956.71669201467898</v>
          </cell>
          <cell r="BI101">
            <v>1230.592731138061</v>
          </cell>
          <cell r="BJ101">
            <v>1431.2415710013781</v>
          </cell>
          <cell r="BK101">
            <v>865.06940700201301</v>
          </cell>
          <cell r="BL101">
            <v>1058.0732844912411</v>
          </cell>
          <cell r="BM101">
            <v>1431.2415710013781</v>
          </cell>
          <cell r="BN101">
            <v>1664.6063175329095</v>
          </cell>
          <cell r="BO101">
            <v>1006.1194624136668</v>
          </cell>
          <cell r="BP101">
            <v>956.71669201467876</v>
          </cell>
          <cell r="BQ101">
            <v>1006.119462413667</v>
          </cell>
          <cell r="BR101">
            <v>1750.5629694824097</v>
          </cell>
          <cell r="BS101">
            <v>1750.5629694824095</v>
          </cell>
          <cell r="BT101">
            <v>1112.7098890109644</v>
          </cell>
          <cell r="BU101">
            <v>1230.5927311380608</v>
          </cell>
          <cell r="BV101">
            <v>1112.7098890109642</v>
          </cell>
          <cell r="BW101">
            <v>1294.1378648840334</v>
          </cell>
          <cell r="BX101">
            <v>1058.0732844912411</v>
          </cell>
          <cell r="BY101">
            <v>1431.2415710013781</v>
          </cell>
          <cell r="BZ101">
            <v>782.20134045631642</v>
          </cell>
          <cell r="CA101">
            <v>1294.1378648840334</v>
          </cell>
          <cell r="CB101">
            <v>956.71669201467864</v>
          </cell>
          <cell r="CC101">
            <v>1431.2415710013781</v>
          </cell>
          <cell r="CD101">
            <v>1360.964331211143</v>
          </cell>
          <cell r="CE101">
            <v>1058.0732844912407</v>
          </cell>
          <cell r="CF101">
            <v>865.06940700201312</v>
          </cell>
          <cell r="CG101">
            <v>909.73971081296975</v>
          </cell>
          <cell r="CH101">
            <v>782.20134045631653</v>
          </cell>
          <cell r="CI101">
            <v>1664.6063175329091</v>
          </cell>
          <cell r="CJ101">
            <v>1058.0732844912407</v>
          </cell>
          <cell r="CK101">
            <v>1006.119462413667</v>
          </cell>
          <cell r="CL101">
            <v>1230.5927311380608</v>
          </cell>
          <cell r="CM101">
            <v>1170.167809026693</v>
          </cell>
          <cell r="CN101">
            <v>909.73971081296975</v>
          </cell>
          <cell r="CO101">
            <v>1058.0732844912411</v>
          </cell>
          <cell r="CP101">
            <v>1112.7098890109639</v>
          </cell>
          <cell r="CQ101">
            <v>1230.5927311380608</v>
          </cell>
          <cell r="CR101">
            <v>822.59251743784137</v>
          </cell>
          <cell r="CS101">
            <v>1170.167809026693</v>
          </cell>
          <cell r="CT101">
            <v>956.71669201467876</v>
          </cell>
          <cell r="CU101">
            <v>1505.1477746955675</v>
          </cell>
          <cell r="CV101">
            <v>1431.2415710013784</v>
          </cell>
          <cell r="CW101">
            <v>1360.9643312111427</v>
          </cell>
          <cell r="CX101">
            <v>1360.9643312111427</v>
          </cell>
          <cell r="CY101">
            <v>2367.9630998183306</v>
          </cell>
        </row>
        <row r="102">
          <cell r="D102">
            <v>1623.2239395662305</v>
          </cell>
          <cell r="E102">
            <v>1395.6606777721711</v>
          </cell>
          <cell r="F102">
            <v>1199.9999999999995</v>
          </cell>
          <cell r="G102">
            <v>1031.7694142523274</v>
          </cell>
          <cell r="H102">
            <v>1327.1305413473517</v>
          </cell>
          <cell r="I102">
            <v>1141.0772510686095</v>
          </cell>
          <cell r="J102">
            <v>1395.6606777721711</v>
          </cell>
          <cell r="K102">
            <v>802.14273654332578</v>
          </cell>
          <cell r="L102">
            <v>1707.043695468745</v>
          </cell>
          <cell r="M102">
            <v>1327.1305413473519</v>
          </cell>
          <cell r="N102">
            <v>1199.9999999999995</v>
          </cell>
          <cell r="O102">
            <v>1395.6606777721711</v>
          </cell>
          <cell r="P102">
            <v>1085.0477440885795</v>
          </cell>
          <cell r="Q102">
            <v>1141.0772510686095</v>
          </cell>
          <cell r="R102">
            <v>1985.3781341705173</v>
          </cell>
          <cell r="S102">
            <v>1623.2239395662305</v>
          </cell>
          <cell r="T102">
            <v>1141.077251068609</v>
          </cell>
          <cell r="U102">
            <v>725.3026389361462</v>
          </cell>
          <cell r="V102">
            <v>1467.7295614807629</v>
          </cell>
          <cell r="W102">
            <v>1795.1917213704276</v>
          </cell>
          <cell r="X102">
            <v>1467.7295614807629</v>
          </cell>
          <cell r="Y102">
            <v>802.14273654332578</v>
          </cell>
          <cell r="Z102">
            <v>843.56364387297219</v>
          </cell>
          <cell r="AA102">
            <v>1031.7694142523269</v>
          </cell>
          <cell r="AB102">
            <v>1085.0477440885791</v>
          </cell>
          <cell r="AC102">
            <v>887.12343682215862</v>
          </cell>
          <cell r="AD102">
            <v>1327.1305413473517</v>
          </cell>
          <cell r="AE102">
            <v>1395.6606777721711</v>
          </cell>
          <cell r="AF102">
            <v>1141.0772510686097</v>
          </cell>
          <cell r="AG102">
            <v>1141.0772510686097</v>
          </cell>
          <cell r="AH102">
            <v>1199.9999999999991</v>
          </cell>
          <cell r="AI102">
            <v>1395.6606777721711</v>
          </cell>
          <cell r="AJ102">
            <v>1031.7694142523269</v>
          </cell>
          <cell r="AK102">
            <v>1395.6606777721711</v>
          </cell>
          <cell r="AL102">
            <v>981.10717245976252</v>
          </cell>
          <cell r="AM102">
            <v>1261.9653916081938</v>
          </cell>
          <cell r="AN102">
            <v>1141.0772510686097</v>
          </cell>
          <cell r="AO102">
            <v>1141.0772510686097</v>
          </cell>
          <cell r="AP102">
            <v>1543.5199256908279</v>
          </cell>
          <cell r="AQ102">
            <v>1327.1305413473522</v>
          </cell>
          <cell r="AR102">
            <v>1795.1917213704278</v>
          </cell>
          <cell r="AS102">
            <v>1031.7694142523274</v>
          </cell>
          <cell r="AT102">
            <v>1141.0772510686097</v>
          </cell>
          <cell r="AU102">
            <v>1141.0772510686097</v>
          </cell>
          <cell r="AV102">
            <v>1085.0477440885795</v>
          </cell>
          <cell r="AW102">
            <v>802.1427365433259</v>
          </cell>
          <cell r="AX102">
            <v>1327.1305413473517</v>
          </cell>
          <cell r="AY102">
            <v>1199.9999999999995</v>
          </cell>
          <cell r="AZ102">
            <v>1395.6606777721711</v>
          </cell>
          <cell r="BA102">
            <v>981.10717245976286</v>
          </cell>
          <cell r="BB102">
            <v>1261.9653916081936</v>
          </cell>
          <cell r="BC102">
            <v>1707.0436954687445</v>
          </cell>
          <cell r="BD102">
            <v>1141.0772510686097</v>
          </cell>
          <cell r="BE102">
            <v>932.93256279506875</v>
          </cell>
          <cell r="BF102">
            <v>932.93256279506875</v>
          </cell>
          <cell r="BG102">
            <v>689.68861785838851</v>
          </cell>
          <cell r="BH102">
            <v>932.93256279506886</v>
          </cell>
          <cell r="BI102">
            <v>1199.9999999999998</v>
          </cell>
          <cell r="BJ102">
            <v>1395.6606777721711</v>
          </cell>
          <cell r="BK102">
            <v>843.56364387297208</v>
          </cell>
          <cell r="BL102">
            <v>1031.7694142523274</v>
          </cell>
          <cell r="BM102">
            <v>1395.6606777721711</v>
          </cell>
          <cell r="BN102">
            <v>1707.043695468745</v>
          </cell>
          <cell r="BO102">
            <v>981.10717245976264</v>
          </cell>
          <cell r="BP102">
            <v>932.93256279506875</v>
          </cell>
          <cell r="BQ102">
            <v>1031.7694142523271</v>
          </cell>
          <cell r="BR102">
            <v>1795.1917213704278</v>
          </cell>
          <cell r="BS102">
            <v>1795.1917213704276</v>
          </cell>
          <cell r="BT102">
            <v>1085.0477440885795</v>
          </cell>
          <cell r="BU102">
            <v>1261.9653916081936</v>
          </cell>
          <cell r="BV102">
            <v>1141.0772510686095</v>
          </cell>
          <cell r="BW102">
            <v>1327.1305413473517</v>
          </cell>
          <cell r="BX102">
            <v>1031.7694142523274</v>
          </cell>
          <cell r="BY102">
            <v>1395.6606777721711</v>
          </cell>
          <cell r="BZ102">
            <v>802.14273654332578</v>
          </cell>
          <cell r="CA102">
            <v>1327.1305413473517</v>
          </cell>
          <cell r="CB102">
            <v>932.93256279506863</v>
          </cell>
          <cell r="CC102">
            <v>1395.6606777721711</v>
          </cell>
          <cell r="CD102">
            <v>1395.6606777721713</v>
          </cell>
          <cell r="CE102">
            <v>1031.7694142523269</v>
          </cell>
          <cell r="CF102">
            <v>887.12343682215874</v>
          </cell>
          <cell r="CG102">
            <v>887.12343682215874</v>
          </cell>
          <cell r="CH102">
            <v>762.75569064959211</v>
          </cell>
          <cell r="CI102">
            <v>1707.0436954687445</v>
          </cell>
          <cell r="CJ102">
            <v>1031.7694142523269</v>
          </cell>
          <cell r="CK102">
            <v>1031.7694142523271</v>
          </cell>
          <cell r="CL102">
            <v>1261.9653916081936</v>
          </cell>
          <cell r="CM102">
            <v>1141.0772510686097</v>
          </cell>
          <cell r="CN102">
            <v>887.12343682215874</v>
          </cell>
          <cell r="CO102">
            <v>1085.0477440885795</v>
          </cell>
          <cell r="CP102">
            <v>1141.0772510686093</v>
          </cell>
          <cell r="CQ102">
            <v>1199.9999999999995</v>
          </cell>
          <cell r="CR102">
            <v>802.14273654332578</v>
          </cell>
          <cell r="CS102">
            <v>1141.0772510686097</v>
          </cell>
          <cell r="CT102">
            <v>981.10717245976252</v>
          </cell>
          <cell r="CU102">
            <v>1543.5199256908281</v>
          </cell>
          <cell r="CV102">
            <v>1467.7295614807631</v>
          </cell>
          <cell r="CW102">
            <v>1327.1305413473517</v>
          </cell>
          <cell r="CX102">
            <v>1395.6606777721711</v>
          </cell>
          <cell r="CY102">
            <v>2428.3318151996577</v>
          </cell>
        </row>
        <row r="103">
          <cell r="D103">
            <v>1582.870334101578</v>
          </cell>
          <cell r="E103">
            <v>1431.2415710013781</v>
          </cell>
          <cell r="F103">
            <v>1170.167809026693</v>
          </cell>
          <cell r="G103">
            <v>1006.1194624136672</v>
          </cell>
          <cell r="H103">
            <v>1294.1378648840334</v>
          </cell>
          <cell r="I103">
            <v>1170.1678090266928</v>
          </cell>
          <cell r="J103">
            <v>1360.9643312111427</v>
          </cell>
          <cell r="K103">
            <v>822.59251743784137</v>
          </cell>
          <cell r="L103">
            <v>1664.6063175329095</v>
          </cell>
          <cell r="M103">
            <v>1360.964331211143</v>
          </cell>
          <cell r="N103">
            <v>1230.5927311380608</v>
          </cell>
          <cell r="O103">
            <v>1431.2415710013781</v>
          </cell>
          <cell r="P103">
            <v>1058.0732844912411</v>
          </cell>
          <cell r="Q103">
            <v>1112.7098890109642</v>
          </cell>
          <cell r="R103">
            <v>2035.9932503922378</v>
          </cell>
          <cell r="S103">
            <v>1664.6063175329091</v>
          </cell>
          <cell r="T103">
            <v>1170.1678090266923</v>
          </cell>
          <cell r="U103">
            <v>707.27149990432417</v>
          </cell>
          <cell r="V103">
            <v>1505.1477746955675</v>
          </cell>
          <cell r="W103">
            <v>1750.5629694824095</v>
          </cell>
          <cell r="X103">
            <v>1505.1477746955675</v>
          </cell>
          <cell r="Y103">
            <v>822.59251743784137</v>
          </cell>
          <cell r="Z103">
            <v>865.06940700201312</v>
          </cell>
          <cell r="AA103">
            <v>1006.1194624136668</v>
          </cell>
          <cell r="AB103">
            <v>1058.0732844912407</v>
          </cell>
          <cell r="AC103">
            <v>909.73971081296963</v>
          </cell>
          <cell r="AD103">
            <v>1360.9643312111427</v>
          </cell>
          <cell r="AE103">
            <v>1431.2415710013781</v>
          </cell>
          <cell r="AF103">
            <v>1112.7098890109644</v>
          </cell>
          <cell r="AG103">
            <v>1170.167809026693</v>
          </cell>
          <cell r="AH103">
            <v>1230.5927311380603</v>
          </cell>
          <cell r="AI103">
            <v>1360.9643312111427</v>
          </cell>
          <cell r="AJ103">
            <v>1006.1194624136668</v>
          </cell>
          <cell r="AK103">
            <v>1431.2415710013781</v>
          </cell>
          <cell r="AL103">
            <v>956.71669201467876</v>
          </cell>
          <cell r="AM103">
            <v>1230.592731138061</v>
          </cell>
          <cell r="AN103">
            <v>1112.7098890109644</v>
          </cell>
          <cell r="AO103">
            <v>1112.7098890109644</v>
          </cell>
          <cell r="AP103">
            <v>1505.1477746955673</v>
          </cell>
          <cell r="AQ103">
            <v>1360.9643312111432</v>
          </cell>
          <cell r="AR103">
            <v>1750.5629694824097</v>
          </cell>
          <cell r="AS103">
            <v>1058.0732844912411</v>
          </cell>
          <cell r="AT103">
            <v>1170.167809026693</v>
          </cell>
          <cell r="AU103">
            <v>1170.167809026693</v>
          </cell>
          <cell r="AV103">
            <v>1058.0732844912411</v>
          </cell>
          <cell r="AW103">
            <v>782.20134045631653</v>
          </cell>
          <cell r="AX103">
            <v>1360.9643312111427</v>
          </cell>
          <cell r="AY103">
            <v>1170.167809026693</v>
          </cell>
          <cell r="AZ103">
            <v>1431.2415710013781</v>
          </cell>
          <cell r="BA103">
            <v>956.7166920146791</v>
          </cell>
          <cell r="BB103">
            <v>1230.5927311380608</v>
          </cell>
          <cell r="BC103">
            <v>1664.6063175329091</v>
          </cell>
          <cell r="BD103">
            <v>1170.167809026693</v>
          </cell>
          <cell r="BE103">
            <v>909.73971081296975</v>
          </cell>
          <cell r="BF103">
            <v>909.73971081296975</v>
          </cell>
          <cell r="BG103">
            <v>672.54284905833242</v>
          </cell>
          <cell r="BH103">
            <v>909.73971081296975</v>
          </cell>
          <cell r="BI103">
            <v>1230.592731138061</v>
          </cell>
          <cell r="BJ103">
            <v>1360.9643312111427</v>
          </cell>
          <cell r="BK103">
            <v>822.59251743784137</v>
          </cell>
          <cell r="BL103">
            <v>1006.1194624136672</v>
          </cell>
          <cell r="BM103">
            <v>1431.2415710013781</v>
          </cell>
          <cell r="BN103">
            <v>1664.6063175329095</v>
          </cell>
          <cell r="BO103">
            <v>1006.1194624136668</v>
          </cell>
          <cell r="BP103">
            <v>956.71669201467876</v>
          </cell>
          <cell r="BQ103">
            <v>1006.119462413667</v>
          </cell>
          <cell r="BR103">
            <v>1750.5629694824097</v>
          </cell>
          <cell r="BS103">
            <v>1840.9582360980601</v>
          </cell>
          <cell r="BT103">
            <v>1058.0732844912411</v>
          </cell>
          <cell r="BU103">
            <v>1230.5927311380608</v>
          </cell>
          <cell r="BV103">
            <v>1112.7098890109642</v>
          </cell>
          <cell r="BW103">
            <v>1360.9643312111427</v>
          </cell>
          <cell r="BX103">
            <v>1006.1194624136672</v>
          </cell>
          <cell r="BY103">
            <v>1431.2415710013781</v>
          </cell>
          <cell r="BZ103">
            <v>782.20134045631642</v>
          </cell>
          <cell r="CA103">
            <v>1294.1378648840334</v>
          </cell>
          <cell r="CB103">
            <v>909.73971081296963</v>
          </cell>
          <cell r="CC103">
            <v>1360.9643312111427</v>
          </cell>
          <cell r="CD103">
            <v>1360.964331211143</v>
          </cell>
          <cell r="CE103">
            <v>1006.1194624136668</v>
          </cell>
          <cell r="CF103">
            <v>909.73971081296975</v>
          </cell>
          <cell r="CG103">
            <v>865.06940700201312</v>
          </cell>
          <cell r="CH103">
            <v>743.79346279172955</v>
          </cell>
          <cell r="CI103">
            <v>1750.5629694824095</v>
          </cell>
          <cell r="CJ103">
            <v>1006.1194624136668</v>
          </cell>
          <cell r="CK103">
            <v>1058.0732844912409</v>
          </cell>
          <cell r="CL103">
            <v>1294.1378648840334</v>
          </cell>
          <cell r="CM103">
            <v>1170.167809026693</v>
          </cell>
          <cell r="CN103">
            <v>865.06940700201312</v>
          </cell>
          <cell r="CO103">
            <v>1112.7098890109644</v>
          </cell>
          <cell r="CP103">
            <v>1112.7098890109639</v>
          </cell>
          <cell r="CQ103">
            <v>1230.5927311380608</v>
          </cell>
          <cell r="CR103">
            <v>822.59251743784137</v>
          </cell>
          <cell r="CS103">
            <v>1170.167809026693</v>
          </cell>
          <cell r="CT103">
            <v>1006.1194624136667</v>
          </cell>
          <cell r="CU103">
            <v>1505.1477746955675</v>
          </cell>
          <cell r="CV103">
            <v>1431.2415710013784</v>
          </cell>
          <cell r="CW103">
            <v>1360.9643312111427</v>
          </cell>
          <cell r="CX103">
            <v>1360.9643312111427</v>
          </cell>
          <cell r="CY103">
            <v>2490.2395671466606</v>
          </cell>
        </row>
        <row r="104">
          <cell r="D104">
            <v>1543.5199256908281</v>
          </cell>
          <cell r="E104">
            <v>1395.6606777721711</v>
          </cell>
          <cell r="F104">
            <v>1141.0772510686097</v>
          </cell>
          <cell r="G104">
            <v>981.10717245976286</v>
          </cell>
          <cell r="H104">
            <v>1327.1305413473517</v>
          </cell>
          <cell r="I104">
            <v>1141.0772510686095</v>
          </cell>
          <cell r="J104">
            <v>1395.6606777721711</v>
          </cell>
          <cell r="K104">
            <v>843.56364387297208</v>
          </cell>
          <cell r="L104">
            <v>1707.043695468745</v>
          </cell>
          <cell r="M104">
            <v>1327.1305413473519</v>
          </cell>
          <cell r="N104">
            <v>1199.9999999999995</v>
          </cell>
          <cell r="O104">
            <v>1467.7295614807629</v>
          </cell>
          <cell r="P104">
            <v>1031.7694142523274</v>
          </cell>
          <cell r="Q104">
            <v>1085.0477440885793</v>
          </cell>
          <cell r="R104">
            <v>2087.8987454823687</v>
          </cell>
          <cell r="S104">
            <v>1623.2239395662305</v>
          </cell>
          <cell r="T104">
            <v>1141.077251068609</v>
          </cell>
          <cell r="U104">
            <v>725.3026389361462</v>
          </cell>
          <cell r="V104">
            <v>1543.5199256908281</v>
          </cell>
          <cell r="W104">
            <v>1795.1917213704276</v>
          </cell>
          <cell r="X104">
            <v>1543.5199256908281</v>
          </cell>
          <cell r="Y104">
            <v>843.56364387297208</v>
          </cell>
          <cell r="Z104">
            <v>887.12343682215874</v>
          </cell>
          <cell r="AA104">
            <v>1031.7694142523269</v>
          </cell>
          <cell r="AB104">
            <v>1085.0477440885791</v>
          </cell>
          <cell r="AC104">
            <v>932.93256279506863</v>
          </cell>
          <cell r="AD104">
            <v>1327.1305413473517</v>
          </cell>
          <cell r="AE104">
            <v>1467.7295614807629</v>
          </cell>
          <cell r="AF104">
            <v>1085.0477440885795</v>
          </cell>
          <cell r="AG104">
            <v>1141.0772510686097</v>
          </cell>
          <cell r="AH104">
            <v>1199.9999999999991</v>
          </cell>
          <cell r="AI104">
            <v>1395.6606777721711</v>
          </cell>
          <cell r="AJ104">
            <v>981.10717245976264</v>
          </cell>
          <cell r="AK104">
            <v>1467.7295614807629</v>
          </cell>
          <cell r="AL104">
            <v>932.93256279506875</v>
          </cell>
          <cell r="AM104">
            <v>1261.9653916081938</v>
          </cell>
          <cell r="AN104">
            <v>1141.0772510686097</v>
          </cell>
          <cell r="AO104">
            <v>1141.0772510686097</v>
          </cell>
          <cell r="AP104">
            <v>1467.7295614807626</v>
          </cell>
          <cell r="AQ104">
            <v>1327.1305413473522</v>
          </cell>
          <cell r="AR104">
            <v>1707.0436954687448</v>
          </cell>
          <cell r="AS104">
            <v>1031.7694142523274</v>
          </cell>
          <cell r="AT104">
            <v>1199.9999999999995</v>
          </cell>
          <cell r="AU104">
            <v>1141.0772510686097</v>
          </cell>
          <cell r="AV104">
            <v>1031.7694142523274</v>
          </cell>
          <cell r="AW104">
            <v>802.1427365433259</v>
          </cell>
          <cell r="AX104">
            <v>1395.6606777721711</v>
          </cell>
          <cell r="AY104">
            <v>1141.0772510686097</v>
          </cell>
          <cell r="AZ104">
            <v>1395.6606777721711</v>
          </cell>
          <cell r="BA104">
            <v>932.93256279506897</v>
          </cell>
          <cell r="BB104">
            <v>1261.9653916081936</v>
          </cell>
          <cell r="BC104">
            <v>1623.2239395662305</v>
          </cell>
          <cell r="BD104">
            <v>1141.0772510686097</v>
          </cell>
          <cell r="BE104">
            <v>887.12343682215874</v>
          </cell>
          <cell r="BF104">
            <v>932.93256279506875</v>
          </cell>
          <cell r="BG104">
            <v>689.68861785838851</v>
          </cell>
          <cell r="BH104">
            <v>932.93256279506875</v>
          </cell>
          <cell r="BI104">
            <v>1199.9999999999998</v>
          </cell>
          <cell r="BJ104">
            <v>1395.6606777721711</v>
          </cell>
          <cell r="BK104">
            <v>802.14273654332578</v>
          </cell>
          <cell r="BL104">
            <v>981.10717245976286</v>
          </cell>
          <cell r="BM104">
            <v>1467.7295614807629</v>
          </cell>
          <cell r="BN104">
            <v>1623.2239395662309</v>
          </cell>
          <cell r="BO104">
            <v>981.10717245976264</v>
          </cell>
          <cell r="BP104">
            <v>981.10717245976252</v>
          </cell>
          <cell r="BQ104">
            <v>1031.7694142523271</v>
          </cell>
          <cell r="BR104">
            <v>1795.1917213704278</v>
          </cell>
          <cell r="BS104">
            <v>1795.1917213704276</v>
          </cell>
          <cell r="BT104">
            <v>1031.7694142523274</v>
          </cell>
          <cell r="BU104">
            <v>1199.9999999999995</v>
          </cell>
          <cell r="BV104">
            <v>1141.0772510686095</v>
          </cell>
          <cell r="BW104">
            <v>1395.6606777721711</v>
          </cell>
          <cell r="BX104">
            <v>981.10717245976286</v>
          </cell>
          <cell r="BY104">
            <v>1467.7295614807629</v>
          </cell>
          <cell r="BZ104">
            <v>802.14273654332578</v>
          </cell>
          <cell r="CA104">
            <v>1327.1305413473517</v>
          </cell>
          <cell r="CB104">
            <v>887.12343682215862</v>
          </cell>
          <cell r="CC104">
            <v>1327.1305413473517</v>
          </cell>
          <cell r="CD104">
            <v>1327.1305413473519</v>
          </cell>
          <cell r="CE104">
            <v>981.10717245976264</v>
          </cell>
          <cell r="CF104">
            <v>932.93256279506875</v>
          </cell>
          <cell r="CG104">
            <v>843.56364387297219</v>
          </cell>
          <cell r="CH104">
            <v>762.75569064959211</v>
          </cell>
          <cell r="CI104">
            <v>1795.1917213704276</v>
          </cell>
          <cell r="CJ104">
            <v>981.10717245976264</v>
          </cell>
          <cell r="CK104">
            <v>1085.0477440885793</v>
          </cell>
          <cell r="CL104">
            <v>1327.1305413473517</v>
          </cell>
          <cell r="CM104">
            <v>1199.9999999999995</v>
          </cell>
          <cell r="CN104">
            <v>843.56364387297219</v>
          </cell>
          <cell r="CO104">
            <v>1085.0477440885795</v>
          </cell>
          <cell r="CP104">
            <v>1141.0772510686093</v>
          </cell>
          <cell r="CQ104">
            <v>1199.9999999999995</v>
          </cell>
          <cell r="CR104">
            <v>802.14273654332578</v>
          </cell>
          <cell r="CS104">
            <v>1141.0772510686097</v>
          </cell>
          <cell r="CT104">
            <v>1031.7694142523269</v>
          </cell>
          <cell r="CU104">
            <v>1543.5199256908281</v>
          </cell>
          <cell r="CV104">
            <v>1395.6606777721713</v>
          </cell>
          <cell r="CW104">
            <v>1395.6606777721711</v>
          </cell>
          <cell r="CX104">
            <v>1327.1305413473517</v>
          </cell>
          <cell r="CY104">
            <v>2553.7255917692273</v>
          </cell>
        </row>
        <row r="105">
          <cell r="D105">
            <v>1582.870334101578</v>
          </cell>
          <cell r="E105">
            <v>1360.9643312111427</v>
          </cell>
          <cell r="F105">
            <v>1170.167809026693</v>
          </cell>
          <cell r="G105">
            <v>1006.1194624136671</v>
          </cell>
          <cell r="H105">
            <v>1294.1378648840334</v>
          </cell>
          <cell r="I105">
            <v>1170.1678090266928</v>
          </cell>
          <cell r="J105">
            <v>1360.9643312111427</v>
          </cell>
          <cell r="K105">
            <v>865.06940700201301</v>
          </cell>
          <cell r="L105">
            <v>1750.5629694824099</v>
          </cell>
          <cell r="M105">
            <v>1360.964331211143</v>
          </cell>
          <cell r="N105">
            <v>1170.167809026693</v>
          </cell>
          <cell r="O105">
            <v>1431.2415710013781</v>
          </cell>
          <cell r="P105">
            <v>1006.1194624136672</v>
          </cell>
          <cell r="Q105">
            <v>1058.0732844912409</v>
          </cell>
          <cell r="R105">
            <v>2035.9932503922375</v>
          </cell>
          <cell r="S105">
            <v>1664.6063175329091</v>
          </cell>
          <cell r="T105">
            <v>1112.7098890109637</v>
          </cell>
          <cell r="U105">
            <v>743.79346279172944</v>
          </cell>
          <cell r="V105">
            <v>1505.1477746955675</v>
          </cell>
          <cell r="W105">
            <v>1750.5629694824095</v>
          </cell>
          <cell r="X105">
            <v>1505.1477746955675</v>
          </cell>
          <cell r="Y105">
            <v>865.06940700201301</v>
          </cell>
          <cell r="Z105">
            <v>909.73971081296975</v>
          </cell>
          <cell r="AA105">
            <v>1006.1194624136668</v>
          </cell>
          <cell r="AB105">
            <v>1058.0732844912407</v>
          </cell>
          <cell r="AC105">
            <v>909.73971081296963</v>
          </cell>
          <cell r="AD105">
            <v>1360.9643312111427</v>
          </cell>
          <cell r="AE105">
            <v>1431.2415710013781</v>
          </cell>
          <cell r="AF105">
            <v>1058.0732844912411</v>
          </cell>
          <cell r="AG105">
            <v>1112.7098890109644</v>
          </cell>
          <cell r="AH105">
            <v>1230.5927311380603</v>
          </cell>
          <cell r="AI105">
            <v>1431.2415710013781</v>
          </cell>
          <cell r="AJ105">
            <v>1006.1194624136668</v>
          </cell>
          <cell r="AK105">
            <v>1431.2415710013781</v>
          </cell>
          <cell r="AL105">
            <v>909.73971081296975</v>
          </cell>
          <cell r="AM105">
            <v>1294.1378648840337</v>
          </cell>
          <cell r="AN105">
            <v>1112.7098890109644</v>
          </cell>
          <cell r="AO105">
            <v>1112.7098890109644</v>
          </cell>
          <cell r="AP105">
            <v>1431.2415710013779</v>
          </cell>
          <cell r="AQ105">
            <v>1360.9643312111432</v>
          </cell>
          <cell r="AR105">
            <v>1664.6063175329093</v>
          </cell>
          <cell r="AS105">
            <v>1058.0732844912411</v>
          </cell>
          <cell r="AT105">
            <v>1230.5927311380608</v>
          </cell>
          <cell r="AU105">
            <v>1170.167809026693</v>
          </cell>
          <cell r="AV105">
            <v>1006.1194624136672</v>
          </cell>
          <cell r="AW105">
            <v>822.59251743784148</v>
          </cell>
          <cell r="AX105">
            <v>1360.9643312111427</v>
          </cell>
          <cell r="AY105">
            <v>1170.167809026693</v>
          </cell>
          <cell r="AZ105">
            <v>1360.9643312111427</v>
          </cell>
          <cell r="BA105">
            <v>956.71669201467898</v>
          </cell>
          <cell r="BB105">
            <v>1230.5927311380608</v>
          </cell>
          <cell r="BC105">
            <v>1664.6063175329091</v>
          </cell>
          <cell r="BD105">
            <v>1112.7098890109644</v>
          </cell>
          <cell r="BE105">
            <v>909.73971081296975</v>
          </cell>
          <cell r="BF105">
            <v>956.71669201467876</v>
          </cell>
          <cell r="BG105">
            <v>672.54284905833242</v>
          </cell>
          <cell r="BH105">
            <v>956.71669201467876</v>
          </cell>
          <cell r="BI105">
            <v>1230.592731138061</v>
          </cell>
          <cell r="BJ105">
            <v>1360.9643312111427</v>
          </cell>
          <cell r="BK105">
            <v>822.59251743784137</v>
          </cell>
          <cell r="BL105">
            <v>956.7166920146791</v>
          </cell>
          <cell r="BM105">
            <v>1431.2415710013781</v>
          </cell>
          <cell r="BN105">
            <v>1664.6063175329095</v>
          </cell>
          <cell r="BO105">
            <v>956.71669201467887</v>
          </cell>
          <cell r="BP105">
            <v>1006.1194624136667</v>
          </cell>
          <cell r="BQ105">
            <v>1006.119462413667</v>
          </cell>
          <cell r="BR105">
            <v>1840.9582360980603</v>
          </cell>
          <cell r="BS105">
            <v>1750.5629694824095</v>
          </cell>
          <cell r="BT105">
            <v>1058.0732844912411</v>
          </cell>
          <cell r="BU105">
            <v>1170.167809026693</v>
          </cell>
          <cell r="BV105">
            <v>1112.7098890109642</v>
          </cell>
          <cell r="BW105">
            <v>1431.2415710013781</v>
          </cell>
          <cell r="BX105">
            <v>956.7166920146791</v>
          </cell>
          <cell r="BY105">
            <v>1505.1477746955675</v>
          </cell>
          <cell r="BZ105">
            <v>822.59251743784137</v>
          </cell>
          <cell r="CA105">
            <v>1294.1378648840334</v>
          </cell>
          <cell r="CB105">
            <v>909.73971081296963</v>
          </cell>
          <cell r="CC105">
            <v>1294.1378648840334</v>
          </cell>
          <cell r="CD105">
            <v>1294.1378648840337</v>
          </cell>
          <cell r="CE105">
            <v>1006.1194624136668</v>
          </cell>
          <cell r="CF105">
            <v>956.71669201467876</v>
          </cell>
          <cell r="CG105">
            <v>865.06940700201312</v>
          </cell>
          <cell r="CH105">
            <v>743.79346279172955</v>
          </cell>
          <cell r="CI105">
            <v>1840.9582360980601</v>
          </cell>
          <cell r="CJ105">
            <v>1006.1194624136668</v>
          </cell>
          <cell r="CK105">
            <v>1112.7098890109642</v>
          </cell>
          <cell r="CL105">
            <v>1360.9643312111427</v>
          </cell>
          <cell r="CM105">
            <v>1170.167809026693</v>
          </cell>
          <cell r="CN105">
            <v>865.06940700201312</v>
          </cell>
          <cell r="CO105">
            <v>1058.0732844912411</v>
          </cell>
          <cell r="CP105">
            <v>1112.7098890109639</v>
          </cell>
          <cell r="CQ105">
            <v>1230.5927311380608</v>
          </cell>
          <cell r="CR105">
            <v>782.20134045631642</v>
          </cell>
          <cell r="CS105">
            <v>1170.167809026693</v>
          </cell>
          <cell r="CT105">
            <v>1006.1194624136668</v>
          </cell>
          <cell r="CU105">
            <v>1582.870334101578</v>
          </cell>
          <cell r="CV105">
            <v>1360.964331211143</v>
          </cell>
          <cell r="CW105">
            <v>1360.9643312111427</v>
          </cell>
          <cell r="CX105">
            <v>1360.9643312111427</v>
          </cell>
          <cell r="CY105">
            <v>2490.2395671466606</v>
          </cell>
        </row>
        <row r="106">
          <cell r="D106">
            <v>1543.5199256908281</v>
          </cell>
          <cell r="E106">
            <v>1395.6606777721711</v>
          </cell>
          <cell r="F106">
            <v>1199.9999999999995</v>
          </cell>
          <cell r="G106">
            <v>981.10717245976275</v>
          </cell>
          <cell r="H106">
            <v>1327.1305413473517</v>
          </cell>
          <cell r="I106">
            <v>1199.9999999999993</v>
          </cell>
          <cell r="J106">
            <v>1327.1305413473517</v>
          </cell>
          <cell r="K106">
            <v>887.12343682215862</v>
          </cell>
          <cell r="L106">
            <v>1795.191721370428</v>
          </cell>
          <cell r="M106">
            <v>1395.6606777721713</v>
          </cell>
          <cell r="N106">
            <v>1141.0772510686097</v>
          </cell>
          <cell r="O106">
            <v>1395.6606777721711</v>
          </cell>
          <cell r="P106">
            <v>981.10717245976286</v>
          </cell>
          <cell r="Q106">
            <v>1085.0477440885793</v>
          </cell>
          <cell r="R106">
            <v>1985.3781341705171</v>
          </cell>
          <cell r="S106">
            <v>1623.2239395662305</v>
          </cell>
          <cell r="T106">
            <v>1141.077251068609</v>
          </cell>
          <cell r="U106">
            <v>725.3026389361462</v>
          </cell>
          <cell r="V106">
            <v>1543.5199256908281</v>
          </cell>
          <cell r="W106">
            <v>1707.0436954687445</v>
          </cell>
          <cell r="X106">
            <v>1467.7295614807629</v>
          </cell>
          <cell r="Y106">
            <v>887.12343682215862</v>
          </cell>
          <cell r="Z106">
            <v>932.93256279506875</v>
          </cell>
          <cell r="AA106">
            <v>981.10717245976264</v>
          </cell>
          <cell r="AB106">
            <v>1031.7694142523269</v>
          </cell>
          <cell r="AC106">
            <v>932.93256279506863</v>
          </cell>
          <cell r="AD106">
            <v>1395.6606777721711</v>
          </cell>
          <cell r="AE106">
            <v>1395.6606777721711</v>
          </cell>
          <cell r="AF106">
            <v>1031.7694142523274</v>
          </cell>
          <cell r="AG106">
            <v>1085.0477440885795</v>
          </cell>
          <cell r="AH106">
            <v>1199.9999999999991</v>
          </cell>
          <cell r="AI106">
            <v>1395.6606777721711</v>
          </cell>
          <cell r="AJ106">
            <v>981.10717245976264</v>
          </cell>
          <cell r="AK106">
            <v>1467.7295614807629</v>
          </cell>
          <cell r="AL106">
            <v>887.12343682215874</v>
          </cell>
          <cell r="AM106">
            <v>1261.9653916081938</v>
          </cell>
          <cell r="AN106">
            <v>1141.0772510686097</v>
          </cell>
          <cell r="AO106">
            <v>1141.0772510686097</v>
          </cell>
          <cell r="AP106">
            <v>1467.7295614807626</v>
          </cell>
          <cell r="AQ106">
            <v>1327.1305413473522</v>
          </cell>
          <cell r="AR106">
            <v>1707.0436954687448</v>
          </cell>
          <cell r="AS106">
            <v>1031.7694142523274</v>
          </cell>
          <cell r="AT106">
            <v>1261.9653916081936</v>
          </cell>
          <cell r="AU106">
            <v>1141.0772510686097</v>
          </cell>
          <cell r="AV106">
            <v>1031.7694142523274</v>
          </cell>
          <cell r="AW106">
            <v>802.1427365433259</v>
          </cell>
          <cell r="AX106">
            <v>1327.1305413473517</v>
          </cell>
          <cell r="AY106">
            <v>1199.9999999999995</v>
          </cell>
          <cell r="AZ106">
            <v>1395.6606777721711</v>
          </cell>
          <cell r="BA106">
            <v>932.93256279506886</v>
          </cell>
          <cell r="BB106">
            <v>1199.9999999999995</v>
          </cell>
          <cell r="BC106">
            <v>1623.2239395662305</v>
          </cell>
          <cell r="BD106">
            <v>1141.0772510686097</v>
          </cell>
          <cell r="BE106">
            <v>932.93256279506875</v>
          </cell>
          <cell r="BF106">
            <v>932.93256279506875</v>
          </cell>
          <cell r="BG106">
            <v>689.68861785838851</v>
          </cell>
          <cell r="BH106">
            <v>932.93256279506875</v>
          </cell>
          <cell r="BI106">
            <v>1199.9999999999998</v>
          </cell>
          <cell r="BJ106">
            <v>1395.6606777721711</v>
          </cell>
          <cell r="BK106">
            <v>843.56364387297208</v>
          </cell>
          <cell r="BL106">
            <v>981.10717245976286</v>
          </cell>
          <cell r="BM106">
            <v>1395.6606777721711</v>
          </cell>
          <cell r="BN106">
            <v>1707.043695468745</v>
          </cell>
          <cell r="BO106">
            <v>981.10717245976264</v>
          </cell>
          <cell r="BP106">
            <v>1031.7694142523269</v>
          </cell>
          <cell r="BQ106">
            <v>981.10717245976264</v>
          </cell>
          <cell r="BR106">
            <v>1887.89151972585</v>
          </cell>
          <cell r="BS106">
            <v>1707.0436954687445</v>
          </cell>
          <cell r="BT106">
            <v>1085.0477440885795</v>
          </cell>
          <cell r="BU106">
            <v>1141.0772510686097</v>
          </cell>
          <cell r="BV106">
            <v>1085.0477440885793</v>
          </cell>
          <cell r="BW106">
            <v>1395.6606777721711</v>
          </cell>
          <cell r="BX106">
            <v>932.93256279506897</v>
          </cell>
          <cell r="BY106">
            <v>1543.5199256908281</v>
          </cell>
          <cell r="BZ106">
            <v>843.56364387297208</v>
          </cell>
          <cell r="CA106">
            <v>1261.9653916081936</v>
          </cell>
          <cell r="CB106">
            <v>887.12343682215862</v>
          </cell>
          <cell r="CC106">
            <v>1327.1305413473517</v>
          </cell>
          <cell r="CD106">
            <v>1327.1305413473519</v>
          </cell>
          <cell r="CE106">
            <v>1031.7694142523269</v>
          </cell>
          <cell r="CF106">
            <v>932.93256279506875</v>
          </cell>
          <cell r="CG106">
            <v>843.56364387297219</v>
          </cell>
          <cell r="CH106">
            <v>762.75569064959211</v>
          </cell>
          <cell r="CI106">
            <v>1795.1917213704276</v>
          </cell>
          <cell r="CJ106">
            <v>981.10717245976264</v>
          </cell>
          <cell r="CK106">
            <v>1085.0477440885793</v>
          </cell>
          <cell r="CL106">
            <v>1327.1305413473517</v>
          </cell>
          <cell r="CM106">
            <v>1141.0772510686097</v>
          </cell>
          <cell r="CN106">
            <v>887.12343682215874</v>
          </cell>
          <cell r="CO106">
            <v>1085.0477440885795</v>
          </cell>
          <cell r="CP106">
            <v>1085.0477440885791</v>
          </cell>
          <cell r="CQ106">
            <v>1261.9653916081936</v>
          </cell>
          <cell r="CR106">
            <v>802.14273654332578</v>
          </cell>
          <cell r="CS106">
            <v>1141.0772510686097</v>
          </cell>
          <cell r="CT106">
            <v>1031.7694142523269</v>
          </cell>
          <cell r="CU106">
            <v>1623.2239395662305</v>
          </cell>
          <cell r="CV106">
            <v>1395.6606777721713</v>
          </cell>
          <cell r="CW106">
            <v>1395.6606777721711</v>
          </cell>
          <cell r="CX106">
            <v>1395.6606777721711</v>
          </cell>
          <cell r="CY106">
            <v>2553.7255917692273</v>
          </cell>
        </row>
        <row r="107">
          <cell r="D107">
            <v>1582.870334101578</v>
          </cell>
          <cell r="E107">
            <v>1431.2415710013781</v>
          </cell>
          <cell r="F107">
            <v>1170.167809026693</v>
          </cell>
          <cell r="G107">
            <v>956.71669201467898</v>
          </cell>
          <cell r="H107">
            <v>1360.9643312111427</v>
          </cell>
          <cell r="I107">
            <v>1230.5927311380606</v>
          </cell>
          <cell r="J107">
            <v>1294.1378648840334</v>
          </cell>
          <cell r="K107">
            <v>865.06940700201301</v>
          </cell>
          <cell r="L107">
            <v>1840.9582360980605</v>
          </cell>
          <cell r="M107">
            <v>1431.2415710013784</v>
          </cell>
          <cell r="N107">
            <v>1112.7098890109644</v>
          </cell>
          <cell r="O107">
            <v>1360.9643312111427</v>
          </cell>
          <cell r="P107">
            <v>956.7166920146791</v>
          </cell>
          <cell r="Q107">
            <v>1058.0732844912409</v>
          </cell>
          <cell r="R107">
            <v>1936.0213177931821</v>
          </cell>
          <cell r="S107">
            <v>1664.6063175329091</v>
          </cell>
          <cell r="T107">
            <v>1170.1678090266923</v>
          </cell>
          <cell r="U107">
            <v>743.79346279172944</v>
          </cell>
          <cell r="V107">
            <v>1582.870334101578</v>
          </cell>
          <cell r="W107">
            <v>1750.5629694824095</v>
          </cell>
          <cell r="X107">
            <v>1505.1477746955675</v>
          </cell>
          <cell r="Y107">
            <v>865.06940700201301</v>
          </cell>
          <cell r="Z107">
            <v>909.73971081296975</v>
          </cell>
          <cell r="AA107">
            <v>956.71669201467887</v>
          </cell>
          <cell r="AB107">
            <v>1006.1194624136668</v>
          </cell>
          <cell r="AC107">
            <v>956.71669201467864</v>
          </cell>
          <cell r="AD107">
            <v>1360.9643312111427</v>
          </cell>
          <cell r="AE107">
            <v>1360.9643312111427</v>
          </cell>
          <cell r="AF107">
            <v>1058.0732844912411</v>
          </cell>
          <cell r="AG107">
            <v>1112.7098890109644</v>
          </cell>
          <cell r="AH107">
            <v>1170.1678090266926</v>
          </cell>
          <cell r="AI107">
            <v>1431.2415710013781</v>
          </cell>
          <cell r="AJ107">
            <v>956.71669201467887</v>
          </cell>
          <cell r="AK107">
            <v>1505.1477746955675</v>
          </cell>
          <cell r="AL107">
            <v>865.06940700201312</v>
          </cell>
          <cell r="AM107">
            <v>1230.592731138061</v>
          </cell>
          <cell r="AN107">
            <v>1170.167809026693</v>
          </cell>
          <cell r="AO107">
            <v>1112.7098890109644</v>
          </cell>
          <cell r="AP107">
            <v>1505.1477746955673</v>
          </cell>
          <cell r="AQ107">
            <v>1360.9643312111432</v>
          </cell>
          <cell r="AR107">
            <v>1664.6063175329093</v>
          </cell>
          <cell r="AS107">
            <v>1006.1194624136672</v>
          </cell>
          <cell r="AT107">
            <v>1230.5927311380608</v>
          </cell>
          <cell r="AU107">
            <v>1112.7098890109644</v>
          </cell>
          <cell r="AV107">
            <v>1006.1194624136672</v>
          </cell>
          <cell r="AW107">
            <v>822.59251743784148</v>
          </cell>
          <cell r="AX107">
            <v>1360.9643312111427</v>
          </cell>
          <cell r="AY107">
            <v>1230.5927311380608</v>
          </cell>
          <cell r="AZ107">
            <v>1360.9643312111427</v>
          </cell>
          <cell r="BA107">
            <v>956.71669201467887</v>
          </cell>
          <cell r="BB107">
            <v>1170.167809026693</v>
          </cell>
          <cell r="BC107">
            <v>1664.6063175329091</v>
          </cell>
          <cell r="BD107">
            <v>1112.7098890109644</v>
          </cell>
          <cell r="BE107">
            <v>956.71669201467876</v>
          </cell>
          <cell r="BF107">
            <v>909.73971081296975</v>
          </cell>
          <cell r="BG107">
            <v>672.54284905833242</v>
          </cell>
          <cell r="BH107">
            <v>909.73971081296975</v>
          </cell>
          <cell r="BI107">
            <v>1230.592731138061</v>
          </cell>
          <cell r="BJ107">
            <v>1360.9643312111427</v>
          </cell>
          <cell r="BK107">
            <v>865.06940700201301</v>
          </cell>
          <cell r="BL107">
            <v>1006.1194624136671</v>
          </cell>
          <cell r="BM107">
            <v>1431.2415710013781</v>
          </cell>
          <cell r="BN107">
            <v>1750.5629694824099</v>
          </cell>
          <cell r="BO107">
            <v>1006.1194624136668</v>
          </cell>
          <cell r="BP107">
            <v>1006.1194624136668</v>
          </cell>
          <cell r="BQ107">
            <v>956.71669201467887</v>
          </cell>
          <cell r="BR107">
            <v>1840.9582360980603</v>
          </cell>
          <cell r="BS107">
            <v>1664.6063175329091</v>
          </cell>
          <cell r="BT107">
            <v>1058.0732844912411</v>
          </cell>
          <cell r="BU107">
            <v>1170.167809026693</v>
          </cell>
          <cell r="BV107">
            <v>1112.7098890109642</v>
          </cell>
          <cell r="BW107">
            <v>1360.9643312111427</v>
          </cell>
          <cell r="BX107">
            <v>956.71669201467898</v>
          </cell>
          <cell r="BY107">
            <v>1582.870334101578</v>
          </cell>
          <cell r="BZ107">
            <v>822.59251743784137</v>
          </cell>
          <cell r="CA107">
            <v>1230.5927311380608</v>
          </cell>
          <cell r="CB107">
            <v>909.73971081296963</v>
          </cell>
          <cell r="CC107">
            <v>1294.1378648840334</v>
          </cell>
          <cell r="CD107">
            <v>1360.964331211143</v>
          </cell>
          <cell r="CE107">
            <v>1058.0732844912407</v>
          </cell>
          <cell r="CF107">
            <v>909.73971081296975</v>
          </cell>
          <cell r="CG107">
            <v>822.59251743784137</v>
          </cell>
          <cell r="CH107">
            <v>782.20134045631653</v>
          </cell>
          <cell r="CI107">
            <v>1840.9582360980601</v>
          </cell>
          <cell r="CJ107">
            <v>956.71669201467887</v>
          </cell>
          <cell r="CK107">
            <v>1112.7098890109642</v>
          </cell>
          <cell r="CL107">
            <v>1360.9643312111427</v>
          </cell>
          <cell r="CM107">
            <v>1170.167809026693</v>
          </cell>
          <cell r="CN107">
            <v>909.73971081296975</v>
          </cell>
          <cell r="CO107">
            <v>1112.7098890109644</v>
          </cell>
          <cell r="CP107">
            <v>1058.0732844912407</v>
          </cell>
          <cell r="CQ107">
            <v>1294.1378648840334</v>
          </cell>
          <cell r="CR107">
            <v>782.20134045631642</v>
          </cell>
          <cell r="CS107">
            <v>1170.167809026693</v>
          </cell>
          <cell r="CT107">
            <v>1058.0732844912407</v>
          </cell>
          <cell r="CU107">
            <v>1582.870334101578</v>
          </cell>
          <cell r="CV107">
            <v>1431.2415710013784</v>
          </cell>
          <cell r="CW107">
            <v>1360.9643312111427</v>
          </cell>
          <cell r="CX107">
            <v>1360.9643312111427</v>
          </cell>
          <cell r="CY107">
            <v>2618.8301254603793</v>
          </cell>
        </row>
        <row r="108">
          <cell r="D108">
            <v>1543.5199256908281</v>
          </cell>
          <cell r="E108">
            <v>1395.6606777721711</v>
          </cell>
          <cell r="F108">
            <v>1199.9999999999995</v>
          </cell>
          <cell r="G108">
            <v>981.10717245976275</v>
          </cell>
          <cell r="H108">
            <v>1327.1305413473517</v>
          </cell>
          <cell r="I108">
            <v>1261.9653916081934</v>
          </cell>
          <cell r="J108">
            <v>1327.1305413473517</v>
          </cell>
          <cell r="K108">
            <v>843.56364387297208</v>
          </cell>
          <cell r="L108">
            <v>1795.191721370428</v>
          </cell>
          <cell r="M108">
            <v>1467.7295614807631</v>
          </cell>
          <cell r="N108">
            <v>1141.0772510686097</v>
          </cell>
          <cell r="O108">
            <v>1327.1305413473517</v>
          </cell>
          <cell r="P108">
            <v>932.93256279506897</v>
          </cell>
          <cell r="Q108">
            <v>1085.0477440885793</v>
          </cell>
          <cell r="R108">
            <v>1985.3781341705171</v>
          </cell>
          <cell r="S108">
            <v>1707.0436954687445</v>
          </cell>
          <cell r="T108">
            <v>1141.077251068609</v>
          </cell>
          <cell r="U108">
            <v>762.755690649592</v>
          </cell>
          <cell r="V108">
            <v>1543.5199256908281</v>
          </cell>
          <cell r="W108">
            <v>1707.0436954687445</v>
          </cell>
          <cell r="X108">
            <v>1543.5199256908281</v>
          </cell>
          <cell r="Y108">
            <v>843.56364387297208</v>
          </cell>
          <cell r="Z108">
            <v>932.93256279506875</v>
          </cell>
          <cell r="AA108">
            <v>981.10717245976264</v>
          </cell>
          <cell r="AB108">
            <v>1031.7694142523269</v>
          </cell>
          <cell r="AC108">
            <v>932.93256279506863</v>
          </cell>
          <cell r="AD108">
            <v>1395.6606777721711</v>
          </cell>
          <cell r="AE108">
            <v>1395.6606777721711</v>
          </cell>
          <cell r="AF108">
            <v>1031.7694142523274</v>
          </cell>
          <cell r="AG108">
            <v>1085.0477440885795</v>
          </cell>
          <cell r="AH108">
            <v>1141.0772510686093</v>
          </cell>
          <cell r="AI108">
            <v>1467.7295614807629</v>
          </cell>
          <cell r="AJ108">
            <v>981.10717245976264</v>
          </cell>
          <cell r="AK108">
            <v>1467.7295614807629</v>
          </cell>
          <cell r="AL108">
            <v>843.56364387297219</v>
          </cell>
          <cell r="AM108">
            <v>1199.9999999999998</v>
          </cell>
          <cell r="AN108">
            <v>1199.9999999999995</v>
          </cell>
          <cell r="AO108">
            <v>1085.0477440885795</v>
          </cell>
          <cell r="AP108">
            <v>1543.5199256908279</v>
          </cell>
          <cell r="AQ108">
            <v>1395.6606777721715</v>
          </cell>
          <cell r="AR108">
            <v>1707.0436954687448</v>
          </cell>
          <cell r="AS108">
            <v>981.10717245976286</v>
          </cell>
          <cell r="AT108">
            <v>1199.9999999999995</v>
          </cell>
          <cell r="AU108">
            <v>1141.0772510686097</v>
          </cell>
          <cell r="AV108">
            <v>1031.7694142523274</v>
          </cell>
          <cell r="AW108">
            <v>843.56364387297219</v>
          </cell>
          <cell r="AX108">
            <v>1395.6606777721711</v>
          </cell>
          <cell r="AY108">
            <v>1261.9653916081936</v>
          </cell>
          <cell r="AZ108">
            <v>1327.1305413473517</v>
          </cell>
          <cell r="BA108">
            <v>981.10717245976264</v>
          </cell>
          <cell r="BB108">
            <v>1141.0772510686097</v>
          </cell>
          <cell r="BC108">
            <v>1707.0436954687445</v>
          </cell>
          <cell r="BD108">
            <v>1085.0477440885795</v>
          </cell>
          <cell r="BE108">
            <v>981.10717245976252</v>
          </cell>
          <cell r="BF108">
            <v>932.93256279506875</v>
          </cell>
          <cell r="BG108">
            <v>689.68861785838851</v>
          </cell>
          <cell r="BH108">
            <v>887.12343682215874</v>
          </cell>
          <cell r="BI108">
            <v>1261.9653916081938</v>
          </cell>
          <cell r="BJ108">
            <v>1327.1305413473517</v>
          </cell>
          <cell r="BK108">
            <v>843.56364387297208</v>
          </cell>
          <cell r="BL108">
            <v>1031.7694142523271</v>
          </cell>
          <cell r="BM108">
            <v>1395.6606777721711</v>
          </cell>
          <cell r="BN108">
            <v>1707.043695468745</v>
          </cell>
          <cell r="BO108">
            <v>981.10717245976264</v>
          </cell>
          <cell r="BP108">
            <v>1031.7694142523269</v>
          </cell>
          <cell r="BQ108">
            <v>981.10717245976264</v>
          </cell>
          <cell r="BR108">
            <v>1887.89151972585</v>
          </cell>
          <cell r="BS108">
            <v>1707.0436954687445</v>
          </cell>
          <cell r="BT108">
            <v>1031.7694142523274</v>
          </cell>
          <cell r="BU108">
            <v>1199.9999999999995</v>
          </cell>
          <cell r="BV108">
            <v>1141.0772510686095</v>
          </cell>
          <cell r="BW108">
            <v>1327.1305413473517</v>
          </cell>
          <cell r="BX108">
            <v>981.10717245976275</v>
          </cell>
          <cell r="BY108">
            <v>1623.2239395662305</v>
          </cell>
          <cell r="BZ108">
            <v>843.56364387297208</v>
          </cell>
          <cell r="CA108">
            <v>1199.9999999999995</v>
          </cell>
          <cell r="CB108">
            <v>932.93256279506863</v>
          </cell>
          <cell r="CC108">
            <v>1327.1305413473517</v>
          </cell>
          <cell r="CD108">
            <v>1327.1305413473519</v>
          </cell>
          <cell r="CE108">
            <v>1085.0477440885791</v>
          </cell>
          <cell r="CF108">
            <v>887.12343682215874</v>
          </cell>
          <cell r="CG108">
            <v>843.56364387297208</v>
          </cell>
          <cell r="CH108">
            <v>802.1427365433259</v>
          </cell>
          <cell r="CI108">
            <v>1795.1917213704276</v>
          </cell>
          <cell r="CJ108">
            <v>932.93256279506875</v>
          </cell>
          <cell r="CK108">
            <v>1085.0477440885793</v>
          </cell>
          <cell r="CL108">
            <v>1395.6606777721711</v>
          </cell>
          <cell r="CM108">
            <v>1141.0772510686097</v>
          </cell>
          <cell r="CN108">
            <v>932.93256279506875</v>
          </cell>
          <cell r="CO108">
            <v>1141.0772510686097</v>
          </cell>
          <cell r="CP108">
            <v>1031.7694142523269</v>
          </cell>
          <cell r="CQ108">
            <v>1327.1305413473517</v>
          </cell>
          <cell r="CR108">
            <v>762.755690649592</v>
          </cell>
          <cell r="CS108">
            <v>1141.0772510686097</v>
          </cell>
          <cell r="CT108">
            <v>1085.0477440885791</v>
          </cell>
          <cell r="CU108">
            <v>1623.2239395662305</v>
          </cell>
          <cell r="CV108">
            <v>1395.6606777721713</v>
          </cell>
          <cell r="CW108">
            <v>1395.6606777721711</v>
          </cell>
          <cell r="CX108">
            <v>1327.1305413473517</v>
          </cell>
          <cell r="CY108">
            <v>2553.7255917692273</v>
          </cell>
        </row>
        <row r="109">
          <cell r="D109">
            <v>1582.870334101578</v>
          </cell>
          <cell r="E109">
            <v>1360.9643312111427</v>
          </cell>
          <cell r="F109">
            <v>1230.5927311380608</v>
          </cell>
          <cell r="G109">
            <v>1006.119462413667</v>
          </cell>
          <cell r="H109">
            <v>1360.9643312111427</v>
          </cell>
          <cell r="I109">
            <v>1294.1378648840332</v>
          </cell>
          <cell r="J109">
            <v>1294.1378648840334</v>
          </cell>
          <cell r="K109">
            <v>822.59251743784137</v>
          </cell>
          <cell r="L109">
            <v>1840.9582360980605</v>
          </cell>
          <cell r="M109">
            <v>1505.1477746955677</v>
          </cell>
          <cell r="N109">
            <v>1112.7098890109644</v>
          </cell>
          <cell r="O109">
            <v>1360.9643312111427</v>
          </cell>
          <cell r="P109">
            <v>909.73971081296986</v>
          </cell>
          <cell r="Q109">
            <v>1058.0732844912409</v>
          </cell>
          <cell r="R109">
            <v>1936.0213177931821</v>
          </cell>
          <cell r="S109">
            <v>1664.6063175329091</v>
          </cell>
          <cell r="T109">
            <v>1170.1678090266923</v>
          </cell>
          <cell r="U109">
            <v>782.20134045631642</v>
          </cell>
          <cell r="V109">
            <v>1505.1477746955675</v>
          </cell>
          <cell r="W109">
            <v>1664.6063175329091</v>
          </cell>
          <cell r="X109">
            <v>1505.1477746955675</v>
          </cell>
          <cell r="Y109">
            <v>822.59251743784137</v>
          </cell>
          <cell r="Z109">
            <v>909.73971081296975</v>
          </cell>
          <cell r="AA109">
            <v>1006.1194624136668</v>
          </cell>
          <cell r="AB109">
            <v>1058.0732844912407</v>
          </cell>
          <cell r="AC109">
            <v>956.71669201467864</v>
          </cell>
          <cell r="AD109">
            <v>1431.2415710013781</v>
          </cell>
          <cell r="AE109">
            <v>1360.9643312111427</v>
          </cell>
          <cell r="AF109">
            <v>1006.1194624136672</v>
          </cell>
          <cell r="AG109">
            <v>1058.0732844912411</v>
          </cell>
          <cell r="AH109">
            <v>1112.7098890109639</v>
          </cell>
          <cell r="AI109">
            <v>1505.1477746955675</v>
          </cell>
          <cell r="AJ109">
            <v>1006.1194624136668</v>
          </cell>
          <cell r="AK109">
            <v>1505.1477746955675</v>
          </cell>
          <cell r="AL109">
            <v>822.59251743784137</v>
          </cell>
          <cell r="AM109">
            <v>1170.1678090266932</v>
          </cell>
          <cell r="AN109">
            <v>1170.167809026693</v>
          </cell>
          <cell r="AO109">
            <v>1112.7098890109644</v>
          </cell>
          <cell r="AP109">
            <v>1582.8703341015778</v>
          </cell>
          <cell r="AQ109">
            <v>1431.2415710013786</v>
          </cell>
          <cell r="AR109">
            <v>1664.6063175329093</v>
          </cell>
          <cell r="AS109">
            <v>956.7166920146791</v>
          </cell>
          <cell r="AT109">
            <v>1230.5927311380608</v>
          </cell>
          <cell r="AU109">
            <v>1170.167809026693</v>
          </cell>
          <cell r="AV109">
            <v>1006.1194624136672</v>
          </cell>
          <cell r="AW109">
            <v>822.59251743784137</v>
          </cell>
          <cell r="AX109">
            <v>1360.9643312111427</v>
          </cell>
          <cell r="AY109">
            <v>1294.1378648840334</v>
          </cell>
          <cell r="AZ109">
            <v>1360.9643312111427</v>
          </cell>
          <cell r="BA109">
            <v>956.71669201467887</v>
          </cell>
          <cell r="BB109">
            <v>1170.167809026693</v>
          </cell>
          <cell r="BC109">
            <v>1750.5629694824095</v>
          </cell>
          <cell r="BD109">
            <v>1058.0732844912411</v>
          </cell>
          <cell r="BE109">
            <v>956.71669201467876</v>
          </cell>
          <cell r="BF109">
            <v>956.71669201467876</v>
          </cell>
          <cell r="BG109">
            <v>672.54284905833242</v>
          </cell>
          <cell r="BH109">
            <v>865.06940700201312</v>
          </cell>
          <cell r="BI109">
            <v>1294.1378648840337</v>
          </cell>
          <cell r="BJ109">
            <v>1360.9643312111427</v>
          </cell>
          <cell r="BK109">
            <v>865.06940700201301</v>
          </cell>
          <cell r="BL109">
            <v>1006.119462413667</v>
          </cell>
          <cell r="BM109">
            <v>1431.2415710013781</v>
          </cell>
          <cell r="BN109">
            <v>1664.6063175329095</v>
          </cell>
          <cell r="BO109">
            <v>956.71669201467887</v>
          </cell>
          <cell r="BP109">
            <v>1006.1194624136668</v>
          </cell>
          <cell r="BQ109">
            <v>1006.1194624136668</v>
          </cell>
          <cell r="BR109">
            <v>1936.0213177931826</v>
          </cell>
          <cell r="BS109">
            <v>1750.5629694824095</v>
          </cell>
          <cell r="BT109">
            <v>1006.1194624136672</v>
          </cell>
          <cell r="BU109">
            <v>1170.167809026693</v>
          </cell>
          <cell r="BV109">
            <v>1112.7098890109642</v>
          </cell>
          <cell r="BW109">
            <v>1360.9643312111427</v>
          </cell>
          <cell r="BX109">
            <v>1006.119462413667</v>
          </cell>
          <cell r="BY109">
            <v>1664.6063175329091</v>
          </cell>
          <cell r="BZ109">
            <v>865.06940700201301</v>
          </cell>
          <cell r="CA109">
            <v>1230.5927311380608</v>
          </cell>
          <cell r="CB109">
            <v>909.73971081296963</v>
          </cell>
          <cell r="CC109">
            <v>1360.9643312111427</v>
          </cell>
          <cell r="CD109">
            <v>1360.964331211143</v>
          </cell>
          <cell r="CE109">
            <v>1112.7098890109639</v>
          </cell>
          <cell r="CF109">
            <v>909.73971081296975</v>
          </cell>
          <cell r="CG109">
            <v>865.06940700201301</v>
          </cell>
          <cell r="CH109">
            <v>822.59251743784148</v>
          </cell>
          <cell r="CI109">
            <v>1750.5629694824095</v>
          </cell>
          <cell r="CJ109">
            <v>956.71669201467876</v>
          </cell>
          <cell r="CK109">
            <v>1058.0732844912409</v>
          </cell>
          <cell r="CL109">
            <v>1431.2415710013781</v>
          </cell>
          <cell r="CM109">
            <v>1112.7098890109644</v>
          </cell>
          <cell r="CN109">
            <v>956.71669201467876</v>
          </cell>
          <cell r="CO109">
            <v>1170.167809026693</v>
          </cell>
          <cell r="CP109">
            <v>1058.0732844912407</v>
          </cell>
          <cell r="CQ109">
            <v>1360.9643312111427</v>
          </cell>
          <cell r="CR109">
            <v>782.20134045631642</v>
          </cell>
          <cell r="CS109">
            <v>1170.167809026693</v>
          </cell>
          <cell r="CT109">
            <v>1112.7098890109639</v>
          </cell>
          <cell r="CU109">
            <v>1664.6063175329091</v>
          </cell>
          <cell r="CV109">
            <v>1360.964331211143</v>
          </cell>
          <cell r="CW109">
            <v>1431.2415710013781</v>
          </cell>
          <cell r="CX109">
            <v>1360.9643312111427</v>
          </cell>
          <cell r="CY109">
            <v>2618.8301254603793</v>
          </cell>
        </row>
        <row r="110">
          <cell r="D110">
            <v>1543.5199256908281</v>
          </cell>
          <cell r="E110">
            <v>1395.6606777721711</v>
          </cell>
          <cell r="F110">
            <v>1261.9653916081936</v>
          </cell>
          <cell r="G110">
            <v>1031.7694142523271</v>
          </cell>
          <cell r="H110">
            <v>1327.1305413473517</v>
          </cell>
          <cell r="I110">
            <v>1327.1305413473515</v>
          </cell>
          <cell r="J110">
            <v>1327.1305413473517</v>
          </cell>
          <cell r="K110">
            <v>843.56364387297208</v>
          </cell>
          <cell r="L110">
            <v>1887.8915197258502</v>
          </cell>
          <cell r="M110">
            <v>1543.5199256908284</v>
          </cell>
          <cell r="N110">
            <v>1085.0477440885795</v>
          </cell>
          <cell r="O110">
            <v>1327.1305413473517</v>
          </cell>
          <cell r="P110">
            <v>887.12343682215885</v>
          </cell>
          <cell r="Q110">
            <v>1031.7694142523271</v>
          </cell>
          <cell r="R110">
            <v>1887.8915197258495</v>
          </cell>
          <cell r="S110">
            <v>1707.0436954687445</v>
          </cell>
          <cell r="T110">
            <v>1141.077251068609</v>
          </cell>
          <cell r="U110">
            <v>762.755690649592</v>
          </cell>
          <cell r="V110">
            <v>1467.7295614807629</v>
          </cell>
          <cell r="W110">
            <v>1623.2239395662305</v>
          </cell>
          <cell r="X110">
            <v>1467.7295614807629</v>
          </cell>
          <cell r="Y110">
            <v>843.56364387297208</v>
          </cell>
          <cell r="Z110">
            <v>932.93256279506875</v>
          </cell>
          <cell r="AA110">
            <v>1031.7694142523269</v>
          </cell>
          <cell r="AB110">
            <v>1085.0477440885791</v>
          </cell>
          <cell r="AC110">
            <v>932.93256279506863</v>
          </cell>
          <cell r="AD110">
            <v>1467.7295614807629</v>
          </cell>
          <cell r="AE110">
            <v>1395.6606777721711</v>
          </cell>
          <cell r="AF110">
            <v>1031.7694142523274</v>
          </cell>
          <cell r="AG110">
            <v>1031.7694142523274</v>
          </cell>
          <cell r="AH110">
            <v>1141.0772510686093</v>
          </cell>
          <cell r="AI110">
            <v>1467.7295614807629</v>
          </cell>
          <cell r="AJ110">
            <v>981.10717245976264</v>
          </cell>
          <cell r="AK110">
            <v>1467.7295614807629</v>
          </cell>
          <cell r="AL110">
            <v>843.56364387297208</v>
          </cell>
          <cell r="AM110">
            <v>1141.0772510686097</v>
          </cell>
          <cell r="AN110">
            <v>1141.0772510686097</v>
          </cell>
          <cell r="AO110">
            <v>1085.0477440885795</v>
          </cell>
          <cell r="AP110">
            <v>1543.5199256908279</v>
          </cell>
          <cell r="AQ110">
            <v>1395.6606777721715</v>
          </cell>
          <cell r="AR110">
            <v>1707.0436954687448</v>
          </cell>
          <cell r="AS110">
            <v>981.10717245976286</v>
          </cell>
          <cell r="AT110">
            <v>1261.9653916081936</v>
          </cell>
          <cell r="AU110">
            <v>1141.0772510686097</v>
          </cell>
          <cell r="AV110">
            <v>1031.7694142523274</v>
          </cell>
          <cell r="AW110">
            <v>843.56364387297208</v>
          </cell>
          <cell r="AX110">
            <v>1327.1305413473517</v>
          </cell>
          <cell r="AY110">
            <v>1261.9653916081936</v>
          </cell>
          <cell r="AZ110">
            <v>1327.1305413473517</v>
          </cell>
          <cell r="BA110">
            <v>932.93256279506875</v>
          </cell>
          <cell r="BB110">
            <v>1141.0772510686097</v>
          </cell>
          <cell r="BC110">
            <v>1707.0436954687445</v>
          </cell>
          <cell r="BD110">
            <v>1031.7694142523274</v>
          </cell>
          <cell r="BE110">
            <v>932.93256279506875</v>
          </cell>
          <cell r="BF110">
            <v>981.10717245976252</v>
          </cell>
          <cell r="BG110">
            <v>655.82332679929914</v>
          </cell>
          <cell r="BH110">
            <v>887.12343682215874</v>
          </cell>
          <cell r="BI110">
            <v>1327.1305413473519</v>
          </cell>
          <cell r="BJ110">
            <v>1327.1305413473517</v>
          </cell>
          <cell r="BK110">
            <v>887.12343682215862</v>
          </cell>
          <cell r="BL110">
            <v>1031.7694142523271</v>
          </cell>
          <cell r="BM110">
            <v>1467.7295614807629</v>
          </cell>
          <cell r="BN110">
            <v>1707.043695468745</v>
          </cell>
          <cell r="BO110">
            <v>981.10717245976264</v>
          </cell>
          <cell r="BP110">
            <v>981.10717245976264</v>
          </cell>
          <cell r="BQ110">
            <v>981.10717245976264</v>
          </cell>
          <cell r="BR110">
            <v>1887.89151972585</v>
          </cell>
          <cell r="BS110">
            <v>1795.1917213704276</v>
          </cell>
          <cell r="BT110">
            <v>981.10717245976286</v>
          </cell>
          <cell r="BU110">
            <v>1199.9999999999995</v>
          </cell>
          <cell r="BV110">
            <v>1085.0477440885793</v>
          </cell>
          <cell r="BW110">
            <v>1395.6606777721711</v>
          </cell>
          <cell r="BX110">
            <v>1031.7694142523271</v>
          </cell>
          <cell r="BY110">
            <v>1623.2239395662305</v>
          </cell>
          <cell r="BZ110">
            <v>843.56364387297208</v>
          </cell>
          <cell r="CA110">
            <v>1261.9653916081936</v>
          </cell>
          <cell r="CB110">
            <v>887.12343682215862</v>
          </cell>
          <cell r="CC110">
            <v>1395.6606777721711</v>
          </cell>
          <cell r="CD110">
            <v>1395.6606777721713</v>
          </cell>
          <cell r="CE110">
            <v>1085.0477440885791</v>
          </cell>
          <cell r="CF110">
            <v>887.12343682215874</v>
          </cell>
          <cell r="CG110">
            <v>843.56364387297208</v>
          </cell>
          <cell r="CH110">
            <v>802.1427365433259</v>
          </cell>
          <cell r="CI110">
            <v>1795.1917213704276</v>
          </cell>
          <cell r="CJ110">
            <v>932.93256279506875</v>
          </cell>
          <cell r="CK110">
            <v>1031.7694142523271</v>
          </cell>
          <cell r="CL110">
            <v>1467.7295614807629</v>
          </cell>
          <cell r="CM110">
            <v>1085.0477440885795</v>
          </cell>
          <cell r="CN110">
            <v>981.10717245976252</v>
          </cell>
          <cell r="CO110">
            <v>1199.9999999999995</v>
          </cell>
          <cell r="CP110">
            <v>1031.7694142523269</v>
          </cell>
          <cell r="CQ110">
            <v>1395.6606777721711</v>
          </cell>
          <cell r="CR110">
            <v>802.14273654332578</v>
          </cell>
          <cell r="CS110">
            <v>1199.9999999999995</v>
          </cell>
          <cell r="CT110">
            <v>1085.0477440885791</v>
          </cell>
          <cell r="CU110">
            <v>1623.2239395662305</v>
          </cell>
          <cell r="CV110">
            <v>1327.1305413473519</v>
          </cell>
          <cell r="CW110">
            <v>1467.7295614807629</v>
          </cell>
          <cell r="CX110">
            <v>1327.1305413473517</v>
          </cell>
          <cell r="CY110">
            <v>2553.7255917692273</v>
          </cell>
        </row>
        <row r="111">
          <cell r="D111">
            <v>1582.870334101578</v>
          </cell>
          <cell r="E111">
            <v>1431.2415710013781</v>
          </cell>
          <cell r="F111">
            <v>1294.1378648840334</v>
          </cell>
          <cell r="G111">
            <v>1006.119462413667</v>
          </cell>
          <cell r="H111">
            <v>1294.1378648840334</v>
          </cell>
          <cell r="I111">
            <v>1360.9643312111425</v>
          </cell>
          <cell r="J111">
            <v>1360.9643312111427</v>
          </cell>
          <cell r="K111">
            <v>822.59251743784137</v>
          </cell>
          <cell r="L111">
            <v>1840.9582360980605</v>
          </cell>
          <cell r="M111">
            <v>1505.1477746955677</v>
          </cell>
          <cell r="N111">
            <v>1058.0732844912411</v>
          </cell>
          <cell r="O111">
            <v>1294.1378648840334</v>
          </cell>
          <cell r="P111">
            <v>865.06940700201324</v>
          </cell>
          <cell r="Q111">
            <v>1058.0732844912409</v>
          </cell>
          <cell r="R111">
            <v>1840.9582360980598</v>
          </cell>
          <cell r="S111">
            <v>1664.6063175329091</v>
          </cell>
          <cell r="T111">
            <v>1112.7098890109637</v>
          </cell>
          <cell r="U111">
            <v>743.79346279172944</v>
          </cell>
          <cell r="V111">
            <v>1431.2415710013781</v>
          </cell>
          <cell r="W111">
            <v>1664.6063175329091</v>
          </cell>
          <cell r="X111">
            <v>1505.1477746955675</v>
          </cell>
          <cell r="Y111">
            <v>865.06940700201301</v>
          </cell>
          <cell r="Z111">
            <v>909.73971081296975</v>
          </cell>
          <cell r="AA111">
            <v>1058.0732844912407</v>
          </cell>
          <cell r="AB111">
            <v>1112.7098890109639</v>
          </cell>
          <cell r="AC111">
            <v>956.71669201467864</v>
          </cell>
          <cell r="AD111">
            <v>1505.1477746955675</v>
          </cell>
          <cell r="AE111">
            <v>1360.9643312111427</v>
          </cell>
          <cell r="AF111">
            <v>1058.0732844912411</v>
          </cell>
          <cell r="AG111">
            <v>1058.0732844912411</v>
          </cell>
          <cell r="AH111">
            <v>1112.7098890109639</v>
          </cell>
          <cell r="AI111">
            <v>1505.1477746955675</v>
          </cell>
          <cell r="AJ111">
            <v>1006.1194624136668</v>
          </cell>
          <cell r="AK111">
            <v>1431.2415710013781</v>
          </cell>
          <cell r="AL111">
            <v>865.06940700201301</v>
          </cell>
          <cell r="AM111">
            <v>1170.167809026693</v>
          </cell>
          <cell r="AN111">
            <v>1170.167809026693</v>
          </cell>
          <cell r="AO111">
            <v>1112.7098890109644</v>
          </cell>
          <cell r="AP111">
            <v>1582.8703341015778</v>
          </cell>
          <cell r="AQ111">
            <v>1360.9643312111432</v>
          </cell>
          <cell r="AR111">
            <v>1664.6063175329093</v>
          </cell>
          <cell r="AS111">
            <v>956.7166920146791</v>
          </cell>
          <cell r="AT111">
            <v>1294.1378648840334</v>
          </cell>
          <cell r="AU111">
            <v>1170.167809026693</v>
          </cell>
          <cell r="AV111">
            <v>1058.0732844912411</v>
          </cell>
          <cell r="AW111">
            <v>865.06940700201301</v>
          </cell>
          <cell r="AX111">
            <v>1294.1378648840334</v>
          </cell>
          <cell r="AY111">
            <v>1230.5927311380608</v>
          </cell>
          <cell r="AZ111">
            <v>1294.1378648840334</v>
          </cell>
          <cell r="BA111">
            <v>956.71669201467876</v>
          </cell>
          <cell r="BB111">
            <v>1170.167809026693</v>
          </cell>
          <cell r="BC111">
            <v>1664.6063175329091</v>
          </cell>
          <cell r="BD111">
            <v>1058.0732844912411</v>
          </cell>
          <cell r="BE111">
            <v>956.71669201467876</v>
          </cell>
          <cell r="BF111">
            <v>1006.1194624136667</v>
          </cell>
          <cell r="BG111">
            <v>639.5194545244442</v>
          </cell>
          <cell r="BH111">
            <v>865.06940700201312</v>
          </cell>
          <cell r="BI111">
            <v>1360.964331211143</v>
          </cell>
          <cell r="BJ111">
            <v>1360.9643312111427</v>
          </cell>
          <cell r="BK111">
            <v>865.06940700201301</v>
          </cell>
          <cell r="BL111">
            <v>1006.119462413667</v>
          </cell>
          <cell r="BM111">
            <v>1431.2415710013781</v>
          </cell>
          <cell r="BN111">
            <v>1664.6063175329095</v>
          </cell>
          <cell r="BO111">
            <v>1006.1194624136668</v>
          </cell>
          <cell r="BP111">
            <v>956.71669201467887</v>
          </cell>
          <cell r="BQ111">
            <v>1006.1194624136668</v>
          </cell>
          <cell r="BR111">
            <v>1840.9582360980603</v>
          </cell>
          <cell r="BS111">
            <v>1750.5629694824095</v>
          </cell>
          <cell r="BT111">
            <v>1006.1194624136671</v>
          </cell>
          <cell r="BU111">
            <v>1170.167809026693</v>
          </cell>
          <cell r="BV111">
            <v>1112.7098890109642</v>
          </cell>
          <cell r="BW111">
            <v>1360.9643312111427</v>
          </cell>
          <cell r="BX111">
            <v>1058.0732844912409</v>
          </cell>
          <cell r="BY111">
            <v>1664.6063175329091</v>
          </cell>
          <cell r="BZ111">
            <v>865.06940700201301</v>
          </cell>
          <cell r="CA111">
            <v>1294.1378648840334</v>
          </cell>
          <cell r="CB111">
            <v>909.73971081296963</v>
          </cell>
          <cell r="CC111">
            <v>1431.2415710013781</v>
          </cell>
          <cell r="CD111">
            <v>1360.964331211143</v>
          </cell>
          <cell r="CE111">
            <v>1058.0732844912407</v>
          </cell>
          <cell r="CF111">
            <v>865.06940700201312</v>
          </cell>
          <cell r="CG111">
            <v>822.59251743784137</v>
          </cell>
          <cell r="CH111">
            <v>782.20134045631653</v>
          </cell>
          <cell r="CI111">
            <v>1840.9582360980601</v>
          </cell>
          <cell r="CJ111">
            <v>909.73971081296975</v>
          </cell>
          <cell r="CK111">
            <v>1006.119462413667</v>
          </cell>
          <cell r="CL111">
            <v>1505.1477746955675</v>
          </cell>
          <cell r="CM111">
            <v>1112.7098890109644</v>
          </cell>
          <cell r="CN111">
            <v>1006.1194624136667</v>
          </cell>
          <cell r="CO111">
            <v>1170.167809026693</v>
          </cell>
          <cell r="CP111">
            <v>1058.0732844912407</v>
          </cell>
          <cell r="CQ111">
            <v>1431.2415710013781</v>
          </cell>
          <cell r="CR111">
            <v>822.59251743784137</v>
          </cell>
          <cell r="CS111">
            <v>1230.5927311380608</v>
          </cell>
          <cell r="CT111">
            <v>1058.0732844912407</v>
          </cell>
          <cell r="CU111">
            <v>1582.870334101578</v>
          </cell>
          <cell r="CV111">
            <v>1360.964331211143</v>
          </cell>
          <cell r="CW111">
            <v>1505.1477746955675</v>
          </cell>
          <cell r="CX111">
            <v>1294.1378648840334</v>
          </cell>
          <cell r="CY111">
            <v>2490.2395671466606</v>
          </cell>
        </row>
        <row r="112">
          <cell r="D112">
            <v>1543.5199256908281</v>
          </cell>
          <cell r="E112">
            <v>1395.6606777721711</v>
          </cell>
          <cell r="F112">
            <v>1261.9653916081936</v>
          </cell>
          <cell r="G112">
            <v>981.10717245976264</v>
          </cell>
          <cell r="H112">
            <v>1327.1305413473517</v>
          </cell>
          <cell r="I112">
            <v>1327.1305413473515</v>
          </cell>
          <cell r="J112">
            <v>1395.6606777721711</v>
          </cell>
          <cell r="K112">
            <v>802.14273654332578</v>
          </cell>
          <cell r="L112">
            <v>1795.191721370428</v>
          </cell>
          <cell r="M112">
            <v>1543.5199256908284</v>
          </cell>
          <cell r="N112">
            <v>1031.7694142523274</v>
          </cell>
          <cell r="O112">
            <v>1261.9653916081936</v>
          </cell>
          <cell r="P112">
            <v>843.56364387297231</v>
          </cell>
          <cell r="Q112">
            <v>1031.7694142523271</v>
          </cell>
          <cell r="R112">
            <v>1887.8915197258495</v>
          </cell>
          <cell r="S112">
            <v>1623.2239395662305</v>
          </cell>
          <cell r="T112">
            <v>1085.0477440885788</v>
          </cell>
          <cell r="U112">
            <v>762.755690649592</v>
          </cell>
          <cell r="V112">
            <v>1395.6606777721711</v>
          </cell>
          <cell r="W112">
            <v>1707.0436954687445</v>
          </cell>
          <cell r="X112">
            <v>1543.5199256908281</v>
          </cell>
          <cell r="Y112">
            <v>887.12343682215862</v>
          </cell>
          <cell r="Z112">
            <v>887.12343682215874</v>
          </cell>
          <cell r="AA112">
            <v>1085.0477440885791</v>
          </cell>
          <cell r="AB112">
            <v>1141.0772510686093</v>
          </cell>
          <cell r="AC112">
            <v>981.10717245976241</v>
          </cell>
          <cell r="AD112">
            <v>1543.5199256908281</v>
          </cell>
          <cell r="AE112">
            <v>1327.1305413473517</v>
          </cell>
          <cell r="AF112">
            <v>1031.7694142523274</v>
          </cell>
          <cell r="AG112">
            <v>1085.0477440885795</v>
          </cell>
          <cell r="AH112">
            <v>1141.0772510686093</v>
          </cell>
          <cell r="AI112">
            <v>1543.5199256908281</v>
          </cell>
          <cell r="AJ112">
            <v>1031.7694142523269</v>
          </cell>
          <cell r="AK112">
            <v>1467.7295614807629</v>
          </cell>
          <cell r="AL112">
            <v>887.12343682215862</v>
          </cell>
          <cell r="AM112">
            <v>1141.0772510686097</v>
          </cell>
          <cell r="AN112">
            <v>1141.0772510686097</v>
          </cell>
          <cell r="AO112">
            <v>1141.0772510686097</v>
          </cell>
          <cell r="AP112">
            <v>1623.2239395662302</v>
          </cell>
          <cell r="AQ112">
            <v>1395.6606777721715</v>
          </cell>
          <cell r="AR112">
            <v>1623.2239395662307</v>
          </cell>
          <cell r="AS112">
            <v>981.10717245976286</v>
          </cell>
          <cell r="AT112">
            <v>1327.1305413473517</v>
          </cell>
          <cell r="AU112">
            <v>1199.9999999999995</v>
          </cell>
          <cell r="AV112">
            <v>1085.0477440885795</v>
          </cell>
          <cell r="AW112">
            <v>843.56364387297208</v>
          </cell>
          <cell r="AX112">
            <v>1327.1305413473517</v>
          </cell>
          <cell r="AY112">
            <v>1261.9653916081936</v>
          </cell>
          <cell r="AZ112">
            <v>1327.1305413473517</v>
          </cell>
          <cell r="BA112">
            <v>932.93256279506875</v>
          </cell>
          <cell r="BB112">
            <v>1199.9999999999995</v>
          </cell>
          <cell r="BC112">
            <v>1623.2239395662305</v>
          </cell>
          <cell r="BD112">
            <v>1085.0477440885795</v>
          </cell>
          <cell r="BE112">
            <v>932.93256279506875</v>
          </cell>
          <cell r="BF112">
            <v>981.10717245976252</v>
          </cell>
          <cell r="BG112">
            <v>655.82332679929914</v>
          </cell>
          <cell r="BH112">
            <v>843.56364387297219</v>
          </cell>
          <cell r="BI112">
            <v>1327.1305413473519</v>
          </cell>
          <cell r="BJ112">
            <v>1395.6606777721711</v>
          </cell>
          <cell r="BK112">
            <v>843.56364387297208</v>
          </cell>
          <cell r="BL112">
            <v>1031.7694142523271</v>
          </cell>
          <cell r="BM112">
            <v>1467.7295614807629</v>
          </cell>
          <cell r="BN112">
            <v>1623.2239395662309</v>
          </cell>
          <cell r="BO112">
            <v>1031.7694142523269</v>
          </cell>
          <cell r="BP112">
            <v>932.93256279506875</v>
          </cell>
          <cell r="BQ112">
            <v>981.10717245976264</v>
          </cell>
          <cell r="BR112">
            <v>1795.1917213704278</v>
          </cell>
          <cell r="BS112">
            <v>1795.1917213704276</v>
          </cell>
          <cell r="BT112">
            <v>1031.7694142523271</v>
          </cell>
          <cell r="BU112">
            <v>1199.9999999999995</v>
          </cell>
          <cell r="BV112">
            <v>1085.0477440885793</v>
          </cell>
          <cell r="BW112">
            <v>1327.1305413473517</v>
          </cell>
          <cell r="BX112">
            <v>1085.0477440885793</v>
          </cell>
          <cell r="BY112">
            <v>1707.0436954687445</v>
          </cell>
          <cell r="BZ112">
            <v>887.12343682215862</v>
          </cell>
          <cell r="CA112">
            <v>1261.9653916081936</v>
          </cell>
          <cell r="CB112">
            <v>932.93256279506863</v>
          </cell>
          <cell r="CC112">
            <v>1467.7295614807629</v>
          </cell>
          <cell r="CD112">
            <v>1327.1305413473519</v>
          </cell>
          <cell r="CE112">
            <v>1085.0477440885791</v>
          </cell>
          <cell r="CF112">
            <v>887.12343682215874</v>
          </cell>
          <cell r="CG112">
            <v>802.14273654332578</v>
          </cell>
          <cell r="CH112">
            <v>802.1427365433259</v>
          </cell>
          <cell r="CI112">
            <v>1887.8915197258498</v>
          </cell>
          <cell r="CJ112">
            <v>932.93256279506875</v>
          </cell>
          <cell r="CK112">
            <v>981.10717245976264</v>
          </cell>
          <cell r="CL112">
            <v>1467.7295614807629</v>
          </cell>
          <cell r="CM112">
            <v>1141.0772510686097</v>
          </cell>
          <cell r="CN112">
            <v>1031.7694142523269</v>
          </cell>
          <cell r="CO112">
            <v>1199.9999999999995</v>
          </cell>
          <cell r="CP112">
            <v>1085.0477440885791</v>
          </cell>
          <cell r="CQ112">
            <v>1467.7295614807629</v>
          </cell>
          <cell r="CR112">
            <v>843.56364387297208</v>
          </cell>
          <cell r="CS112">
            <v>1199.9999999999995</v>
          </cell>
          <cell r="CT112">
            <v>1085.0477440885791</v>
          </cell>
          <cell r="CU112">
            <v>1623.2239395662305</v>
          </cell>
          <cell r="CV112">
            <v>1395.6606777721713</v>
          </cell>
          <cell r="CW112">
            <v>1467.7295614807629</v>
          </cell>
          <cell r="CX112">
            <v>1261.9653916081936</v>
          </cell>
          <cell r="CY112">
            <v>2428.3318151996577</v>
          </cell>
        </row>
        <row r="113">
          <cell r="D113">
            <v>1505.1477746955675</v>
          </cell>
          <cell r="E113">
            <v>1360.9643312111427</v>
          </cell>
          <cell r="F113">
            <v>1294.1378648840334</v>
          </cell>
          <cell r="G113">
            <v>956.71669201467887</v>
          </cell>
          <cell r="H113">
            <v>1294.1378648840334</v>
          </cell>
          <cell r="I113">
            <v>1360.9643312111425</v>
          </cell>
          <cell r="J113">
            <v>1360.9643312111427</v>
          </cell>
          <cell r="K113">
            <v>822.59251743784137</v>
          </cell>
          <cell r="L113">
            <v>1750.5629694824099</v>
          </cell>
          <cell r="M113">
            <v>1505.1477746955677</v>
          </cell>
          <cell r="N113">
            <v>1058.0732844912411</v>
          </cell>
          <cell r="O113">
            <v>1294.1378648840334</v>
          </cell>
          <cell r="P113">
            <v>865.06940700201324</v>
          </cell>
          <cell r="Q113">
            <v>1006.119462413667</v>
          </cell>
          <cell r="R113">
            <v>1840.9582360980598</v>
          </cell>
          <cell r="S113">
            <v>1664.6063175329091</v>
          </cell>
          <cell r="T113">
            <v>1058.0732844912404</v>
          </cell>
          <cell r="U113">
            <v>782.20134045631642</v>
          </cell>
          <cell r="V113">
            <v>1360.9643312111427</v>
          </cell>
          <cell r="W113">
            <v>1750.5629694824095</v>
          </cell>
          <cell r="X113">
            <v>1505.1477746955675</v>
          </cell>
          <cell r="Y113">
            <v>865.06940700201301</v>
          </cell>
          <cell r="Z113">
            <v>909.73971081296975</v>
          </cell>
          <cell r="AA113">
            <v>1058.0732844912407</v>
          </cell>
          <cell r="AB113">
            <v>1170.1678090266926</v>
          </cell>
          <cell r="AC113">
            <v>956.71669201467864</v>
          </cell>
          <cell r="AD113">
            <v>1505.1477746955675</v>
          </cell>
          <cell r="AE113">
            <v>1294.1378648840334</v>
          </cell>
          <cell r="AF113">
            <v>1006.1194624136672</v>
          </cell>
          <cell r="AG113">
            <v>1058.0732844912411</v>
          </cell>
          <cell r="AH113">
            <v>1170.1678090266926</v>
          </cell>
          <cell r="AI113">
            <v>1505.1477746955675</v>
          </cell>
          <cell r="AJ113">
            <v>1006.1194624136668</v>
          </cell>
          <cell r="AK113">
            <v>1505.1477746955675</v>
          </cell>
          <cell r="AL113">
            <v>909.73971081296963</v>
          </cell>
          <cell r="AM113">
            <v>1112.7098890109644</v>
          </cell>
          <cell r="AN113">
            <v>1112.7098890109644</v>
          </cell>
          <cell r="AO113">
            <v>1112.7098890109644</v>
          </cell>
          <cell r="AP113">
            <v>1582.8703341015778</v>
          </cell>
          <cell r="AQ113">
            <v>1431.2415710013786</v>
          </cell>
          <cell r="AR113">
            <v>1664.6063175329093</v>
          </cell>
          <cell r="AS113">
            <v>956.7166920146791</v>
          </cell>
          <cell r="AT113">
            <v>1294.1378648840334</v>
          </cell>
          <cell r="AU113">
            <v>1230.5927311380608</v>
          </cell>
          <cell r="AV113">
            <v>1112.7098890109644</v>
          </cell>
          <cell r="AW113">
            <v>865.06940700201301</v>
          </cell>
          <cell r="AX113">
            <v>1360.9643312111427</v>
          </cell>
          <cell r="AY113">
            <v>1294.1378648840334</v>
          </cell>
          <cell r="AZ113">
            <v>1360.9643312111427</v>
          </cell>
          <cell r="BA113">
            <v>956.71669201467876</v>
          </cell>
          <cell r="BB113">
            <v>1230.5927311380608</v>
          </cell>
          <cell r="BC113">
            <v>1582.870334101578</v>
          </cell>
          <cell r="BD113">
            <v>1058.0732844912411</v>
          </cell>
          <cell r="BE113">
            <v>909.73971081296975</v>
          </cell>
          <cell r="BF113">
            <v>1006.1194624136667</v>
          </cell>
          <cell r="BG113">
            <v>672.54284905833242</v>
          </cell>
          <cell r="BH113">
            <v>822.59251743784137</v>
          </cell>
          <cell r="BI113">
            <v>1294.1378648840337</v>
          </cell>
          <cell r="BJ113">
            <v>1431.2415710013781</v>
          </cell>
          <cell r="BK113">
            <v>865.06940700201301</v>
          </cell>
          <cell r="BL113">
            <v>1006.119462413667</v>
          </cell>
          <cell r="BM113">
            <v>1431.2415710013781</v>
          </cell>
          <cell r="BN113">
            <v>1582.8703341015785</v>
          </cell>
          <cell r="BO113">
            <v>1058.0732844912407</v>
          </cell>
          <cell r="BP113">
            <v>956.71669201467876</v>
          </cell>
          <cell r="BQ113">
            <v>956.71669201467887</v>
          </cell>
          <cell r="BR113">
            <v>1750.5629694824097</v>
          </cell>
          <cell r="BS113">
            <v>1840.9582360980601</v>
          </cell>
          <cell r="BT113">
            <v>1058.0732844912409</v>
          </cell>
          <cell r="BU113">
            <v>1230.5927311380608</v>
          </cell>
          <cell r="BV113">
            <v>1058.0732844912409</v>
          </cell>
          <cell r="BW113">
            <v>1360.9643312111427</v>
          </cell>
          <cell r="BX113">
            <v>1058.0732844912409</v>
          </cell>
          <cell r="BY113">
            <v>1750.5629694824095</v>
          </cell>
          <cell r="BZ113">
            <v>865.06940700201301</v>
          </cell>
          <cell r="CA113">
            <v>1230.5927311380608</v>
          </cell>
          <cell r="CB113">
            <v>956.71669201467864</v>
          </cell>
          <cell r="CC113">
            <v>1505.1477746955675</v>
          </cell>
          <cell r="CD113">
            <v>1360.964331211143</v>
          </cell>
          <cell r="CE113">
            <v>1112.7098890109639</v>
          </cell>
          <cell r="CF113">
            <v>865.06940700201312</v>
          </cell>
          <cell r="CG113">
            <v>782.20134045631642</v>
          </cell>
          <cell r="CH113">
            <v>782.20134045631653</v>
          </cell>
          <cell r="CI113">
            <v>1840.9582360980601</v>
          </cell>
          <cell r="CJ113">
            <v>909.73971081296975</v>
          </cell>
          <cell r="CK113">
            <v>956.71669201467887</v>
          </cell>
          <cell r="CL113">
            <v>1505.1477746955675</v>
          </cell>
          <cell r="CM113">
            <v>1112.7098890109644</v>
          </cell>
          <cell r="CN113">
            <v>1006.1194624136668</v>
          </cell>
          <cell r="CO113">
            <v>1230.5927311380608</v>
          </cell>
          <cell r="CP113">
            <v>1112.7098890109639</v>
          </cell>
          <cell r="CQ113">
            <v>1431.2415710013781</v>
          </cell>
          <cell r="CR113">
            <v>865.06940700201301</v>
          </cell>
          <cell r="CS113">
            <v>1170.167809026693</v>
          </cell>
          <cell r="CT113">
            <v>1112.7098890109639</v>
          </cell>
          <cell r="CU113">
            <v>1664.6063175329091</v>
          </cell>
          <cell r="CV113">
            <v>1360.964331211143</v>
          </cell>
          <cell r="CW113">
            <v>1431.2415710013781</v>
          </cell>
          <cell r="CX113">
            <v>1230.5927311380608</v>
          </cell>
          <cell r="CY113">
            <v>2367.9630998183306</v>
          </cell>
        </row>
        <row r="114">
          <cell r="D114">
            <v>1467.7295614807629</v>
          </cell>
          <cell r="E114">
            <v>1327.1305413473517</v>
          </cell>
          <cell r="F114">
            <v>1261.9653916081936</v>
          </cell>
          <cell r="G114">
            <v>981.10717245976264</v>
          </cell>
          <cell r="H114">
            <v>1327.1305413473517</v>
          </cell>
          <cell r="I114">
            <v>1395.6606777721709</v>
          </cell>
          <cell r="J114">
            <v>1395.6606777721711</v>
          </cell>
          <cell r="K114">
            <v>843.56364387297208</v>
          </cell>
          <cell r="L114">
            <v>1795.191721370428</v>
          </cell>
          <cell r="M114">
            <v>1543.5199256908284</v>
          </cell>
          <cell r="N114">
            <v>1031.7694142523274</v>
          </cell>
          <cell r="O114">
            <v>1261.9653916081936</v>
          </cell>
          <cell r="P114">
            <v>843.56364387297231</v>
          </cell>
          <cell r="Q114">
            <v>981.10717245976264</v>
          </cell>
          <cell r="R114">
            <v>1887.8915197258495</v>
          </cell>
          <cell r="S114">
            <v>1707.0436954687445</v>
          </cell>
          <cell r="T114">
            <v>1085.0477440885788</v>
          </cell>
          <cell r="U114">
            <v>802.14273654332578</v>
          </cell>
          <cell r="V114">
            <v>1327.1305413473517</v>
          </cell>
          <cell r="W114">
            <v>1795.1917213704276</v>
          </cell>
          <cell r="X114">
            <v>1467.7295614807629</v>
          </cell>
          <cell r="Y114">
            <v>887.12343682215862</v>
          </cell>
          <cell r="Z114">
            <v>887.12343682215874</v>
          </cell>
          <cell r="AA114">
            <v>1085.0477440885791</v>
          </cell>
          <cell r="AB114">
            <v>1141.0772510686093</v>
          </cell>
          <cell r="AC114">
            <v>981.10717245976241</v>
          </cell>
          <cell r="AD114">
            <v>1467.7295614807629</v>
          </cell>
          <cell r="AE114">
            <v>1261.9653916081936</v>
          </cell>
          <cell r="AF114">
            <v>1031.7694142523274</v>
          </cell>
          <cell r="AG114">
            <v>1031.7694142523274</v>
          </cell>
          <cell r="AH114">
            <v>1141.0772510686093</v>
          </cell>
          <cell r="AI114">
            <v>1543.5199256908281</v>
          </cell>
          <cell r="AJ114">
            <v>1031.7694142523269</v>
          </cell>
          <cell r="AK114">
            <v>1467.7295614807629</v>
          </cell>
          <cell r="AL114">
            <v>932.93256279506863</v>
          </cell>
          <cell r="AM114">
            <v>1085.0477440885795</v>
          </cell>
          <cell r="AN114">
            <v>1085.0477440885795</v>
          </cell>
          <cell r="AO114">
            <v>1141.0772510686097</v>
          </cell>
          <cell r="AP114">
            <v>1543.5199256908279</v>
          </cell>
          <cell r="AQ114">
            <v>1467.7295614807633</v>
          </cell>
          <cell r="AR114">
            <v>1623.2239395662307</v>
          </cell>
          <cell r="AS114">
            <v>981.10717245976286</v>
          </cell>
          <cell r="AT114">
            <v>1261.9653916081936</v>
          </cell>
          <cell r="AU114">
            <v>1261.9653916081936</v>
          </cell>
          <cell r="AV114">
            <v>1085.0477440885795</v>
          </cell>
          <cell r="AW114">
            <v>843.56364387297208</v>
          </cell>
          <cell r="AX114">
            <v>1395.6606777721711</v>
          </cell>
          <cell r="AY114">
            <v>1327.1305413473517</v>
          </cell>
          <cell r="AZ114">
            <v>1395.6606777721711</v>
          </cell>
          <cell r="BA114">
            <v>981.10717245976252</v>
          </cell>
          <cell r="BB114">
            <v>1199.9999999999995</v>
          </cell>
          <cell r="BC114">
            <v>1543.5199256908281</v>
          </cell>
          <cell r="BD114">
            <v>1031.7694142523274</v>
          </cell>
          <cell r="BE114">
            <v>887.12343682215874</v>
          </cell>
          <cell r="BF114">
            <v>981.10717245976252</v>
          </cell>
          <cell r="BG114">
            <v>655.82332679929914</v>
          </cell>
          <cell r="BH114">
            <v>802.14273654332578</v>
          </cell>
          <cell r="BI114">
            <v>1261.9653916081938</v>
          </cell>
          <cell r="BJ114">
            <v>1467.7295614807629</v>
          </cell>
          <cell r="BK114">
            <v>887.12343682215862</v>
          </cell>
          <cell r="BL114">
            <v>981.10717245976264</v>
          </cell>
          <cell r="BM114">
            <v>1467.7295614807629</v>
          </cell>
          <cell r="BN114">
            <v>1543.5199256908286</v>
          </cell>
          <cell r="BO114">
            <v>1085.0477440885791</v>
          </cell>
          <cell r="BP114">
            <v>932.93256279506875</v>
          </cell>
          <cell r="BQ114">
            <v>932.93256279506875</v>
          </cell>
          <cell r="BR114">
            <v>1707.0436954687448</v>
          </cell>
          <cell r="BS114">
            <v>1887.8915197258498</v>
          </cell>
          <cell r="BT114">
            <v>1031.7694142523271</v>
          </cell>
          <cell r="BU114">
            <v>1199.9999999999995</v>
          </cell>
          <cell r="BV114">
            <v>1031.7694142523271</v>
          </cell>
          <cell r="BW114">
            <v>1395.6606777721711</v>
          </cell>
          <cell r="BX114">
            <v>1085.0477440885793</v>
          </cell>
          <cell r="BY114">
            <v>1707.0436954687445</v>
          </cell>
          <cell r="BZ114">
            <v>887.12343682215862</v>
          </cell>
          <cell r="CA114">
            <v>1261.9653916081936</v>
          </cell>
          <cell r="CB114">
            <v>932.93256279506863</v>
          </cell>
          <cell r="CC114">
            <v>1467.7295614807629</v>
          </cell>
          <cell r="CD114">
            <v>1327.1305413473519</v>
          </cell>
          <cell r="CE114">
            <v>1141.0772510686093</v>
          </cell>
          <cell r="CF114">
            <v>843.56364387297219</v>
          </cell>
          <cell r="CG114">
            <v>762.755690649592</v>
          </cell>
          <cell r="CH114">
            <v>802.1427365433259</v>
          </cell>
          <cell r="CI114">
            <v>1795.1917213704276</v>
          </cell>
          <cell r="CJ114">
            <v>887.12343682215874</v>
          </cell>
          <cell r="CK114">
            <v>932.93256279506875</v>
          </cell>
          <cell r="CL114">
            <v>1467.7295614807629</v>
          </cell>
          <cell r="CM114">
            <v>1141.0772510686097</v>
          </cell>
          <cell r="CN114">
            <v>981.10717245976264</v>
          </cell>
          <cell r="CO114">
            <v>1199.9999999999995</v>
          </cell>
          <cell r="CP114">
            <v>1141.0772510686093</v>
          </cell>
          <cell r="CQ114">
            <v>1467.7295614807629</v>
          </cell>
          <cell r="CR114">
            <v>887.12343682215862</v>
          </cell>
          <cell r="CS114">
            <v>1199.9999999999995</v>
          </cell>
          <cell r="CT114">
            <v>1085.0477440885791</v>
          </cell>
          <cell r="CU114">
            <v>1707.0436954687445</v>
          </cell>
          <cell r="CV114">
            <v>1327.1305413473519</v>
          </cell>
          <cell r="CW114">
            <v>1467.7295614807629</v>
          </cell>
          <cell r="CX114">
            <v>1261.9653916081936</v>
          </cell>
          <cell r="CY114">
            <v>2428.3318151996577</v>
          </cell>
        </row>
        <row r="115">
          <cell r="D115">
            <v>1505.1477746955675</v>
          </cell>
          <cell r="E115">
            <v>1294.1378648840334</v>
          </cell>
          <cell r="F115">
            <v>1230.5927311380608</v>
          </cell>
          <cell r="G115">
            <v>1006.1194624136668</v>
          </cell>
          <cell r="H115">
            <v>1294.1378648840334</v>
          </cell>
          <cell r="I115">
            <v>1431.2415710013779</v>
          </cell>
          <cell r="J115">
            <v>1360.9643312111427</v>
          </cell>
          <cell r="K115">
            <v>822.59251743784137</v>
          </cell>
          <cell r="L115">
            <v>1750.5629694824099</v>
          </cell>
          <cell r="M115">
            <v>1582.8703341015782</v>
          </cell>
          <cell r="N115">
            <v>1006.1194624136672</v>
          </cell>
          <cell r="O115">
            <v>1230.5927311380608</v>
          </cell>
          <cell r="P115">
            <v>822.59251743784148</v>
          </cell>
          <cell r="Q115">
            <v>1006.1194624136668</v>
          </cell>
          <cell r="R115">
            <v>1840.9582360980598</v>
          </cell>
          <cell r="S115">
            <v>1664.6063175329091</v>
          </cell>
          <cell r="T115">
            <v>1112.7098890109637</v>
          </cell>
          <cell r="U115">
            <v>782.20134045631642</v>
          </cell>
          <cell r="V115">
            <v>1360.9643312111427</v>
          </cell>
          <cell r="W115">
            <v>1750.5629694824095</v>
          </cell>
          <cell r="X115">
            <v>1505.1477746955675</v>
          </cell>
          <cell r="Y115">
            <v>909.73971081296963</v>
          </cell>
          <cell r="Z115">
            <v>909.73971081296975</v>
          </cell>
          <cell r="AA115">
            <v>1058.0732844912407</v>
          </cell>
          <cell r="AB115">
            <v>1112.7098890109639</v>
          </cell>
          <cell r="AC115">
            <v>956.71669201467864</v>
          </cell>
          <cell r="AD115">
            <v>1505.1477746955675</v>
          </cell>
          <cell r="AE115">
            <v>1230.5927311380608</v>
          </cell>
          <cell r="AF115">
            <v>1058.0732844912411</v>
          </cell>
          <cell r="AG115">
            <v>1058.0732844912411</v>
          </cell>
          <cell r="AH115">
            <v>1170.1678090266926</v>
          </cell>
          <cell r="AI115">
            <v>1582.870334101578</v>
          </cell>
          <cell r="AJ115">
            <v>1058.0732844912407</v>
          </cell>
          <cell r="AK115">
            <v>1431.2415710013781</v>
          </cell>
          <cell r="AL115">
            <v>956.71669201467864</v>
          </cell>
          <cell r="AM115">
            <v>1058.0732844912411</v>
          </cell>
          <cell r="AN115">
            <v>1112.7098890109644</v>
          </cell>
          <cell r="AO115">
            <v>1170.167809026693</v>
          </cell>
          <cell r="AP115">
            <v>1582.8703341015778</v>
          </cell>
          <cell r="AQ115">
            <v>1505.1477746955679</v>
          </cell>
          <cell r="AR115">
            <v>1582.8703341015782</v>
          </cell>
          <cell r="AS115">
            <v>1006.1194624136671</v>
          </cell>
          <cell r="AT115">
            <v>1294.1378648840334</v>
          </cell>
          <cell r="AU115">
            <v>1294.1378648840334</v>
          </cell>
          <cell r="AV115">
            <v>1112.7098890109644</v>
          </cell>
          <cell r="AW115">
            <v>822.59251743784137</v>
          </cell>
          <cell r="AX115">
            <v>1360.9643312111427</v>
          </cell>
          <cell r="AY115">
            <v>1360.9643312111427</v>
          </cell>
          <cell r="AZ115">
            <v>1431.2415710013781</v>
          </cell>
          <cell r="BA115">
            <v>956.71669201467876</v>
          </cell>
          <cell r="BB115">
            <v>1170.167809026693</v>
          </cell>
          <cell r="BC115">
            <v>1582.870334101578</v>
          </cell>
          <cell r="BD115">
            <v>1058.0732844912411</v>
          </cell>
          <cell r="BE115">
            <v>909.73971081296975</v>
          </cell>
          <cell r="BF115">
            <v>1006.1194624136667</v>
          </cell>
          <cell r="BG115">
            <v>672.54284905833242</v>
          </cell>
          <cell r="BH115">
            <v>822.59251743784137</v>
          </cell>
          <cell r="BI115">
            <v>1294.1378648840337</v>
          </cell>
          <cell r="BJ115">
            <v>1505.1477746955675</v>
          </cell>
          <cell r="BK115">
            <v>909.73971081296963</v>
          </cell>
          <cell r="BL115">
            <v>1006.1194624136668</v>
          </cell>
          <cell r="BM115">
            <v>1505.1477746955675</v>
          </cell>
          <cell r="BN115">
            <v>1505.1477746955679</v>
          </cell>
          <cell r="BO115">
            <v>1112.7098890109639</v>
          </cell>
          <cell r="BP115">
            <v>909.73971081296975</v>
          </cell>
          <cell r="BQ115">
            <v>956.71669201467876</v>
          </cell>
          <cell r="BR115">
            <v>1664.6063175329093</v>
          </cell>
          <cell r="BS115">
            <v>1840.9582360980601</v>
          </cell>
          <cell r="BT115">
            <v>1058.0732844912409</v>
          </cell>
          <cell r="BU115">
            <v>1170.167809026693</v>
          </cell>
          <cell r="BV115">
            <v>1058.0732844912409</v>
          </cell>
          <cell r="BW115">
            <v>1360.9643312111427</v>
          </cell>
          <cell r="BX115">
            <v>1058.0732844912409</v>
          </cell>
          <cell r="BY115">
            <v>1664.6063175329091</v>
          </cell>
          <cell r="BZ115">
            <v>865.06940700201301</v>
          </cell>
          <cell r="CA115">
            <v>1294.1378648840334</v>
          </cell>
          <cell r="CB115">
            <v>909.73971081296963</v>
          </cell>
          <cell r="CC115">
            <v>1505.1477746955675</v>
          </cell>
          <cell r="CD115">
            <v>1294.1378648840337</v>
          </cell>
          <cell r="CE115">
            <v>1112.7098890109639</v>
          </cell>
          <cell r="CF115">
            <v>865.06940700201312</v>
          </cell>
          <cell r="CG115">
            <v>743.79346279172944</v>
          </cell>
          <cell r="CH115">
            <v>822.59251743784148</v>
          </cell>
          <cell r="CI115">
            <v>1840.9582360980601</v>
          </cell>
          <cell r="CJ115">
            <v>909.73971081296975</v>
          </cell>
          <cell r="CK115">
            <v>909.73971081296975</v>
          </cell>
          <cell r="CL115">
            <v>1505.1477746955675</v>
          </cell>
          <cell r="CM115">
            <v>1112.7098890109644</v>
          </cell>
          <cell r="CN115">
            <v>1006.1194624136668</v>
          </cell>
          <cell r="CO115">
            <v>1170.167809026693</v>
          </cell>
          <cell r="CP115">
            <v>1170.1678090266926</v>
          </cell>
          <cell r="CQ115">
            <v>1505.1477746955675</v>
          </cell>
          <cell r="CR115">
            <v>909.73971081296963</v>
          </cell>
          <cell r="CS115">
            <v>1170.167809026693</v>
          </cell>
          <cell r="CT115">
            <v>1058.0732844912407</v>
          </cell>
          <cell r="CU115">
            <v>1664.6063175329091</v>
          </cell>
          <cell r="CV115">
            <v>1294.1378648840337</v>
          </cell>
          <cell r="CW115">
            <v>1505.1477746955675</v>
          </cell>
          <cell r="CX115">
            <v>1294.1378648840334</v>
          </cell>
          <cell r="CY115">
            <v>2367.9630998183306</v>
          </cell>
        </row>
        <row r="116">
          <cell r="D116">
            <v>1543.5199256908281</v>
          </cell>
          <cell r="E116">
            <v>1261.9653916081936</v>
          </cell>
          <cell r="F116">
            <v>1261.9653916081936</v>
          </cell>
          <cell r="G116">
            <v>981.10717245976264</v>
          </cell>
          <cell r="H116">
            <v>1327.1305413473517</v>
          </cell>
          <cell r="I116">
            <v>1467.7295614807626</v>
          </cell>
          <cell r="J116">
            <v>1395.6606777721711</v>
          </cell>
          <cell r="K116">
            <v>843.56364387297208</v>
          </cell>
          <cell r="L116">
            <v>1707.043695468745</v>
          </cell>
          <cell r="M116">
            <v>1543.5199256908284</v>
          </cell>
          <cell r="N116">
            <v>1031.7694142523274</v>
          </cell>
          <cell r="O116">
            <v>1199.9999999999995</v>
          </cell>
          <cell r="P116">
            <v>843.56364387297219</v>
          </cell>
          <cell r="Q116">
            <v>1031.7694142523269</v>
          </cell>
          <cell r="R116">
            <v>1795.1917213704273</v>
          </cell>
          <cell r="S116">
            <v>1623.2239395662305</v>
          </cell>
          <cell r="T116">
            <v>1141.077251068609</v>
          </cell>
          <cell r="U116">
            <v>762.755690649592</v>
          </cell>
          <cell r="V116">
            <v>1327.1305413473517</v>
          </cell>
          <cell r="W116">
            <v>1795.1917213704276</v>
          </cell>
          <cell r="X116">
            <v>1543.5199256908281</v>
          </cell>
          <cell r="Y116">
            <v>887.12343682215862</v>
          </cell>
          <cell r="Z116">
            <v>887.12343682215874</v>
          </cell>
          <cell r="AA116">
            <v>1031.7694142523269</v>
          </cell>
          <cell r="AB116">
            <v>1141.0772510686093</v>
          </cell>
          <cell r="AC116">
            <v>932.93256279506863</v>
          </cell>
          <cell r="AD116">
            <v>1543.5199256908281</v>
          </cell>
          <cell r="AE116">
            <v>1261.9653916081936</v>
          </cell>
          <cell r="AF116">
            <v>1031.7694142523274</v>
          </cell>
          <cell r="AG116">
            <v>1031.7694142523274</v>
          </cell>
          <cell r="AH116">
            <v>1141.0772510686093</v>
          </cell>
          <cell r="AI116">
            <v>1543.5199256908281</v>
          </cell>
          <cell r="AJ116">
            <v>1085.0477440885791</v>
          </cell>
          <cell r="AK116">
            <v>1395.6606777721711</v>
          </cell>
          <cell r="AL116">
            <v>981.10717245976241</v>
          </cell>
          <cell r="AM116">
            <v>1031.7694142523274</v>
          </cell>
          <cell r="AN116">
            <v>1085.0477440885795</v>
          </cell>
          <cell r="AO116">
            <v>1199.9999999999995</v>
          </cell>
          <cell r="AP116">
            <v>1623.2239395662302</v>
          </cell>
          <cell r="AQ116">
            <v>1543.5199256908286</v>
          </cell>
          <cell r="AR116">
            <v>1543.5199256908284</v>
          </cell>
          <cell r="AS116">
            <v>981.10717245976275</v>
          </cell>
          <cell r="AT116">
            <v>1261.9653916081936</v>
          </cell>
          <cell r="AU116">
            <v>1327.1305413473517</v>
          </cell>
          <cell r="AV116">
            <v>1085.0477440885795</v>
          </cell>
          <cell r="AW116">
            <v>802.14273654332578</v>
          </cell>
          <cell r="AX116">
            <v>1395.6606777721711</v>
          </cell>
          <cell r="AY116">
            <v>1395.6606777721711</v>
          </cell>
          <cell r="AZ116">
            <v>1395.6606777721711</v>
          </cell>
          <cell r="BA116">
            <v>932.93256279506875</v>
          </cell>
          <cell r="BB116">
            <v>1141.0772510686097</v>
          </cell>
          <cell r="BC116">
            <v>1623.2239395662305</v>
          </cell>
          <cell r="BD116">
            <v>1085.0477440885795</v>
          </cell>
          <cell r="BE116">
            <v>932.93256279506875</v>
          </cell>
          <cell r="BF116">
            <v>1031.7694142523269</v>
          </cell>
          <cell r="BG116">
            <v>655.82332679929914</v>
          </cell>
          <cell r="BH116">
            <v>802.14273654332578</v>
          </cell>
          <cell r="BI116">
            <v>1261.9653916081938</v>
          </cell>
          <cell r="BJ116">
            <v>1543.5199256908281</v>
          </cell>
          <cell r="BK116">
            <v>887.12343682215862</v>
          </cell>
          <cell r="BL116">
            <v>981.10717245976264</v>
          </cell>
          <cell r="BM116">
            <v>1467.7295614807629</v>
          </cell>
          <cell r="BN116">
            <v>1467.7295614807631</v>
          </cell>
          <cell r="BO116">
            <v>1141.0772510686093</v>
          </cell>
          <cell r="BP116">
            <v>887.12343682215874</v>
          </cell>
          <cell r="BQ116">
            <v>981.10717245976252</v>
          </cell>
          <cell r="BR116">
            <v>1707.0436954687448</v>
          </cell>
          <cell r="BS116">
            <v>1795.1917213704276</v>
          </cell>
          <cell r="BT116">
            <v>1085.0477440885793</v>
          </cell>
          <cell r="BU116">
            <v>1141.0772510686097</v>
          </cell>
          <cell r="BV116">
            <v>1031.7694142523271</v>
          </cell>
          <cell r="BW116">
            <v>1327.1305413473517</v>
          </cell>
          <cell r="BX116">
            <v>1031.7694142523271</v>
          </cell>
          <cell r="BY116">
            <v>1707.0436954687445</v>
          </cell>
          <cell r="BZ116">
            <v>887.12343682215862</v>
          </cell>
          <cell r="CA116">
            <v>1327.1305413473517</v>
          </cell>
          <cell r="CB116">
            <v>887.12343682215862</v>
          </cell>
          <cell r="CC116">
            <v>1467.7295614807629</v>
          </cell>
          <cell r="CD116">
            <v>1261.9653916081938</v>
          </cell>
          <cell r="CE116">
            <v>1141.0772510686093</v>
          </cell>
          <cell r="CF116">
            <v>887.12343682215874</v>
          </cell>
          <cell r="CG116">
            <v>762.755690649592</v>
          </cell>
          <cell r="CH116">
            <v>843.56364387297219</v>
          </cell>
          <cell r="CI116">
            <v>1887.8915197258498</v>
          </cell>
          <cell r="CJ116">
            <v>932.93256279506875</v>
          </cell>
          <cell r="CK116">
            <v>887.12343682215874</v>
          </cell>
          <cell r="CL116">
            <v>1467.7295614807629</v>
          </cell>
          <cell r="CM116">
            <v>1141.0772510686097</v>
          </cell>
          <cell r="CN116">
            <v>981.10717245976264</v>
          </cell>
          <cell r="CO116">
            <v>1141.0772510686097</v>
          </cell>
          <cell r="CP116">
            <v>1199.9999999999991</v>
          </cell>
          <cell r="CQ116">
            <v>1467.7295614807629</v>
          </cell>
          <cell r="CR116">
            <v>932.93256279506863</v>
          </cell>
          <cell r="CS116">
            <v>1141.0772510686097</v>
          </cell>
          <cell r="CT116">
            <v>1085.0477440885791</v>
          </cell>
          <cell r="CU116">
            <v>1707.0436954687445</v>
          </cell>
          <cell r="CV116">
            <v>1261.9653916081938</v>
          </cell>
          <cell r="CW116">
            <v>1543.5199256908281</v>
          </cell>
          <cell r="CX116">
            <v>1261.9653916081936</v>
          </cell>
          <cell r="CY116">
            <v>2428.3318151996577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Q41"/>
  <sheetViews>
    <sheetView zoomScale="130" zoomScaleNormal="130" workbookViewId="0">
      <selection activeCell="B11" sqref="B11"/>
    </sheetView>
  </sheetViews>
  <sheetFormatPr defaultRowHeight="15"/>
  <cols>
    <col min="2" max="2" width="9.85546875" customWidth="1"/>
  </cols>
  <sheetData>
    <row r="1" spans="1:8">
      <c r="A1" t="s">
        <v>20</v>
      </c>
      <c r="B1" s="7">
        <v>1200</v>
      </c>
      <c r="C1" t="s">
        <v>18</v>
      </c>
    </row>
    <row r="2" spans="1:8">
      <c r="A2" t="s">
        <v>19</v>
      </c>
      <c r="B2" s="6">
        <v>1300</v>
      </c>
      <c r="C2" t="s">
        <v>18</v>
      </c>
    </row>
    <row r="3" spans="1:8">
      <c r="A3" t="s">
        <v>17</v>
      </c>
      <c r="B3" s="6">
        <v>3.71</v>
      </c>
      <c r="C3" t="s">
        <v>16</v>
      </c>
    </row>
    <row r="4" spans="1:8">
      <c r="A4" t="s">
        <v>15</v>
      </c>
      <c r="B4" s="6">
        <f>5/12</f>
        <v>0.41666666666666669</v>
      </c>
      <c r="C4" t="s">
        <v>14</v>
      </c>
    </row>
    <row r="5" spans="1:8">
      <c r="A5" t="s">
        <v>13</v>
      </c>
      <c r="B5" s="6">
        <v>0.05</v>
      </c>
      <c r="E5" s="5">
        <v>0.17</v>
      </c>
    </row>
    <row r="6" spans="1:8">
      <c r="A6" t="s">
        <v>12</v>
      </c>
      <c r="B6" s="4">
        <v>0.39</v>
      </c>
      <c r="E6" s="3">
        <v>0.1487</v>
      </c>
    </row>
    <row r="8" spans="1:8">
      <c r="A8" t="s">
        <v>11</v>
      </c>
      <c r="B8" s="2">
        <v>5</v>
      </c>
    </row>
    <row r="9" spans="1:8">
      <c r="A9" t="s">
        <v>10</v>
      </c>
      <c r="B9">
        <f>B4/B8</f>
        <v>8.3333333333333343E-2</v>
      </c>
    </row>
    <row r="10" spans="1:8">
      <c r="A10" t="s">
        <v>9</v>
      </c>
      <c r="B10">
        <f>EXP(B6*SQRT(B9))</f>
        <v>1.1191654823033836</v>
      </c>
    </row>
    <row r="11" spans="1:8">
      <c r="A11" t="s">
        <v>8</v>
      </c>
      <c r="B11">
        <f>1/B10</f>
        <v>0.89352291132306361</v>
      </c>
      <c r="D11" t="s">
        <v>7</v>
      </c>
      <c r="E11">
        <f>B11*B10</f>
        <v>1</v>
      </c>
    </row>
    <row r="12" spans="1:8">
      <c r="A12" t="s">
        <v>6</v>
      </c>
      <c r="B12">
        <f>(EXP(B5*B9) - B11)/(B10-B11)</f>
        <v>0.49038817226429171</v>
      </c>
    </row>
    <row r="13" spans="1:8">
      <c r="C13" s="1" t="s">
        <v>2</v>
      </c>
    </row>
    <row r="14" spans="1:8">
      <c r="B14" t="s">
        <v>5</v>
      </c>
      <c r="C14">
        <v>0</v>
      </c>
      <c r="D14">
        <v>1</v>
      </c>
      <c r="E14">
        <v>2</v>
      </c>
      <c r="F14">
        <v>3</v>
      </c>
      <c r="G14">
        <v>4</v>
      </c>
      <c r="H14">
        <v>5</v>
      </c>
    </row>
    <row r="15" spans="1:8">
      <c r="A15" s="1" t="s">
        <v>0</v>
      </c>
      <c r="B15">
        <v>0</v>
      </c>
      <c r="C15">
        <f>$B$1</f>
        <v>1200</v>
      </c>
      <c r="D15">
        <f>$B$1*POWER($B$10,D$14-$B15)*POWER($B$11,$B15)</f>
        <v>1342.9985787640603</v>
      </c>
      <c r="E15">
        <f>$B$1*POWER($B$10,E$14-$B15)*POWER($B$11,$B15)</f>
        <v>1503.0376521352384</v>
      </c>
      <c r="F15">
        <f>$B$1*POWER($B$10,F$14-$B15)*POWER($B$11,$B15)</f>
        <v>1682.1478588720795</v>
      </c>
      <c r="G15">
        <f>$B$1*POWER($B$10,G$14-$B15)*POWER($B$11,$B15)</f>
        <v>1882.6018197801748</v>
      </c>
      <c r="H15">
        <f>$B$1*POWER($B$10,H$14-$B15)*POWER($B$11,$B15)</f>
        <v>2106.942973619507</v>
      </c>
    </row>
    <row r="16" spans="1:8">
      <c r="B16">
        <v>1</v>
      </c>
      <c r="D16">
        <f>$B$1*POWER($B$10,D$14-$B16)*POWER($B$11,$B16)</f>
        <v>1072.2274935876762</v>
      </c>
      <c r="E16">
        <f>$B$1*POWER($B$10,E$14-$B16)*POWER($B$11,$B16)</f>
        <v>1200</v>
      </c>
      <c r="F16">
        <f>$B$1*POWER($B$10,F$14-$B16)*POWER($B$11,$B16)</f>
        <v>1342.9985787640603</v>
      </c>
      <c r="G16">
        <f>$B$1*POWER($B$10,G$14-$B16)*POWER($B$11,$B16)</f>
        <v>1503.0376521352384</v>
      </c>
      <c r="H16">
        <f>$B$1*POWER($B$10,H$14-$B16)*POWER($B$11,$B16)</f>
        <v>1682.1478588720793</v>
      </c>
    </row>
    <row r="17" spans="1:17">
      <c r="B17">
        <v>2</v>
      </c>
      <c r="E17">
        <f>$B$1*POWER($B$10,E$14-$B17)*POWER($B$11,$B17)</f>
        <v>958.05983167109207</v>
      </c>
      <c r="F17">
        <f>$B$1*POWER($B$10,F$14-$B17)*POWER($B$11,$B17)</f>
        <v>1072.2274935876762</v>
      </c>
      <c r="G17">
        <f>$B$1*POWER($B$10,G$14-$B17)*POWER($B$11,$B17)</f>
        <v>1200</v>
      </c>
      <c r="H17">
        <f>$B$1*POWER($B$10,H$14-$B17)*POWER($B$11,$B17)</f>
        <v>1342.9985787640603</v>
      </c>
    </row>
    <row r="18" spans="1:17">
      <c r="B18">
        <v>3</v>
      </c>
      <c r="F18">
        <f>$B$1*POWER($B$10,F$14-$B18)*POWER($B$11,$B18)</f>
        <v>856.04841001643854</v>
      </c>
      <c r="G18">
        <f>$B$1*POWER($B$10,G$14-$B18)*POWER($B$11,$B18)</f>
        <v>958.05983167109207</v>
      </c>
      <c r="H18">
        <f>$B$1*POWER($B$10,H$14-$B18)*POWER($B$11,$B18)</f>
        <v>1072.2274935876765</v>
      </c>
    </row>
    <row r="19" spans="1:17">
      <c r="B19">
        <v>4</v>
      </c>
      <c r="G19">
        <f>$B$1*POWER($B$10,G$14-$B19)*POWER($B$11,$B19)</f>
        <v>764.89886755136774</v>
      </c>
      <c r="H19">
        <f>$B$1*POWER($B$10,H$14-$B19)*POWER($B$11,$B19)</f>
        <v>856.04841001643842</v>
      </c>
    </row>
    <row r="20" spans="1:17">
      <c r="B20">
        <v>5</v>
      </c>
      <c r="H20">
        <f>$B$1*POWER($B$10,H$14-$B20)*POWER($B$11,$B20)</f>
        <v>683.45466300221256</v>
      </c>
    </row>
    <row r="22" spans="1:17">
      <c r="C22" s="1" t="s">
        <v>2</v>
      </c>
      <c r="L22" s="1" t="s">
        <v>2</v>
      </c>
    </row>
    <row r="23" spans="1:17">
      <c r="A23" t="s">
        <v>4</v>
      </c>
      <c r="C23">
        <v>0</v>
      </c>
      <c r="D23">
        <v>1</v>
      </c>
      <c r="E23">
        <v>2</v>
      </c>
      <c r="F23">
        <v>3</v>
      </c>
      <c r="G23">
        <v>4</v>
      </c>
      <c r="H23">
        <v>5</v>
      </c>
      <c r="J23" t="s">
        <v>3</v>
      </c>
      <c r="L23">
        <v>0</v>
      </c>
      <c r="M23">
        <v>1</v>
      </c>
      <c r="N23">
        <v>2</v>
      </c>
      <c r="O23">
        <v>3</v>
      </c>
      <c r="P23">
        <v>4</v>
      </c>
      <c r="Q23">
        <v>5</v>
      </c>
    </row>
    <row r="24" spans="1:17">
      <c r="A24" s="1" t="s">
        <v>0</v>
      </c>
      <c r="B24">
        <v>0</v>
      </c>
      <c r="C24">
        <f>EXP(-$B$9*$B$5)*($B$12*D24+(1-$B$12)*D25)</f>
        <v>90.461193359651986</v>
      </c>
      <c r="D24">
        <f>EXP(-$B$9*$B$5)*($B$12*E24+(1-$B$12)*E25)</f>
        <v>152.08791954865393</v>
      </c>
      <c r="E24">
        <f>EXP(-$B$9*$B$5)*($B$12*F24+(1-$B$12)*F25)</f>
        <v>248.95735344438407</v>
      </c>
      <c r="F24">
        <f>EXP(-$B$9*$B$5)*($B$12*G24+(1-$B$12)*G25)</f>
        <v>392.93617844154039</v>
      </c>
      <c r="G24">
        <f>EXP(-$B$9*$B$5)*($B$12*H24+(1-$B$12)*H25)</f>
        <v>588.00721738153175</v>
      </c>
      <c r="H24">
        <f>MAX(H15-$B$2,0)</f>
        <v>806.94297361950703</v>
      </c>
      <c r="J24" s="1" t="s">
        <v>0</v>
      </c>
      <c r="K24">
        <v>0</v>
      </c>
      <c r="L24">
        <f>EXP(-$B$9*$B$5)*($B$12*M24+(1-$B$12)*M25)</f>
        <v>163.65802909026453</v>
      </c>
      <c r="M24">
        <f>EXP(-$B$9*$B$5)*($B$12*N24+(1-$B$12)*N25)</f>
        <v>87.602230752696642</v>
      </c>
      <c r="N24">
        <f>EXP(-$B$9*$B$5)*($B$12*O24+(1-$B$12)*O25)</f>
        <v>29.770841951191873</v>
      </c>
      <c r="O24">
        <f>EXP(-$B$9*$B$5)*($B$12*P24+(1-$B$12)*P25)</f>
        <v>0</v>
      </c>
      <c r="P24">
        <f>EXP(-$B$9*$B$5)*($B$12*Q24+(1-$B$12)*Q25)</f>
        <v>0</v>
      </c>
      <c r="Q24">
        <f>MAX($B$2 - H15,0)</f>
        <v>0</v>
      </c>
    </row>
    <row r="25" spans="1:17">
      <c r="B25">
        <v>1</v>
      </c>
      <c r="D25">
        <f>EXP(-$B$9*$B$5)*($B$12*E25+(1-$B$12)*E26)</f>
        <v>31.900327991052503</v>
      </c>
      <c r="E25">
        <f>EXP(-$B$9*$B$5)*($B$12*F25+(1-$B$12)*F26)</f>
        <v>60.118698314730651</v>
      </c>
      <c r="F25">
        <f>EXP(-$B$9*$B$5)*($B$12*G25+(1-$B$12)*G26)</f>
        <v>112.4494808830011</v>
      </c>
      <c r="G25">
        <f>EXP(-$B$9*$B$5)*($B$12*H25+(1-$B$12)*H26)</f>
        <v>208.44304973659524</v>
      </c>
      <c r="H25">
        <f>MAX(H16-$B$2,0)</f>
        <v>382.14785887207927</v>
      </c>
      <c r="K25">
        <v>1</v>
      </c>
      <c r="M25">
        <f>EXP(-$B$9*$B$5)*($B$12*N25+(1-$B$12)*N26)</f>
        <v>238.18572437147907</v>
      </c>
      <c r="N25">
        <f>EXP(-$B$9*$B$5)*($B$12*O25+(1-$B$12)*O26)</f>
        <v>143.9698389567767</v>
      </c>
      <c r="O25">
        <f>EXP(-$B$9*$B$5)*($B$12*P25+(1-$B$12)*P26)</f>
        <v>58.66258254947968</v>
      </c>
      <c r="P25">
        <f>EXP(-$B$9*$B$5)*($B$12*Q25+(1-$B$12)*Q26)</f>
        <v>0</v>
      </c>
      <c r="Q25">
        <f>MAX($B$2 - H16,0)</f>
        <v>0</v>
      </c>
    </row>
    <row r="26" spans="1:17">
      <c r="B26">
        <v>2</v>
      </c>
      <c r="E26">
        <f>EXP(-$B$9*$B$5)*($B$12*F26+(1-$B$12)*F27)</f>
        <v>5.0077816046570858</v>
      </c>
      <c r="F26">
        <f>EXP(-$B$9*$B$5)*($B$12*G26+(1-$B$12)*G27)</f>
        <v>10.254510970133678</v>
      </c>
      <c r="G26">
        <f>EXP(-$B$9*$B$5)*($B$12*H26+(1-$B$12)*H27)</f>
        <v>20.998318924052313</v>
      </c>
      <c r="H26">
        <f>MAX(H17-$B$2,0)</f>
        <v>42.998578764060312</v>
      </c>
      <c r="K26">
        <v>2</v>
      </c>
      <c r="N26">
        <f>EXP(-$B$9*$B$5)*($B$12*O26+(1-$B$12)*O27)</f>
        <v>330.79909057561099</v>
      </c>
      <c r="O26">
        <f>EXP(-$B$9*$B$5)*($B$12*P26+(1-$B$12)*P27)</f>
        <v>227.23869781299615</v>
      </c>
      <c r="P26">
        <f>EXP(-$B$9*$B$5)*($B$12*Q26+(1-$B$12)*Q27)</f>
        <v>115.59292132269528</v>
      </c>
      <c r="Q26">
        <f>MAX($B$2 - H17,0)</f>
        <v>0</v>
      </c>
    </row>
    <row r="27" spans="1:17">
      <c r="B27">
        <v>3</v>
      </c>
      <c r="F27">
        <f>EXP(-$B$9*$B$5)*($B$12*G27+(1-$B$12)*G28)</f>
        <v>0</v>
      </c>
      <c r="G27">
        <f>EXP(-$B$9*$B$5)*($B$12*H27+(1-$B$12)*H28)</f>
        <v>0</v>
      </c>
      <c r="H27">
        <f>MAX(H18-$B$2,0)</f>
        <v>0</v>
      </c>
      <c r="K27">
        <v>3</v>
      </c>
      <c r="O27">
        <f>EXP(-$B$9*$B$5)*($B$12*P27+(1-$B$12)*P28)</f>
        <v>433.1632704141004</v>
      </c>
      <c r="P27">
        <f>EXP(-$B$9*$B$5)*($B$12*Q27+(1-$B$12)*Q28)</f>
        <v>336.53477072755084</v>
      </c>
      <c r="Q27">
        <f>MAX($B$2 - H18,0)</f>
        <v>227.77250641232354</v>
      </c>
    </row>
    <row r="28" spans="1:17">
      <c r="B28">
        <v>4</v>
      </c>
      <c r="G28">
        <f>EXP(-$B$9*$B$5)*($B$12*H28+(1-$B$12)*H29)</f>
        <v>0</v>
      </c>
      <c r="H28">
        <f>MAX(H19-$B$2,0)</f>
        <v>0</v>
      </c>
      <c r="K28">
        <v>4</v>
      </c>
      <c r="P28">
        <f>EXP(-$B$9*$B$5)*($B$12*Q28+(1-$B$12)*Q29)</f>
        <v>529.69573484727528</v>
      </c>
      <c r="Q28">
        <f>MAX($B$2 - H19,0)</f>
        <v>443.95158998356158</v>
      </c>
    </row>
    <row r="29" spans="1:17">
      <c r="B29">
        <v>5</v>
      </c>
      <c r="H29">
        <f>MAX(H20-$B$2,0)</f>
        <v>0</v>
      </c>
      <c r="K29">
        <v>5</v>
      </c>
      <c r="Q29">
        <f>MAX($B$2 - H20,0)</f>
        <v>616.54533699778744</v>
      </c>
    </row>
    <row r="34" spans="1:17">
      <c r="C34" s="1" t="s">
        <v>2</v>
      </c>
      <c r="L34" s="1" t="s">
        <v>2</v>
      </c>
    </row>
    <row r="35" spans="1:17">
      <c r="A35" t="s">
        <v>1</v>
      </c>
      <c r="C35">
        <v>0</v>
      </c>
      <c r="D35">
        <v>1</v>
      </c>
      <c r="E35">
        <v>2</v>
      </c>
      <c r="F35">
        <v>3</v>
      </c>
      <c r="G35">
        <v>4</v>
      </c>
      <c r="H35">
        <v>5</v>
      </c>
      <c r="J35" t="s">
        <v>1</v>
      </c>
      <c r="L35">
        <v>0</v>
      </c>
      <c r="M35">
        <v>1</v>
      </c>
      <c r="N35">
        <v>2</v>
      </c>
      <c r="O35">
        <v>3</v>
      </c>
      <c r="P35">
        <v>4</v>
      </c>
      <c r="Q35">
        <v>5</v>
      </c>
    </row>
    <row r="36" spans="1:17">
      <c r="A36" s="1" t="s">
        <v>0</v>
      </c>
      <c r="B36">
        <v>0</v>
      </c>
      <c r="C36">
        <f>C24*$B$3</f>
        <v>335.61102736430888</v>
      </c>
      <c r="D36">
        <f>D24*$B$3</f>
        <v>564.24618152550602</v>
      </c>
      <c r="E36">
        <f>E24*$B$3</f>
        <v>923.6317812786649</v>
      </c>
      <c r="F36">
        <f>F24*$B$3</f>
        <v>1457.7932220181149</v>
      </c>
      <c r="G36">
        <f>G24*$B$3</f>
        <v>2181.5067764854825</v>
      </c>
      <c r="H36">
        <f>H24*$B$3</f>
        <v>2993.7584321283712</v>
      </c>
      <c r="J36" s="1" t="s">
        <v>0</v>
      </c>
      <c r="K36">
        <v>0</v>
      </c>
      <c r="L36">
        <f>L24*$B$3</f>
        <v>607.17128792488143</v>
      </c>
      <c r="M36">
        <f>M24*$B$3</f>
        <v>325.00427609250454</v>
      </c>
      <c r="N36">
        <f>N24*$B$3</f>
        <v>110.44982363892184</v>
      </c>
      <c r="O36">
        <f>O24*$B$3</f>
        <v>0</v>
      </c>
      <c r="P36">
        <f>P24*$B$3</f>
        <v>0</v>
      </c>
      <c r="Q36">
        <f>Q24*$B$3</f>
        <v>0</v>
      </c>
    </row>
    <row r="37" spans="1:17">
      <c r="B37">
        <v>1</v>
      </c>
      <c r="D37">
        <f>D25*$B$3</f>
        <v>118.35021684680478</v>
      </c>
      <c r="E37">
        <f>E25*$B$3</f>
        <v>223.04037074765071</v>
      </c>
      <c r="F37">
        <f>F25*$B$3</f>
        <v>417.18757407593409</v>
      </c>
      <c r="G37">
        <f>G25*$B$3</f>
        <v>773.32371452276834</v>
      </c>
      <c r="H37">
        <f>H25*$B$3</f>
        <v>1417.768556415414</v>
      </c>
      <c r="K37">
        <v>1</v>
      </c>
      <c r="M37">
        <f>M25*$B$3</f>
        <v>883.66903741818737</v>
      </c>
      <c r="N37">
        <f>N25*$B$3</f>
        <v>534.12810252964152</v>
      </c>
      <c r="O37">
        <f>O25*$B$3</f>
        <v>217.6381812585696</v>
      </c>
      <c r="P37">
        <f>P25*$B$3</f>
        <v>0</v>
      </c>
      <c r="Q37">
        <f>Q25*$B$3</f>
        <v>0</v>
      </c>
    </row>
    <row r="38" spans="1:17">
      <c r="B38">
        <v>2</v>
      </c>
      <c r="E38">
        <f>E26*$B$3</f>
        <v>18.57886975327779</v>
      </c>
      <c r="F38">
        <f>F26*$B$3</f>
        <v>38.044235699195944</v>
      </c>
      <c r="G38">
        <f>G26*$B$3</f>
        <v>77.903763208234082</v>
      </c>
      <c r="H38">
        <f>H26*$B$3</f>
        <v>159.52472721466376</v>
      </c>
      <c r="K38">
        <v>2</v>
      </c>
      <c r="N38">
        <f>N26*$B$3</f>
        <v>1227.2646260355168</v>
      </c>
      <c r="O38">
        <f>O26*$B$3</f>
        <v>843.05556888621572</v>
      </c>
      <c r="P38">
        <f>P26*$B$3</f>
        <v>428.84973810719947</v>
      </c>
      <c r="Q38">
        <f>Q26*$B$3</f>
        <v>0</v>
      </c>
    </row>
    <row r="39" spans="1:17">
      <c r="B39">
        <v>3</v>
      </c>
      <c r="F39">
        <f>F27*$B$3</f>
        <v>0</v>
      </c>
      <c r="G39">
        <f>G27*$B$3</f>
        <v>0</v>
      </c>
      <c r="H39">
        <f>H27*$B$3</f>
        <v>0</v>
      </c>
      <c r="K39">
        <v>3</v>
      </c>
      <c r="O39">
        <f>O27*$B$3</f>
        <v>1607.0357332363124</v>
      </c>
      <c r="P39">
        <f>P27*$B$3</f>
        <v>1248.5439993992136</v>
      </c>
      <c r="Q39">
        <f>Q27*$B$3</f>
        <v>845.03599878972034</v>
      </c>
    </row>
    <row r="40" spans="1:17">
      <c r="B40">
        <v>4</v>
      </c>
      <c r="G40">
        <f>G28*$B$3</f>
        <v>0</v>
      </c>
      <c r="H40">
        <f>H28*$B$3</f>
        <v>0</v>
      </c>
      <c r="K40">
        <v>4</v>
      </c>
      <c r="P40">
        <f>P28*$B$3</f>
        <v>1965.1711762833913</v>
      </c>
      <c r="Q40">
        <f>Q28*$B$3</f>
        <v>1647.0603988390135</v>
      </c>
    </row>
    <row r="41" spans="1:17">
      <c r="B41">
        <v>5</v>
      </c>
      <c r="H41">
        <f>H29*$B$3</f>
        <v>0</v>
      </c>
      <c r="K41">
        <v>5</v>
      </c>
      <c r="Q41">
        <f>Q29*$B$3</f>
        <v>2287.3832002617914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A64"/>
  <sheetViews>
    <sheetView zoomScaleNormal="100" workbookViewId="0">
      <selection activeCell="K13" sqref="K13"/>
    </sheetView>
  </sheetViews>
  <sheetFormatPr defaultRowHeight="15"/>
  <cols>
    <col min="16" max="16" width="13.28515625" customWidth="1"/>
  </cols>
  <sheetData>
    <row r="1" spans="1:13">
      <c r="A1" s="38" t="s">
        <v>20</v>
      </c>
      <c r="B1" s="13">
        <v>1200</v>
      </c>
      <c r="C1" s="39" t="str">
        <f>[1]Arkusz!C1</f>
        <v>XAUUSD</v>
      </c>
    </row>
    <row r="2" spans="1:13">
      <c r="A2" s="38" t="s">
        <v>19</v>
      </c>
      <c r="B2" s="13">
        <v>1300</v>
      </c>
      <c r="C2" s="39" t="str">
        <f>[1]Arkusz!C2</f>
        <v>XAUUSD</v>
      </c>
    </row>
    <row r="3" spans="1:13">
      <c r="A3" s="38" t="s">
        <v>28</v>
      </c>
      <c r="B3" s="13">
        <v>3.71</v>
      </c>
      <c r="C3" s="39" t="str">
        <f>[1]Arkusz!C3</f>
        <v>USDPLN</v>
      </c>
    </row>
    <row r="4" spans="1:13">
      <c r="A4" s="38" t="s">
        <v>15</v>
      </c>
      <c r="B4" s="13">
        <f>1/12</f>
        <v>8.3333333333333329E-2</v>
      </c>
    </row>
    <row r="5" spans="1:13">
      <c r="A5" s="38" t="s">
        <v>13</v>
      </c>
      <c r="B5" s="13">
        <v>0.05</v>
      </c>
    </row>
    <row r="6" spans="1:13">
      <c r="A6" s="38" t="s">
        <v>12</v>
      </c>
      <c r="B6" s="13">
        <v>0.39</v>
      </c>
    </row>
    <row r="7" spans="1:13">
      <c r="A7" s="38"/>
      <c r="B7" s="39"/>
    </row>
    <row r="8" spans="1:13">
      <c r="A8" s="38" t="s">
        <v>11</v>
      </c>
      <c r="B8" s="13">
        <v>10</v>
      </c>
    </row>
    <row r="9" spans="1:13">
      <c r="A9" s="38" t="s">
        <v>10</v>
      </c>
      <c r="B9" s="39">
        <f>B4/B8</f>
        <v>8.3333333333333332E-3</v>
      </c>
    </row>
    <row r="10" spans="1:13">
      <c r="A10" s="38" t="s">
        <v>9</v>
      </c>
      <c r="B10" s="39">
        <f>EXP(B6*SQRT(B9))</f>
        <v>1.0362433045725279</v>
      </c>
    </row>
    <row r="11" spans="1:13">
      <c r="A11" s="38" t="s">
        <v>8</v>
      </c>
      <c r="B11" s="39">
        <f>1/B10</f>
        <v>0.96502432931281612</v>
      </c>
    </row>
    <row r="12" spans="1:13">
      <c r="A12" s="38" t="s">
        <v>6</v>
      </c>
      <c r="B12" s="39">
        <f>(EXP(B5*B9) - B11)/(B10-B11)</f>
        <v>0.49695216818831472</v>
      </c>
    </row>
    <row r="13" spans="1:13">
      <c r="C13" s="8" t="s">
        <v>2</v>
      </c>
    </row>
    <row r="14" spans="1:13">
      <c r="A14" t="s">
        <v>21</v>
      </c>
      <c r="C14" s="9">
        <v>0</v>
      </c>
      <c r="D14" s="9">
        <v>1</v>
      </c>
      <c r="E14" s="9">
        <v>2</v>
      </c>
      <c r="F14" s="9">
        <v>3</v>
      </c>
      <c r="G14" s="9">
        <v>4</v>
      </c>
      <c r="H14" s="9">
        <v>5</v>
      </c>
      <c r="I14" s="9">
        <v>6</v>
      </c>
      <c r="J14" s="9">
        <v>7</v>
      </c>
      <c r="K14" s="9">
        <v>8</v>
      </c>
      <c r="L14" s="9">
        <v>9</v>
      </c>
      <c r="M14" s="9">
        <v>10</v>
      </c>
    </row>
    <row r="15" spans="1:13">
      <c r="A15" s="8" t="s">
        <v>0</v>
      </c>
      <c r="B15" s="9">
        <v>0</v>
      </c>
      <c r="C15">
        <v>1200</v>
      </c>
      <c r="D15">
        <v>1243.4919654870334</v>
      </c>
      <c r="E15">
        <v>1288.5602235256715</v>
      </c>
      <c r="F15">
        <v>1335.2619041669568</v>
      </c>
      <c r="G15">
        <v>1383.6562080437736</v>
      </c>
      <c r="H15">
        <v>1433.8044814155728</v>
      </c>
      <c r="I15">
        <v>1485.7702939329729</v>
      </c>
      <c r="J15">
        <v>1539.6195192208002</v>
      </c>
      <c r="K15">
        <v>1595.4204183817285</v>
      </c>
      <c r="L15">
        <v>1653.243726526367</v>
      </c>
      <c r="M15">
        <v>1713.1627424394835</v>
      </c>
    </row>
    <row r="16" spans="1:13">
      <c r="B16" s="9">
        <v>1</v>
      </c>
      <c r="D16">
        <v>1158.0291951753793</v>
      </c>
      <c r="E16">
        <v>1200</v>
      </c>
      <c r="F16">
        <v>1243.4919654870337</v>
      </c>
      <c r="G16">
        <v>1288.5602235256713</v>
      </c>
      <c r="H16">
        <v>1335.261904166957</v>
      </c>
      <c r="I16">
        <v>1383.6562080437732</v>
      </c>
      <c r="J16">
        <v>1433.8044814155728</v>
      </c>
      <c r="K16">
        <v>1485.7702939329731</v>
      </c>
      <c r="L16">
        <v>1539.6195192207999</v>
      </c>
      <c r="M16">
        <v>1595.420418381728</v>
      </c>
    </row>
    <row r="17" spans="1:13">
      <c r="B17" s="9">
        <v>2</v>
      </c>
      <c r="E17">
        <v>1117.5263473987807</v>
      </c>
      <c r="F17">
        <v>1158.0291951753793</v>
      </c>
      <c r="G17">
        <v>1200.0000000000002</v>
      </c>
      <c r="H17">
        <v>1243.4919654870334</v>
      </c>
      <c r="I17">
        <v>1288.5602235256715</v>
      </c>
      <c r="J17">
        <v>1335.2619041669568</v>
      </c>
      <c r="K17">
        <v>1383.6562080437734</v>
      </c>
      <c r="L17">
        <v>1433.804481415573</v>
      </c>
      <c r="M17">
        <v>1485.7702939329731</v>
      </c>
    </row>
    <row r="18" spans="1:13">
      <c r="B18" s="9">
        <v>3</v>
      </c>
      <c r="F18">
        <v>1078.4401138879095</v>
      </c>
      <c r="G18">
        <v>1117.5263473987807</v>
      </c>
      <c r="H18">
        <v>1158.0291951753793</v>
      </c>
      <c r="I18">
        <v>1199.9999999999998</v>
      </c>
      <c r="J18">
        <v>1243.4919654870334</v>
      </c>
      <c r="K18">
        <v>1288.5602235256711</v>
      </c>
      <c r="L18">
        <v>1335.2619041669566</v>
      </c>
      <c r="M18">
        <v>1383.6562080437734</v>
      </c>
    </row>
    <row r="19" spans="1:13">
      <c r="B19" s="9">
        <v>4</v>
      </c>
      <c r="G19">
        <v>1040.7209476087169</v>
      </c>
      <c r="H19">
        <v>1078.4401138879095</v>
      </c>
      <c r="I19">
        <v>1117.5263473987809</v>
      </c>
      <c r="J19">
        <v>1158.0291951753793</v>
      </c>
      <c r="K19">
        <v>1200</v>
      </c>
      <c r="L19">
        <v>1243.4919654870332</v>
      </c>
      <c r="M19">
        <v>1288.5602235256713</v>
      </c>
    </row>
    <row r="20" spans="1:13">
      <c r="B20" s="9">
        <v>5</v>
      </c>
      <c r="H20">
        <v>1004.3210344679005</v>
      </c>
      <c r="I20">
        <v>1040.7209476087169</v>
      </c>
      <c r="J20">
        <v>1078.4401138879095</v>
      </c>
      <c r="K20">
        <v>1117.5263473987807</v>
      </c>
      <c r="L20">
        <v>1158.0291951753793</v>
      </c>
      <c r="M20">
        <v>1199.9999999999998</v>
      </c>
    </row>
    <row r="21" spans="1:13">
      <c r="B21" s="9">
        <v>6</v>
      </c>
      <c r="I21">
        <v>969.1942327021394</v>
      </c>
      <c r="J21">
        <v>1004.3210344679004</v>
      </c>
      <c r="K21">
        <v>1040.7209476087171</v>
      </c>
      <c r="L21">
        <v>1078.4401138879093</v>
      </c>
      <c r="M21">
        <v>1117.5263473987807</v>
      </c>
    </row>
    <row r="22" spans="1:13">
      <c r="B22" s="9">
        <v>7</v>
      </c>
      <c r="J22">
        <v>935.29601438723148</v>
      </c>
      <c r="K22">
        <v>969.19423270213929</v>
      </c>
      <c r="L22">
        <v>1004.3210344679006</v>
      </c>
      <c r="M22">
        <v>1040.7209476087169</v>
      </c>
    </row>
    <row r="23" spans="1:13">
      <c r="B23" s="9">
        <v>8</v>
      </c>
      <c r="K23">
        <v>902.58340899298798</v>
      </c>
      <c r="L23">
        <v>935.29601438723137</v>
      </c>
      <c r="M23">
        <v>969.1942327021394</v>
      </c>
    </row>
    <row r="24" spans="1:13">
      <c r="B24" s="9">
        <v>9</v>
      </c>
      <c r="L24">
        <v>871.01494891233347</v>
      </c>
      <c r="M24">
        <v>902.58340899298798</v>
      </c>
    </row>
    <row r="25" spans="1:13">
      <c r="B25" s="9">
        <v>10</v>
      </c>
      <c r="M25">
        <v>840.55061689556135</v>
      </c>
    </row>
    <row r="26" spans="1:13">
      <c r="C26" s="8" t="s">
        <v>2</v>
      </c>
    </row>
    <row r="27" spans="1:13">
      <c r="A27" t="s">
        <v>53</v>
      </c>
      <c r="C27" s="9">
        <v>0</v>
      </c>
      <c r="D27" s="9">
        <v>1</v>
      </c>
      <c r="E27" s="9">
        <v>2</v>
      </c>
      <c r="F27" s="9">
        <v>3</v>
      </c>
      <c r="G27" s="9">
        <v>4</v>
      </c>
      <c r="H27" s="9">
        <v>5</v>
      </c>
      <c r="I27" s="9">
        <v>6</v>
      </c>
      <c r="J27" s="9">
        <v>7</v>
      </c>
      <c r="K27" s="9">
        <v>8</v>
      </c>
      <c r="L27" s="9">
        <v>9</v>
      </c>
      <c r="M27" s="9">
        <v>10</v>
      </c>
    </row>
    <row r="28" spans="1:13">
      <c r="A28" s="8" t="s">
        <v>0</v>
      </c>
      <c r="B28" s="9">
        <v>0</v>
      </c>
      <c r="C28">
        <v>20.475816036265091</v>
      </c>
      <c r="D28">
        <v>31.761240990877894</v>
      </c>
      <c r="E28">
        <v>48.17663376671257</v>
      </c>
      <c r="F28">
        <v>71.207919647788714</v>
      </c>
      <c r="G28">
        <v>102.14014908196674</v>
      </c>
      <c r="H28">
        <v>141.54120037587805</v>
      </c>
      <c r="I28">
        <v>188.66651543473765</v>
      </c>
      <c r="J28">
        <v>241.24350401884502</v>
      </c>
      <c r="K28">
        <v>296.5033004515326</v>
      </c>
      <c r="L28">
        <v>353.78528036148327</v>
      </c>
      <c r="M28">
        <v>413.16274243948351</v>
      </c>
    </row>
    <row r="29" spans="1:13">
      <c r="B29" s="9">
        <v>1</v>
      </c>
      <c r="D29">
        <v>9.3441051365727059</v>
      </c>
      <c r="E29">
        <v>15.571073955599456</v>
      </c>
      <c r="F29">
        <v>25.464340914490073</v>
      </c>
      <c r="G29">
        <v>40.709503065138698</v>
      </c>
      <c r="H29">
        <v>63.301157298562295</v>
      </c>
      <c r="I29">
        <v>95.104185385667947</v>
      </c>
      <c r="J29">
        <v>136.88292866885399</v>
      </c>
      <c r="K29">
        <v>186.85317600277719</v>
      </c>
      <c r="L29">
        <v>240.16107305591601</v>
      </c>
      <c r="M29">
        <v>295.42041838172804</v>
      </c>
    </row>
    <row r="30" spans="1:13">
      <c r="B30" s="9">
        <v>2</v>
      </c>
      <c r="E30">
        <v>3.2003325725351122</v>
      </c>
      <c r="F30">
        <v>5.810588260474594</v>
      </c>
      <c r="G30">
        <v>10.425007567003572</v>
      </c>
      <c r="H30">
        <v>18.42532844372553</v>
      </c>
      <c r="I30">
        <v>31.935943521267962</v>
      </c>
      <c r="J30">
        <v>53.910484215138673</v>
      </c>
      <c r="K30">
        <v>87.631595588239321</v>
      </c>
      <c r="L30">
        <v>134.34603525068908</v>
      </c>
      <c r="M30">
        <v>185.77029393297312</v>
      </c>
    </row>
    <row r="31" spans="1:13">
      <c r="B31" s="9">
        <v>3</v>
      </c>
      <c r="F31">
        <v>0.6243578998482372</v>
      </c>
      <c r="G31">
        <v>1.2568978327542868</v>
      </c>
      <c r="H31">
        <v>2.5302669548450072</v>
      </c>
      <c r="I31">
        <v>5.093692339934373</v>
      </c>
      <c r="J31">
        <v>10.254136072174024</v>
      </c>
      <c r="K31">
        <v>20.64264968700784</v>
      </c>
      <c r="L31">
        <v>41.555815438889681</v>
      </c>
      <c r="M31">
        <v>83.656208043773404</v>
      </c>
    </row>
    <row r="32" spans="1:13">
      <c r="B32" s="9">
        <v>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B33" s="9">
        <v>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B34" s="9">
        <v>6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B35" s="9">
        <v>7</v>
      </c>
      <c r="J35">
        <v>0</v>
      </c>
      <c r="K35">
        <v>0</v>
      </c>
      <c r="L35">
        <v>0</v>
      </c>
      <c r="M35">
        <v>0</v>
      </c>
    </row>
    <row r="36" spans="1:13">
      <c r="B36" s="9">
        <v>8</v>
      </c>
      <c r="K36">
        <v>0</v>
      </c>
      <c r="L36">
        <v>0</v>
      </c>
      <c r="M36">
        <v>0</v>
      </c>
    </row>
    <row r="37" spans="1:13">
      <c r="B37" s="9">
        <v>9</v>
      </c>
      <c r="L37">
        <v>0</v>
      </c>
      <c r="M37">
        <v>0</v>
      </c>
    </row>
    <row r="38" spans="1:13">
      <c r="B38" s="9">
        <v>10</v>
      </c>
      <c r="M38">
        <v>0</v>
      </c>
    </row>
    <row r="39" spans="1:13">
      <c r="C39" s="8" t="s">
        <v>2</v>
      </c>
    </row>
    <row r="40" spans="1:13">
      <c r="A40" t="s">
        <v>23</v>
      </c>
      <c r="C40" s="9">
        <v>0</v>
      </c>
      <c r="D40" s="9">
        <v>1</v>
      </c>
      <c r="E40" s="9">
        <v>2</v>
      </c>
      <c r="F40" s="9">
        <v>3</v>
      </c>
      <c r="G40" s="9">
        <v>4</v>
      </c>
      <c r="H40" s="9">
        <v>5</v>
      </c>
      <c r="I40" s="9">
        <v>6</v>
      </c>
      <c r="J40" s="9">
        <v>7</v>
      </c>
      <c r="K40" s="9">
        <v>8</v>
      </c>
      <c r="L40" s="9">
        <v>9</v>
      </c>
      <c r="M40" s="9">
        <v>10</v>
      </c>
    </row>
    <row r="41" spans="1:13">
      <c r="A41" s="8" t="s">
        <v>0</v>
      </c>
      <c r="B41" s="9">
        <v>0</v>
      </c>
      <c r="C41">
        <v>75.965277494543486</v>
      </c>
      <c r="D41">
        <v>117.83420407615699</v>
      </c>
      <c r="E41">
        <v>178.73531127450363</v>
      </c>
      <c r="F41">
        <v>264.18138189329613</v>
      </c>
      <c r="G41">
        <v>378.93995309409661</v>
      </c>
      <c r="H41">
        <v>525.11785339450751</v>
      </c>
      <c r="I41">
        <v>699.95277226287669</v>
      </c>
      <c r="J41">
        <v>895.01339990991505</v>
      </c>
      <c r="K41">
        <v>1100.027244675186</v>
      </c>
      <c r="L41">
        <v>1312.5433901411029</v>
      </c>
      <c r="M41">
        <v>1532.8337744504838</v>
      </c>
    </row>
    <row r="42" spans="1:13">
      <c r="B42" s="9">
        <v>1</v>
      </c>
      <c r="D42">
        <v>34.666630056684738</v>
      </c>
      <c r="E42">
        <v>57.768684375273978</v>
      </c>
      <c r="F42">
        <v>94.472704792758165</v>
      </c>
      <c r="G42">
        <v>151.03225637166457</v>
      </c>
      <c r="H42">
        <v>234.84729357766611</v>
      </c>
      <c r="I42">
        <v>352.83652778082808</v>
      </c>
      <c r="J42">
        <v>507.83566536144832</v>
      </c>
      <c r="K42">
        <v>693.2252829703034</v>
      </c>
      <c r="L42">
        <v>890.99758103744841</v>
      </c>
      <c r="M42">
        <v>1096.0097521962109</v>
      </c>
    </row>
    <row r="43" spans="1:13">
      <c r="B43" s="9">
        <v>2</v>
      </c>
      <c r="E43">
        <v>11.873233844105266</v>
      </c>
      <c r="F43">
        <v>21.557282446360745</v>
      </c>
      <c r="G43">
        <v>38.67677807358325</v>
      </c>
      <c r="H43">
        <v>68.357968526221711</v>
      </c>
      <c r="I43">
        <v>118.48235046390414</v>
      </c>
      <c r="J43">
        <v>200.00789643816447</v>
      </c>
      <c r="K43">
        <v>325.11321963236787</v>
      </c>
      <c r="L43">
        <v>498.42379078005649</v>
      </c>
      <c r="M43">
        <v>689.20779049133023</v>
      </c>
    </row>
    <row r="44" spans="1:13">
      <c r="B44" s="9">
        <v>3</v>
      </c>
      <c r="F44">
        <v>2.3163678084369601</v>
      </c>
      <c r="G44">
        <v>4.6630909595184038</v>
      </c>
      <c r="H44">
        <v>9.3872904024749761</v>
      </c>
      <c r="I44">
        <v>18.897598581156522</v>
      </c>
      <c r="J44">
        <v>38.042844827765627</v>
      </c>
      <c r="K44">
        <v>76.584230338799088</v>
      </c>
      <c r="L44">
        <v>154.17207527828072</v>
      </c>
      <c r="M44">
        <v>310.36453184239934</v>
      </c>
    </row>
    <row r="45" spans="1:13">
      <c r="B45" s="9">
        <v>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B46" s="9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B47" s="9">
        <v>6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B48" s="9">
        <v>7</v>
      </c>
      <c r="J48">
        <v>0</v>
      </c>
      <c r="K48">
        <v>0</v>
      </c>
      <c r="L48">
        <v>0</v>
      </c>
      <c r="M48">
        <v>0</v>
      </c>
    </row>
    <row r="49" spans="1:27">
      <c r="B49" s="9">
        <v>8</v>
      </c>
      <c r="K49">
        <v>0</v>
      </c>
      <c r="L49">
        <v>0</v>
      </c>
      <c r="M49">
        <v>0</v>
      </c>
    </row>
    <row r="50" spans="1:27">
      <c r="B50" s="9">
        <v>9</v>
      </c>
      <c r="L50">
        <v>0</v>
      </c>
      <c r="M50">
        <v>0</v>
      </c>
    </row>
    <row r="51" spans="1:27">
      <c r="B51" s="9">
        <v>10</v>
      </c>
      <c r="M51">
        <v>0</v>
      </c>
    </row>
    <row r="52" spans="1:27">
      <c r="C52" s="8" t="s">
        <v>2</v>
      </c>
      <c r="Q52" s="8" t="s">
        <v>2</v>
      </c>
    </row>
    <row r="53" spans="1:27">
      <c r="A53" t="s">
        <v>24</v>
      </c>
      <c r="C53" s="9">
        <v>0</v>
      </c>
      <c r="D53" s="9">
        <v>1</v>
      </c>
      <c r="E53" s="9">
        <v>2</v>
      </c>
      <c r="F53" s="9">
        <v>3</v>
      </c>
      <c r="G53" s="9">
        <v>4</v>
      </c>
      <c r="H53" s="9">
        <v>5</v>
      </c>
      <c r="I53" s="9">
        <v>6</v>
      </c>
      <c r="J53" s="9">
        <v>7</v>
      </c>
      <c r="K53" s="9">
        <v>8</v>
      </c>
      <c r="L53" s="9">
        <v>9</v>
      </c>
      <c r="M53" s="9">
        <v>10</v>
      </c>
      <c r="O53" t="s">
        <v>25</v>
      </c>
      <c r="Q53" s="9">
        <v>0</v>
      </c>
      <c r="R53" s="9">
        <v>1</v>
      </c>
      <c r="S53" s="9">
        <v>2</v>
      </c>
      <c r="T53" s="9">
        <v>3</v>
      </c>
      <c r="U53" s="9">
        <v>4</v>
      </c>
      <c r="V53" s="9">
        <v>5</v>
      </c>
      <c r="W53" s="9">
        <v>6</v>
      </c>
      <c r="X53" s="9">
        <v>7</v>
      </c>
      <c r="Y53" s="9">
        <v>8</v>
      </c>
      <c r="Z53" s="9">
        <v>9</v>
      </c>
      <c r="AA53" s="9">
        <v>10</v>
      </c>
    </row>
    <row r="54" spans="1:27">
      <c r="A54" s="8" t="s">
        <v>0</v>
      </c>
      <c r="B54" s="9">
        <v>0</v>
      </c>
      <c r="D54">
        <v>0.26230293930979992</v>
      </c>
      <c r="E54">
        <v>0.36817386534329971</v>
      </c>
      <c r="F54">
        <v>0.49845929278479661</v>
      </c>
      <c r="G54">
        <v>0.64598569885076684</v>
      </c>
      <c r="H54">
        <v>0.79397195873943716</v>
      </c>
      <c r="I54">
        <v>0.91625292665882341</v>
      </c>
      <c r="J54">
        <v>0.98625467149656421</v>
      </c>
      <c r="K54">
        <v>1.0000000000000002</v>
      </c>
      <c r="L54">
        <v>1.0000000000000016</v>
      </c>
      <c r="M54">
        <v>1</v>
      </c>
      <c r="O54" s="8" t="s">
        <v>0</v>
      </c>
      <c r="P54" s="9">
        <v>0</v>
      </c>
      <c r="R54">
        <v>-294.41035656449128</v>
      </c>
      <c r="S54">
        <v>-426.06000246582028</v>
      </c>
      <c r="T54">
        <v>-593.87068628479221</v>
      </c>
      <c r="U54">
        <v>-790.69298921750521</v>
      </c>
      <c r="V54">
        <v>-995.19930368740575</v>
      </c>
      <c r="W54">
        <v>-1170.2343351902264</v>
      </c>
      <c r="X54">
        <v>-1274.0243935101118</v>
      </c>
      <c r="Y54">
        <v>-1295.134129209923</v>
      </c>
      <c r="Z54">
        <v>-1295.1341292099248</v>
      </c>
      <c r="AA54">
        <v>-1295.1341292099225</v>
      </c>
    </row>
    <row r="55" spans="1:27">
      <c r="B55" s="9">
        <v>1</v>
      </c>
      <c r="E55">
        <v>0.14999628357531297</v>
      </c>
      <c r="F55">
        <v>0.22996858845488816</v>
      </c>
      <c r="G55">
        <v>0.34196498487107502</v>
      </c>
      <c r="H55">
        <v>0.48900358331234456</v>
      </c>
      <c r="I55">
        <v>0.66425772007624384</v>
      </c>
      <c r="J55">
        <v>0.84199588411800597</v>
      </c>
      <c r="K55">
        <v>0.97167378575174834</v>
      </c>
      <c r="L55">
        <v>1.0000000000000002</v>
      </c>
      <c r="M55">
        <v>1</v>
      </c>
      <c r="P55" s="9">
        <v>1</v>
      </c>
      <c r="S55">
        <v>-164.35597041144493</v>
      </c>
      <c r="T55">
        <v>-260.28275844378692</v>
      </c>
      <c r="U55">
        <v>-399.43337037792895</v>
      </c>
      <c r="V55">
        <v>-588.66477250100797</v>
      </c>
      <c r="W55">
        <v>-822.28525274920094</v>
      </c>
      <c r="X55">
        <v>-1067.7019490894829</v>
      </c>
      <c r="Y55">
        <v>-1253.1704542572204</v>
      </c>
      <c r="Z55">
        <v>-1295.1341292099228</v>
      </c>
      <c r="AA55">
        <v>-1295.1341292099225</v>
      </c>
    </row>
    <row r="56" spans="1:27">
      <c r="B56" s="9">
        <v>2</v>
      </c>
      <c r="F56">
        <v>6.5162586082556775E-2</v>
      </c>
      <c r="G56">
        <v>0.11116410447563606</v>
      </c>
      <c r="H56">
        <v>0.18598813765241343</v>
      </c>
      <c r="I56">
        <v>0.30309601887525256</v>
      </c>
      <c r="J56">
        <v>0.47571512818843587</v>
      </c>
      <c r="K56">
        <v>0.70443506359071939</v>
      </c>
      <c r="L56">
        <v>0.94162566478950283</v>
      </c>
      <c r="M56">
        <v>1</v>
      </c>
      <c r="P56" s="9">
        <v>2</v>
      </c>
      <c r="T56">
        <v>-69.591571709376794</v>
      </c>
      <c r="U56">
        <v>-122.81829893829838</v>
      </c>
      <c r="V56">
        <v>-212.49497281897814</v>
      </c>
      <c r="W56">
        <v>-357.87517984057541</v>
      </c>
      <c r="X56">
        <v>-579.84238421184932</v>
      </c>
      <c r="Y56">
        <v>-884.48085172023855</v>
      </c>
      <c r="Z56">
        <v>-1211.7152725942951</v>
      </c>
      <c r="AA56">
        <v>-1295.1341292099225</v>
      </c>
    </row>
    <row r="57" spans="1:27">
      <c r="B57" s="9">
        <v>3</v>
      </c>
      <c r="G57">
        <v>1.6364706598622377E-2</v>
      </c>
      <c r="H57">
        <v>3.1791634152753614E-2</v>
      </c>
      <c r="I57">
        <v>6.1761449617900074E-2</v>
      </c>
      <c r="J57">
        <v>0.11998366112847289</v>
      </c>
      <c r="K57">
        <v>0.23309166198100356</v>
      </c>
      <c r="L57">
        <v>0.45282601292596159</v>
      </c>
      <c r="M57">
        <v>0.87970284410745991</v>
      </c>
      <c r="P57" s="9">
        <v>3</v>
      </c>
      <c r="U57">
        <v>-17.009817392457713</v>
      </c>
      <c r="V57">
        <v>-34.22827885924837</v>
      </c>
      <c r="W57">
        <v>-68.876405115669158</v>
      </c>
      <c r="X57">
        <v>-138.59765491468548</v>
      </c>
      <c r="Y57">
        <v>-278.89536214311471</v>
      </c>
      <c r="Z57">
        <v>-561.21168192072253</v>
      </c>
      <c r="AA57">
        <v>-1129.3072409094652</v>
      </c>
    </row>
    <row r="58" spans="1:27">
      <c r="B58" s="9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P58" s="9">
        <v>4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B59" s="9">
        <v>5</v>
      </c>
      <c r="I59">
        <v>0</v>
      </c>
      <c r="J59">
        <v>0</v>
      </c>
      <c r="K59">
        <v>0</v>
      </c>
      <c r="L59">
        <v>0</v>
      </c>
      <c r="M59">
        <v>0</v>
      </c>
      <c r="P59" s="9">
        <v>5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B60" s="9">
        <v>6</v>
      </c>
      <c r="J60">
        <v>0</v>
      </c>
      <c r="K60">
        <v>0</v>
      </c>
      <c r="L60">
        <v>0</v>
      </c>
      <c r="M60">
        <v>0</v>
      </c>
      <c r="P60" s="9">
        <v>6</v>
      </c>
      <c r="X60">
        <v>0</v>
      </c>
      <c r="Y60">
        <v>0</v>
      </c>
      <c r="Z60">
        <v>0</v>
      </c>
      <c r="AA60">
        <v>0</v>
      </c>
    </row>
    <row r="61" spans="1:27">
      <c r="B61" s="9">
        <v>7</v>
      </c>
      <c r="K61">
        <v>0</v>
      </c>
      <c r="L61">
        <v>0</v>
      </c>
      <c r="M61">
        <v>0</v>
      </c>
      <c r="P61" s="9">
        <v>7</v>
      </c>
      <c r="Y61">
        <v>0</v>
      </c>
      <c r="Z61">
        <v>0</v>
      </c>
      <c r="AA61">
        <v>0</v>
      </c>
    </row>
    <row r="62" spans="1:27">
      <c r="B62" s="9">
        <v>8</v>
      </c>
      <c r="L62">
        <v>0</v>
      </c>
      <c r="M62">
        <v>0</v>
      </c>
      <c r="P62" s="9">
        <v>8</v>
      </c>
      <c r="Z62">
        <v>0</v>
      </c>
      <c r="AA62">
        <v>0</v>
      </c>
    </row>
    <row r="63" spans="1:27">
      <c r="B63" s="9">
        <v>9</v>
      </c>
      <c r="M63">
        <v>0</v>
      </c>
      <c r="P63" s="9">
        <v>9</v>
      </c>
      <c r="AA63">
        <v>0</v>
      </c>
    </row>
    <row r="64" spans="1:27">
      <c r="B64" s="9">
        <v>10</v>
      </c>
      <c r="P64" s="9"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/>
  <dimension ref="A1:AA64"/>
  <sheetViews>
    <sheetView zoomScale="130" zoomScaleNormal="130" workbookViewId="0">
      <selection activeCell="I10" sqref="I10"/>
    </sheetView>
  </sheetViews>
  <sheetFormatPr defaultRowHeight="15"/>
  <sheetData>
    <row r="1" spans="1:13">
      <c r="A1" s="38" t="str">
        <f>DrzewoCALL!A1</f>
        <v>S(0)</v>
      </c>
      <c r="B1" s="13">
        <v>1200</v>
      </c>
      <c r="C1" s="39" t="str">
        <f>[1]Arkusz!C1</f>
        <v>XAUUSD</v>
      </c>
    </row>
    <row r="2" spans="1:13">
      <c r="A2" s="38" t="str">
        <f>DrzewoCALL!A2</f>
        <v>K</v>
      </c>
      <c r="B2" s="13">
        <v>1300</v>
      </c>
      <c r="C2" s="39" t="str">
        <f>[1]Arkusz!C2</f>
        <v>XAUUSD</v>
      </c>
    </row>
    <row r="3" spans="1:13">
      <c r="A3" s="38" t="str">
        <f>DrzewoCALL!A3</f>
        <v>fx(0)</v>
      </c>
      <c r="B3" s="13">
        <v>3.71</v>
      </c>
      <c r="C3" s="39" t="str">
        <f>[1]Arkusz!C3</f>
        <v>USDPLN</v>
      </c>
    </row>
    <row r="4" spans="1:13">
      <c r="A4" s="38" t="str">
        <f>DrzewoCALL!A4</f>
        <v>T</v>
      </c>
      <c r="B4" s="13">
        <f>1/12</f>
        <v>8.3333333333333329E-2</v>
      </c>
    </row>
    <row r="5" spans="1:13">
      <c r="A5" s="38" t="str">
        <f>DrzewoCALL!A5</f>
        <v>r</v>
      </c>
      <c r="B5" s="13">
        <v>0.05</v>
      </c>
    </row>
    <row r="6" spans="1:13">
      <c r="A6" s="38" t="str">
        <f>DrzewoCALL!A6</f>
        <v>sigma</v>
      </c>
      <c r="B6" s="13">
        <v>0.39</v>
      </c>
    </row>
    <row r="7" spans="1:13">
      <c r="A7" s="38"/>
      <c r="B7" s="39"/>
    </row>
    <row r="8" spans="1:13">
      <c r="A8" s="38" t="str">
        <f>DrzewoCALL!A8</f>
        <v>N</v>
      </c>
      <c r="B8" s="13">
        <v>10</v>
      </c>
    </row>
    <row r="9" spans="1:13">
      <c r="A9" s="38" t="str">
        <f>DrzewoCALL!A9</f>
        <v>delta_t</v>
      </c>
      <c r="B9" s="39">
        <f>B4/B8</f>
        <v>8.3333333333333332E-3</v>
      </c>
    </row>
    <row r="10" spans="1:13">
      <c r="A10" s="38" t="str">
        <f>DrzewoCALL!A10</f>
        <v>u</v>
      </c>
      <c r="B10" s="39">
        <f>EXP(B6*SQRT(B9))</f>
        <v>1.0362433045725279</v>
      </c>
    </row>
    <row r="11" spans="1:13">
      <c r="A11" s="38" t="str">
        <f>DrzewoCALL!A11</f>
        <v>d</v>
      </c>
      <c r="B11" s="39">
        <f>1/B10</f>
        <v>0.96502432931281612</v>
      </c>
    </row>
    <row r="12" spans="1:13">
      <c r="A12" s="38" t="str">
        <f>DrzewoCALL!A12</f>
        <v>p*</v>
      </c>
      <c r="B12" s="39">
        <f>(EXP(B5*B9) - B11)/(B10-B11)</f>
        <v>0.49695216818831472</v>
      </c>
    </row>
    <row r="13" spans="1:13">
      <c r="C13" s="8" t="s">
        <v>2</v>
      </c>
    </row>
    <row r="14" spans="1:13">
      <c r="A14" t="s">
        <v>21</v>
      </c>
      <c r="C14" s="9">
        <v>0</v>
      </c>
      <c r="D14" s="9">
        <v>1</v>
      </c>
      <c r="E14" s="9">
        <v>2</v>
      </c>
      <c r="F14" s="9">
        <v>3</v>
      </c>
      <c r="G14" s="9">
        <v>4</v>
      </c>
      <c r="H14" s="9">
        <v>5</v>
      </c>
      <c r="I14" s="9">
        <v>6</v>
      </c>
      <c r="J14" s="9">
        <v>7</v>
      </c>
      <c r="K14" s="9">
        <v>8</v>
      </c>
      <c r="L14" s="9">
        <v>9</v>
      </c>
      <c r="M14" s="9">
        <v>10</v>
      </c>
    </row>
    <row r="15" spans="1:13">
      <c r="A15" s="8" t="s">
        <v>0</v>
      </c>
      <c r="B15" s="9">
        <v>0</v>
      </c>
      <c r="C15">
        <v>1200</v>
      </c>
      <c r="D15">
        <v>1243.4919654870334</v>
      </c>
      <c r="E15">
        <v>1288.5602235256715</v>
      </c>
      <c r="F15">
        <v>1335.2619041669568</v>
      </c>
      <c r="G15">
        <v>1383.6562080437736</v>
      </c>
      <c r="H15">
        <v>1433.8044814155728</v>
      </c>
      <c r="I15">
        <v>1485.7702939329729</v>
      </c>
      <c r="J15">
        <v>1539.6195192208002</v>
      </c>
      <c r="K15">
        <v>1595.4204183817285</v>
      </c>
      <c r="L15">
        <v>1653.243726526367</v>
      </c>
      <c r="M15">
        <v>1713.1627424394835</v>
      </c>
    </row>
    <row r="16" spans="1:13">
      <c r="B16" s="9">
        <v>1</v>
      </c>
      <c r="D16">
        <v>1158.0291951753793</v>
      </c>
      <c r="E16">
        <v>1200</v>
      </c>
      <c r="F16">
        <v>1243.4919654870337</v>
      </c>
      <c r="G16">
        <v>1288.5602235256713</v>
      </c>
      <c r="H16">
        <v>1335.261904166957</v>
      </c>
      <c r="I16">
        <v>1383.6562080437732</v>
      </c>
      <c r="J16">
        <v>1433.8044814155728</v>
      </c>
      <c r="K16">
        <v>1485.7702939329731</v>
      </c>
      <c r="L16">
        <v>1539.6195192207999</v>
      </c>
      <c r="M16">
        <v>1595.420418381728</v>
      </c>
    </row>
    <row r="17" spans="1:13">
      <c r="B17" s="9">
        <v>2</v>
      </c>
      <c r="E17">
        <v>1117.5263473987807</v>
      </c>
      <c r="F17">
        <v>1158.0291951753793</v>
      </c>
      <c r="G17">
        <v>1200.0000000000002</v>
      </c>
      <c r="H17">
        <v>1243.4919654870334</v>
      </c>
      <c r="I17">
        <v>1288.5602235256715</v>
      </c>
      <c r="J17">
        <v>1335.2619041669568</v>
      </c>
      <c r="K17">
        <v>1383.6562080437734</v>
      </c>
      <c r="L17">
        <v>1433.804481415573</v>
      </c>
      <c r="M17">
        <v>1485.7702939329731</v>
      </c>
    </row>
    <row r="18" spans="1:13">
      <c r="B18" s="9">
        <v>3</v>
      </c>
      <c r="F18">
        <v>1078.4401138879095</v>
      </c>
      <c r="G18">
        <v>1117.5263473987807</v>
      </c>
      <c r="H18">
        <v>1158.0291951753793</v>
      </c>
      <c r="I18">
        <v>1199.9999999999998</v>
      </c>
      <c r="J18">
        <v>1243.4919654870334</v>
      </c>
      <c r="K18">
        <v>1288.5602235256711</v>
      </c>
      <c r="L18">
        <v>1335.2619041669566</v>
      </c>
      <c r="M18">
        <v>1383.6562080437734</v>
      </c>
    </row>
    <row r="19" spans="1:13">
      <c r="B19" s="9">
        <v>4</v>
      </c>
      <c r="G19">
        <v>1040.7209476087169</v>
      </c>
      <c r="H19">
        <v>1078.4401138879095</v>
      </c>
      <c r="I19">
        <v>1117.5263473987809</v>
      </c>
      <c r="J19">
        <v>1158.0291951753793</v>
      </c>
      <c r="K19">
        <v>1200</v>
      </c>
      <c r="L19">
        <v>1243.4919654870332</v>
      </c>
      <c r="M19">
        <v>1288.5602235256713</v>
      </c>
    </row>
    <row r="20" spans="1:13">
      <c r="B20" s="9">
        <v>5</v>
      </c>
      <c r="H20">
        <v>1004.3210344679005</v>
      </c>
      <c r="I20">
        <v>1040.7209476087169</v>
      </c>
      <c r="J20">
        <v>1078.4401138879095</v>
      </c>
      <c r="K20">
        <v>1117.5263473987807</v>
      </c>
      <c r="L20">
        <v>1158.0291951753793</v>
      </c>
      <c r="M20">
        <v>1199.9999999999998</v>
      </c>
    </row>
    <row r="21" spans="1:13">
      <c r="B21" s="9">
        <v>6</v>
      </c>
      <c r="I21">
        <v>969.1942327021394</v>
      </c>
      <c r="J21">
        <v>1004.3210344679004</v>
      </c>
      <c r="K21">
        <v>1040.7209476087171</v>
      </c>
      <c r="L21">
        <v>1078.4401138879093</v>
      </c>
      <c r="M21">
        <v>1117.5263473987807</v>
      </c>
    </row>
    <row r="22" spans="1:13">
      <c r="B22" s="9">
        <v>7</v>
      </c>
      <c r="J22">
        <v>935.29601438723148</v>
      </c>
      <c r="K22">
        <v>969.19423270213929</v>
      </c>
      <c r="L22">
        <v>1004.3210344679006</v>
      </c>
      <c r="M22">
        <v>1040.7209476087169</v>
      </c>
    </row>
    <row r="23" spans="1:13">
      <c r="B23" s="9">
        <v>8</v>
      </c>
      <c r="K23">
        <v>902.58340899298798</v>
      </c>
      <c r="L23">
        <v>935.29601438723137</v>
      </c>
      <c r="M23">
        <v>969.1942327021394</v>
      </c>
    </row>
    <row r="24" spans="1:13">
      <c r="B24" s="9">
        <v>9</v>
      </c>
      <c r="L24">
        <v>871.01494891233347</v>
      </c>
      <c r="M24">
        <v>902.58340899298798</v>
      </c>
    </row>
    <row r="25" spans="1:13">
      <c r="B25" s="9">
        <v>10</v>
      </c>
      <c r="M25">
        <v>840.55061689556135</v>
      </c>
    </row>
    <row r="26" spans="1:13">
      <c r="C26" s="8" t="s">
        <v>2</v>
      </c>
    </row>
    <row r="27" spans="1:13">
      <c r="A27" t="s">
        <v>22</v>
      </c>
      <c r="C27" s="9">
        <v>0</v>
      </c>
      <c r="D27" s="9">
        <v>1</v>
      </c>
      <c r="E27" s="9">
        <v>2</v>
      </c>
      <c r="F27" s="9">
        <v>3</v>
      </c>
      <c r="G27" s="9">
        <v>4</v>
      </c>
      <c r="H27" s="9">
        <v>5</v>
      </c>
      <c r="I27" s="9">
        <v>6</v>
      </c>
      <c r="J27" s="9">
        <v>7</v>
      </c>
      <c r="K27" s="9">
        <v>8</v>
      </c>
      <c r="L27" s="9">
        <v>9</v>
      </c>
      <c r="M27" s="9">
        <v>10</v>
      </c>
    </row>
    <row r="28" spans="1:13">
      <c r="A28" s="8" t="s">
        <v>0</v>
      </c>
      <c r="B28" s="9">
        <v>0</v>
      </c>
      <c r="C28">
        <v>115.07041843490769</v>
      </c>
      <c r="D28">
        <v>83.403404713766506</v>
      </c>
      <c r="E28">
        <v>55.290291111921213</v>
      </c>
      <c r="F28">
        <v>32.159872956055132</v>
      </c>
      <c r="G28">
        <v>15.238000154891163</v>
      </c>
      <c r="H28">
        <v>5.0312048493938732</v>
      </c>
      <c r="I28">
        <v>0.73135938798476219</v>
      </c>
      <c r="J28">
        <v>0</v>
      </c>
      <c r="K28">
        <v>0</v>
      </c>
      <c r="L28">
        <v>0</v>
      </c>
      <c r="M28">
        <v>0</v>
      </c>
    </row>
    <row r="29" spans="1:13">
      <c r="B29" s="9">
        <v>1</v>
      </c>
      <c r="D29">
        <v>146.44903917111549</v>
      </c>
      <c r="E29">
        <v>111.24495482647954</v>
      </c>
      <c r="F29">
        <v>78.186232902679976</v>
      </c>
      <c r="G29">
        <v>48.903338656165303</v>
      </c>
      <c r="H29">
        <v>25.333739020694232</v>
      </c>
      <c r="I29">
        <v>9.2831152281145783</v>
      </c>
      <c r="J29">
        <v>1.4544624552359908</v>
      </c>
      <c r="K29">
        <v>0</v>
      </c>
      <c r="L29">
        <v>0</v>
      </c>
      <c r="M29">
        <v>0</v>
      </c>
    </row>
    <row r="30" spans="1:13">
      <c r="B30" s="9">
        <v>2</v>
      </c>
      <c r="E30">
        <v>181.34786604463451</v>
      </c>
      <c r="F30">
        <v>143.99525056031865</v>
      </c>
      <c r="G30">
        <v>107.17906668370159</v>
      </c>
      <c r="H30">
        <v>72.227848845780983</v>
      </c>
      <c r="I30">
        <v>41.210857881816793</v>
      </c>
      <c r="J30">
        <v>17.024595250136816</v>
      </c>
      <c r="K30">
        <v>2.8925054746616343</v>
      </c>
      <c r="L30">
        <v>0</v>
      </c>
      <c r="M30">
        <v>0</v>
      </c>
    </row>
    <row r="31" spans="1:13">
      <c r="B31" s="9">
        <v>3</v>
      </c>
      <c r="F31">
        <v>218.39810148716219</v>
      </c>
      <c r="G31">
        <v>180.48460955067162</v>
      </c>
      <c r="H31">
        <v>141.79555766855458</v>
      </c>
      <c r="I31">
        <v>102.92883022615463</v>
      </c>
      <c r="J31">
        <v>65.138185787095679</v>
      </c>
      <c r="K31">
        <v>30.999544091532361</v>
      </c>
      <c r="L31">
        <v>5.7523574368167667</v>
      </c>
      <c r="M31">
        <v>0</v>
      </c>
    </row>
    <row r="32" spans="1:13">
      <c r="B32" s="9">
        <v>4</v>
      </c>
      <c r="G32">
        <v>256.03311150798112</v>
      </c>
      <c r="H32">
        <v>218.85437200117943</v>
      </c>
      <c r="I32">
        <v>180.30879048743952</v>
      </c>
      <c r="J32">
        <v>140.34682002657578</v>
      </c>
      <c r="K32">
        <v>98.917117930195957</v>
      </c>
      <c r="L32">
        <v>55.966480677850598</v>
      </c>
      <c r="M32">
        <v>11.43977647432871</v>
      </c>
    </row>
    <row r="33" spans="1:13">
      <c r="B33" s="9">
        <v>5</v>
      </c>
      <c r="H33">
        <v>292.97345142118843</v>
      </c>
      <c r="I33">
        <v>257.11419027750333</v>
      </c>
      <c r="J33">
        <v>219.93590131404559</v>
      </c>
      <c r="K33">
        <v>181.39077053141517</v>
      </c>
      <c r="L33">
        <v>141.42925098950471</v>
      </c>
      <c r="M33">
        <v>100.00000000000023</v>
      </c>
    </row>
    <row r="34" spans="1:13">
      <c r="B34" s="9">
        <v>6</v>
      </c>
      <c r="I34">
        <v>328.64090518408085</v>
      </c>
      <c r="J34">
        <v>294.05498073405454</v>
      </c>
      <c r="K34">
        <v>258.19617032147892</v>
      </c>
      <c r="L34">
        <v>221.01833227697446</v>
      </c>
      <c r="M34">
        <v>182.47365260121933</v>
      </c>
    </row>
    <row r="35" spans="1:13">
      <c r="B35" s="9">
        <v>7</v>
      </c>
      <c r="J35">
        <v>363.08000081472358</v>
      </c>
      <c r="K35">
        <v>329.72288522805644</v>
      </c>
      <c r="L35">
        <v>295.13741169698346</v>
      </c>
      <c r="M35">
        <v>259.27905239128313</v>
      </c>
    </row>
    <row r="36" spans="1:13">
      <c r="B36" s="9">
        <v>8</v>
      </c>
      <c r="K36">
        <v>396.3337089372078</v>
      </c>
      <c r="L36">
        <v>364.16243177765244</v>
      </c>
      <c r="M36">
        <v>330.8057672978606</v>
      </c>
    </row>
    <row r="37" spans="1:13">
      <c r="B37" s="9">
        <v>9</v>
      </c>
      <c r="L37">
        <v>428.44349725255051</v>
      </c>
      <c r="M37">
        <v>397.41659100701202</v>
      </c>
    </row>
    <row r="38" spans="1:13">
      <c r="B38" s="9">
        <v>10</v>
      </c>
      <c r="M38">
        <v>459.44938310443865</v>
      </c>
    </row>
    <row r="39" spans="1:13">
      <c r="C39" s="8" t="s">
        <v>2</v>
      </c>
    </row>
    <row r="40" spans="1:13">
      <c r="A40" t="s">
        <v>23</v>
      </c>
      <c r="C40" s="9">
        <v>0</v>
      </c>
      <c r="D40" s="9">
        <v>1</v>
      </c>
      <c r="E40" s="9">
        <v>2</v>
      </c>
      <c r="F40" s="9">
        <v>3</v>
      </c>
      <c r="G40" s="9">
        <v>4</v>
      </c>
      <c r="H40" s="9">
        <v>5</v>
      </c>
      <c r="I40" s="9">
        <v>6</v>
      </c>
      <c r="J40" s="9">
        <v>7</v>
      </c>
      <c r="K40" s="9">
        <v>8</v>
      </c>
      <c r="L40" s="9">
        <v>9</v>
      </c>
      <c r="M40" s="9">
        <v>10</v>
      </c>
    </row>
    <row r="41" spans="1:13">
      <c r="A41" s="8" t="s">
        <v>0</v>
      </c>
      <c r="B41" s="9">
        <v>0</v>
      </c>
      <c r="C41">
        <v>426.91125239350754</v>
      </c>
      <c r="D41">
        <v>309.42663148807372</v>
      </c>
      <c r="E41">
        <v>205.12698002522771</v>
      </c>
      <c r="F41">
        <v>119.31312866696454</v>
      </c>
      <c r="G41">
        <v>56.53298057464621</v>
      </c>
      <c r="H41">
        <v>18.66576999125127</v>
      </c>
      <c r="I41">
        <v>2.7133433294234677</v>
      </c>
      <c r="J41">
        <v>0</v>
      </c>
      <c r="K41">
        <v>0</v>
      </c>
      <c r="L41">
        <v>0</v>
      </c>
      <c r="M41">
        <v>0</v>
      </c>
    </row>
    <row r="42" spans="1:13">
      <c r="B42" s="9">
        <v>1</v>
      </c>
      <c r="D42">
        <v>543.3259353248385</v>
      </c>
      <c r="E42">
        <v>412.71878240623909</v>
      </c>
      <c r="F42">
        <v>290.0709240689427</v>
      </c>
      <c r="G42">
        <v>181.43138641437326</v>
      </c>
      <c r="H42">
        <v>93.988171766775594</v>
      </c>
      <c r="I42">
        <v>34.440357496305083</v>
      </c>
      <c r="J42">
        <v>5.3960557089255259</v>
      </c>
      <c r="K42">
        <v>0</v>
      </c>
      <c r="L42">
        <v>0</v>
      </c>
      <c r="M42">
        <v>0</v>
      </c>
    </row>
    <row r="43" spans="1:13">
      <c r="B43" s="9">
        <v>2</v>
      </c>
      <c r="E43">
        <v>672.80058302559405</v>
      </c>
      <c r="F43">
        <v>534.22237957878224</v>
      </c>
      <c r="G43">
        <v>397.63433739653289</v>
      </c>
      <c r="H43">
        <v>267.96531921784742</v>
      </c>
      <c r="I43">
        <v>152.8922827415403</v>
      </c>
      <c r="J43">
        <v>63.161248378007585</v>
      </c>
      <c r="K43">
        <v>10.731195310994663</v>
      </c>
      <c r="L43">
        <v>0</v>
      </c>
      <c r="M43">
        <v>0</v>
      </c>
    </row>
    <row r="44" spans="1:13">
      <c r="B44" s="9">
        <v>3</v>
      </c>
      <c r="F44">
        <v>810.25695651737169</v>
      </c>
      <c r="G44">
        <v>669.59790143299176</v>
      </c>
      <c r="H44">
        <v>526.06151895033747</v>
      </c>
      <c r="I44">
        <v>381.86596013903369</v>
      </c>
      <c r="J44">
        <v>241.66266927012498</v>
      </c>
      <c r="K44">
        <v>115.00830857958506</v>
      </c>
      <c r="L44">
        <v>21.341246090590204</v>
      </c>
      <c r="M44">
        <v>0</v>
      </c>
    </row>
    <row r="45" spans="1:13">
      <c r="B45" s="9">
        <v>4</v>
      </c>
      <c r="G45">
        <v>949.88284369460996</v>
      </c>
      <c r="H45">
        <v>811.94972012437563</v>
      </c>
      <c r="I45">
        <v>668.94561270840063</v>
      </c>
      <c r="J45">
        <v>520.68670229859617</v>
      </c>
      <c r="K45">
        <v>366.982507521027</v>
      </c>
      <c r="L45">
        <v>207.63564331482573</v>
      </c>
      <c r="M45">
        <v>42.441570719759511</v>
      </c>
    </row>
    <row r="46" spans="1:13">
      <c r="B46" s="9">
        <v>5</v>
      </c>
      <c r="H46">
        <v>1086.9315047726091</v>
      </c>
      <c r="I46">
        <v>953.89364592953734</v>
      </c>
      <c r="J46">
        <v>815.96219387510916</v>
      </c>
      <c r="K46">
        <v>672.95975867155028</v>
      </c>
      <c r="L46">
        <v>524.70252117106247</v>
      </c>
      <c r="M46">
        <v>371.00000000000085</v>
      </c>
    </row>
    <row r="47" spans="1:13">
      <c r="B47" s="9">
        <v>6</v>
      </c>
      <c r="I47">
        <v>1219.25775823294</v>
      </c>
      <c r="J47">
        <v>1090.9439785233424</v>
      </c>
      <c r="K47">
        <v>957.90779189268676</v>
      </c>
      <c r="L47">
        <v>819.97801274757524</v>
      </c>
      <c r="M47">
        <v>676.97725115052367</v>
      </c>
    </row>
    <row r="48" spans="1:13">
      <c r="B48" s="9">
        <v>7</v>
      </c>
      <c r="J48">
        <v>1347.0268030226246</v>
      </c>
      <c r="K48">
        <v>1223.2719041960893</v>
      </c>
      <c r="L48">
        <v>1094.9597973958087</v>
      </c>
      <c r="M48">
        <v>961.92528437166038</v>
      </c>
    </row>
    <row r="49" spans="1:27">
      <c r="B49" s="9">
        <v>8</v>
      </c>
      <c r="K49">
        <v>1470.3980601570408</v>
      </c>
      <c r="L49">
        <v>1351.0426218950906</v>
      </c>
      <c r="M49">
        <v>1227.2893966750628</v>
      </c>
    </row>
    <row r="50" spans="1:27">
      <c r="B50" s="9">
        <v>9</v>
      </c>
      <c r="L50">
        <v>1589.5253748069624</v>
      </c>
      <c r="M50">
        <v>1474.4155526360146</v>
      </c>
    </row>
    <row r="51" spans="1:27">
      <c r="B51" s="9">
        <v>10</v>
      </c>
      <c r="M51">
        <v>1704.5572113174674</v>
      </c>
    </row>
    <row r="52" spans="1:27">
      <c r="C52" s="8" t="s">
        <v>2</v>
      </c>
      <c r="Q52" s="8" t="s">
        <v>2</v>
      </c>
    </row>
    <row r="53" spans="1:27">
      <c r="A53" t="s">
        <v>24</v>
      </c>
      <c r="C53" s="9">
        <v>0</v>
      </c>
      <c r="D53" s="9">
        <v>1</v>
      </c>
      <c r="E53" s="9">
        <v>2</v>
      </c>
      <c r="F53" s="9">
        <v>3</v>
      </c>
      <c r="G53" s="9">
        <v>4</v>
      </c>
      <c r="H53" s="9">
        <v>5</v>
      </c>
      <c r="I53" s="9">
        <v>6</v>
      </c>
      <c r="J53" s="9">
        <v>7</v>
      </c>
      <c r="K53" s="9">
        <v>8</v>
      </c>
      <c r="L53" s="9">
        <v>9</v>
      </c>
      <c r="M53" s="9">
        <v>10</v>
      </c>
      <c r="O53" t="s">
        <v>25</v>
      </c>
      <c r="Q53" s="9">
        <v>0</v>
      </c>
      <c r="R53" s="9">
        <v>1</v>
      </c>
      <c r="S53" s="9">
        <v>2</v>
      </c>
      <c r="T53" s="9">
        <v>3</v>
      </c>
      <c r="U53" s="9">
        <v>4</v>
      </c>
      <c r="V53" s="9">
        <v>5</v>
      </c>
      <c r="W53" s="9">
        <v>6</v>
      </c>
      <c r="X53" s="9">
        <v>7</v>
      </c>
      <c r="Y53" s="9">
        <v>8</v>
      </c>
      <c r="Z53" s="9">
        <v>9</v>
      </c>
      <c r="AA53" s="9">
        <v>10</v>
      </c>
    </row>
    <row r="54" spans="1:27">
      <c r="A54" s="8" t="s">
        <v>0</v>
      </c>
      <c r="B54" s="9">
        <v>0</v>
      </c>
      <c r="D54">
        <v>-0.73769706069020036</v>
      </c>
      <c r="E54">
        <v>-0.63182613465669935</v>
      </c>
      <c r="F54">
        <v>-0.50154070721520716</v>
      </c>
      <c r="G54">
        <v>-0.35401430114923155</v>
      </c>
      <c r="H54">
        <v>-0.20602804126056637</v>
      </c>
      <c r="I54">
        <v>-8.3747073341174649E-2</v>
      </c>
      <c r="J54">
        <v>-1.3745328503432611E-2</v>
      </c>
      <c r="K54">
        <v>0</v>
      </c>
      <c r="L54">
        <v>0</v>
      </c>
      <c r="M54">
        <v>0</v>
      </c>
      <c r="O54" s="8" t="s">
        <v>0</v>
      </c>
      <c r="P54" s="9">
        <v>0</v>
      </c>
      <c r="R54">
        <v>1000.7237726454312</v>
      </c>
      <c r="S54">
        <v>869.07412674410068</v>
      </c>
      <c r="T54">
        <v>701.26344292513477</v>
      </c>
      <c r="U54">
        <v>504.44113999241483</v>
      </c>
      <c r="V54">
        <v>299.93482552252146</v>
      </c>
      <c r="W54">
        <v>124.89979401969298</v>
      </c>
      <c r="X54">
        <v>21.10973569980565</v>
      </c>
      <c r="Y54">
        <v>0</v>
      </c>
      <c r="Z54">
        <v>0</v>
      </c>
      <c r="AA54">
        <v>0</v>
      </c>
    </row>
    <row r="55" spans="1:27">
      <c r="B55" s="9">
        <v>1</v>
      </c>
      <c r="E55">
        <v>-0.85000371642468686</v>
      </c>
      <c r="F55">
        <v>-0.77003141154510935</v>
      </c>
      <c r="G55">
        <v>-0.65803501512892892</v>
      </c>
      <c r="H55">
        <v>-0.51099641668765461</v>
      </c>
      <c r="I55">
        <v>-0.33574227992376188</v>
      </c>
      <c r="J55">
        <v>-0.15800411588199559</v>
      </c>
      <c r="K55">
        <v>-2.8326214248249618E-2</v>
      </c>
      <c r="L55">
        <v>0</v>
      </c>
      <c r="M55">
        <v>0</v>
      </c>
      <c r="P55" s="9">
        <v>1</v>
      </c>
      <c r="S55">
        <v>1130.7781587984771</v>
      </c>
      <c r="T55">
        <v>1034.851370766132</v>
      </c>
      <c r="U55">
        <v>895.7007588319982</v>
      </c>
      <c r="V55">
        <v>706.46935670891332</v>
      </c>
      <c r="W55">
        <v>472.84887646072883</v>
      </c>
      <c r="X55">
        <v>227.4321801204411</v>
      </c>
      <c r="Y55">
        <v>41.963674952699236</v>
      </c>
      <c r="Z55">
        <v>0</v>
      </c>
      <c r="AA55">
        <v>0</v>
      </c>
    </row>
    <row r="56" spans="1:27">
      <c r="B56" s="9">
        <v>2</v>
      </c>
      <c r="F56">
        <v>-0.93483741391744501</v>
      </c>
      <c r="G56">
        <v>-0.88883589552436104</v>
      </c>
      <c r="H56">
        <v>-0.81401186234758627</v>
      </c>
      <c r="I56">
        <v>-0.69690398112474383</v>
      </c>
      <c r="J56">
        <v>-0.52428487181156569</v>
      </c>
      <c r="K56">
        <v>-0.29556493640927928</v>
      </c>
      <c r="L56">
        <v>-5.8374335210494309E-2</v>
      </c>
      <c r="M56">
        <v>0</v>
      </c>
      <c r="P56" s="9">
        <v>2</v>
      </c>
      <c r="T56">
        <v>1225.5425575005472</v>
      </c>
      <c r="U56">
        <v>1172.3158302716204</v>
      </c>
      <c r="V56">
        <v>1082.639156390944</v>
      </c>
      <c r="W56">
        <v>937.25894936934242</v>
      </c>
      <c r="X56">
        <v>715.29174499807482</v>
      </c>
      <c r="Y56">
        <v>410.65327748968195</v>
      </c>
      <c r="Z56">
        <v>83.418856615623298</v>
      </c>
      <c r="AA56">
        <v>0</v>
      </c>
    </row>
    <row r="57" spans="1:27">
      <c r="B57" s="9">
        <v>3</v>
      </c>
      <c r="G57">
        <v>-0.98363529340137734</v>
      </c>
      <c r="H57">
        <v>-0.96820836584724768</v>
      </c>
      <c r="I57">
        <v>-0.93823855038210469</v>
      </c>
      <c r="J57">
        <v>-0.88001633887152697</v>
      </c>
      <c r="K57">
        <v>-0.76690833801900071</v>
      </c>
      <c r="L57">
        <v>-0.54717398707403997</v>
      </c>
      <c r="M57">
        <v>-0.1202971558925401</v>
      </c>
      <c r="P57" s="9">
        <v>3</v>
      </c>
      <c r="U57">
        <v>1278.1243118174643</v>
      </c>
      <c r="V57">
        <v>1260.9058503506756</v>
      </c>
      <c r="W57">
        <v>1226.2577240942587</v>
      </c>
      <c r="X57">
        <v>1156.5364742952365</v>
      </c>
      <c r="Y57">
        <v>1016.238767066813</v>
      </c>
      <c r="Z57">
        <v>733.92244728920184</v>
      </c>
      <c r="AA57">
        <v>165.82688830045734</v>
      </c>
    </row>
    <row r="58" spans="1:27">
      <c r="B58" s="9">
        <v>4</v>
      </c>
      <c r="H58">
        <v>-0.99999999999999967</v>
      </c>
      <c r="I58">
        <v>-0.999999999999997</v>
      </c>
      <c r="J58">
        <v>-1.0000000000000007</v>
      </c>
      <c r="K58">
        <v>-0.99999999999999867</v>
      </c>
      <c r="L58">
        <v>-1.0000000000000022</v>
      </c>
      <c r="M58">
        <v>-1</v>
      </c>
      <c r="P58" s="9">
        <v>4</v>
      </c>
      <c r="V58">
        <v>1295.1341292099221</v>
      </c>
      <c r="W58">
        <v>1295.1341292099194</v>
      </c>
      <c r="X58">
        <v>1295.134129209923</v>
      </c>
      <c r="Y58">
        <v>1295.134129209921</v>
      </c>
      <c r="Z58">
        <v>1295.134129209925</v>
      </c>
      <c r="AA58">
        <v>1295.1341292099225</v>
      </c>
    </row>
    <row r="59" spans="1:27">
      <c r="B59" s="9">
        <v>5</v>
      </c>
      <c r="I59">
        <v>-1.0000000000000009</v>
      </c>
      <c r="J59">
        <v>-0.99999999999999734</v>
      </c>
      <c r="K59">
        <v>-1.0000000000000022</v>
      </c>
      <c r="L59">
        <v>-0.99999999999999711</v>
      </c>
      <c r="M59">
        <v>-1</v>
      </c>
      <c r="P59" s="9">
        <v>5</v>
      </c>
      <c r="W59">
        <v>1295.1341292099235</v>
      </c>
      <c r="X59">
        <v>1295.1341292099194</v>
      </c>
      <c r="Y59">
        <v>1295.134129209925</v>
      </c>
      <c r="Z59">
        <v>1295.1341292099191</v>
      </c>
      <c r="AA59">
        <v>1295.1341292099225</v>
      </c>
    </row>
    <row r="60" spans="1:27">
      <c r="B60" s="9">
        <v>6</v>
      </c>
      <c r="J60">
        <v>-1.0000000000000016</v>
      </c>
      <c r="K60">
        <v>-0.999999999999996</v>
      </c>
      <c r="L60">
        <v>-1.0000000000000042</v>
      </c>
      <c r="M60">
        <v>-1</v>
      </c>
      <c r="P60" s="9">
        <v>6</v>
      </c>
      <c r="X60">
        <v>1295.1341292099237</v>
      </c>
      <c r="Y60">
        <v>1295.1341292099185</v>
      </c>
      <c r="Z60">
        <v>1295.1341292099269</v>
      </c>
      <c r="AA60">
        <v>1295.1341292099225</v>
      </c>
    </row>
    <row r="61" spans="1:27">
      <c r="B61" s="9">
        <v>7</v>
      </c>
      <c r="K61">
        <v>-1.0000000000000009</v>
      </c>
      <c r="L61">
        <v>-0.99999999999999589</v>
      </c>
      <c r="M61">
        <v>-1</v>
      </c>
      <c r="P61" s="9">
        <v>7</v>
      </c>
      <c r="Y61">
        <v>1295.1341292099232</v>
      </c>
      <c r="Z61">
        <v>1295.1341292099185</v>
      </c>
      <c r="AA61">
        <v>1295.1341292099225</v>
      </c>
    </row>
    <row r="62" spans="1:27">
      <c r="B62" s="9">
        <v>8</v>
      </c>
      <c r="L62">
        <v>-1.0000000000000027</v>
      </c>
      <c r="M62">
        <v>-1</v>
      </c>
      <c r="P62" s="9">
        <v>8</v>
      </c>
      <c r="Z62">
        <v>1295.1341292099248</v>
      </c>
      <c r="AA62">
        <v>1295.1341292099225</v>
      </c>
    </row>
    <row r="63" spans="1:27">
      <c r="B63" s="9">
        <v>9</v>
      </c>
      <c r="M63">
        <v>-1</v>
      </c>
      <c r="P63" s="9">
        <v>9</v>
      </c>
      <c r="AA63">
        <v>1295.1341292099225</v>
      </c>
    </row>
    <row r="64" spans="1:27">
      <c r="B64" s="9">
        <v>10</v>
      </c>
      <c r="P64" s="9"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CY122"/>
  <sheetViews>
    <sheetView zoomScale="85" zoomScaleNormal="85" workbookViewId="0">
      <selection activeCell="B11" sqref="B11"/>
    </sheetView>
  </sheetViews>
  <sheetFormatPr defaultRowHeight="15"/>
  <cols>
    <col min="1" max="1" width="20.42578125" customWidth="1"/>
    <col min="3" max="3" width="9.85546875" bestFit="1" customWidth="1"/>
  </cols>
  <sheetData>
    <row r="1" spans="1:103">
      <c r="A1" t="s">
        <v>20</v>
      </c>
      <c r="B1" s="6">
        <v>1200</v>
      </c>
      <c r="C1" t="s">
        <v>26</v>
      </c>
    </row>
    <row r="2" spans="1:103">
      <c r="A2" t="s">
        <v>19</v>
      </c>
      <c r="B2" s="6">
        <v>1300</v>
      </c>
      <c r="C2" t="s">
        <v>26</v>
      </c>
    </row>
    <row r="3" spans="1:103">
      <c r="A3" t="s">
        <v>15</v>
      </c>
      <c r="B3" s="6">
        <f>5/12</f>
        <v>0.41666666666666669</v>
      </c>
      <c r="C3" t="s">
        <v>27</v>
      </c>
    </row>
    <row r="4" spans="1:103">
      <c r="A4" t="s">
        <v>13</v>
      </c>
      <c r="B4" s="6">
        <v>0.05</v>
      </c>
    </row>
    <row r="5" spans="1:103">
      <c r="A5" t="s">
        <v>12</v>
      </c>
      <c r="B5" s="6">
        <v>0.39</v>
      </c>
    </row>
    <row r="6" spans="1:103">
      <c r="A6" t="s">
        <v>28</v>
      </c>
      <c r="B6" s="6">
        <v>3.71</v>
      </c>
      <c r="C6" t="s">
        <v>16</v>
      </c>
    </row>
    <row r="7" spans="1:103">
      <c r="A7" t="s">
        <v>11</v>
      </c>
      <c r="B7" s="10">
        <v>100</v>
      </c>
    </row>
    <row r="8" spans="1:103">
      <c r="A8" t="s">
        <v>10</v>
      </c>
      <c r="B8">
        <f>B3/B7</f>
        <v>4.1666666666666666E-3</v>
      </c>
    </row>
    <row r="9" spans="1:103">
      <c r="A9" t="s">
        <v>9</v>
      </c>
      <c r="B9">
        <f>EXP(B5*B8^0.5)</f>
        <v>1.0254939426150511</v>
      </c>
    </row>
    <row r="10" spans="1:103">
      <c r="A10" t="s">
        <v>8</v>
      </c>
      <c r="B10">
        <f>1/B9</f>
        <v>0.97513984085557781</v>
      </c>
    </row>
    <row r="11" spans="1:103">
      <c r="A11" t="s">
        <v>6</v>
      </c>
      <c r="B11">
        <f>(EXP(B4*B8)-B10)/(B9-B10)</f>
        <v>0.4978445311247211</v>
      </c>
    </row>
    <row r="12" spans="1:103">
      <c r="A12" t="s">
        <v>29</v>
      </c>
      <c r="B12">
        <v>150</v>
      </c>
    </row>
    <row r="14" spans="1:103">
      <c r="D14" t="s">
        <v>29</v>
      </c>
    </row>
    <row r="15" spans="1:103">
      <c r="A15" t="s">
        <v>30</v>
      </c>
      <c r="C15" t="s">
        <v>30</v>
      </c>
      <c r="D15">
        <v>1</v>
      </c>
      <c r="E15">
        <v>2</v>
      </c>
      <c r="F15">
        <v>3</v>
      </c>
      <c r="G15">
        <v>4</v>
      </c>
      <c r="H15">
        <v>5</v>
      </c>
      <c r="I15">
        <v>6</v>
      </c>
      <c r="J15">
        <v>7</v>
      </c>
      <c r="K15">
        <v>8</v>
      </c>
      <c r="L15">
        <v>9</v>
      </c>
      <c r="M15">
        <v>10</v>
      </c>
      <c r="N15">
        <v>11</v>
      </c>
      <c r="O15">
        <v>12</v>
      </c>
      <c r="P15">
        <v>13</v>
      </c>
      <c r="Q15">
        <v>14</v>
      </c>
      <c r="R15">
        <v>15</v>
      </c>
      <c r="S15">
        <v>16</v>
      </c>
      <c r="T15">
        <v>17</v>
      </c>
      <c r="U15">
        <v>18</v>
      </c>
      <c r="V15">
        <v>19</v>
      </c>
      <c r="W15">
        <v>20</v>
      </c>
      <c r="X15">
        <v>21</v>
      </c>
      <c r="Y15">
        <v>22</v>
      </c>
      <c r="Z15">
        <v>23</v>
      </c>
      <c r="AA15">
        <v>24</v>
      </c>
      <c r="AB15">
        <v>25</v>
      </c>
      <c r="AC15">
        <v>26</v>
      </c>
      <c r="AD15">
        <v>27</v>
      </c>
      <c r="AE15">
        <v>28</v>
      </c>
      <c r="AF15">
        <v>29</v>
      </c>
      <c r="AG15">
        <v>30</v>
      </c>
      <c r="AH15">
        <v>31</v>
      </c>
      <c r="AI15">
        <v>32</v>
      </c>
      <c r="AJ15">
        <v>33</v>
      </c>
      <c r="AK15">
        <v>34</v>
      </c>
      <c r="AL15">
        <v>35</v>
      </c>
      <c r="AM15">
        <v>36</v>
      </c>
      <c r="AN15">
        <v>37</v>
      </c>
      <c r="AO15">
        <v>38</v>
      </c>
      <c r="AP15">
        <v>39</v>
      </c>
      <c r="AQ15">
        <v>40</v>
      </c>
      <c r="AR15">
        <v>41</v>
      </c>
      <c r="AS15">
        <v>42</v>
      </c>
      <c r="AT15">
        <v>43</v>
      </c>
      <c r="AU15">
        <v>44</v>
      </c>
      <c r="AV15">
        <v>45</v>
      </c>
      <c r="AW15">
        <v>46</v>
      </c>
      <c r="AX15">
        <v>47</v>
      </c>
      <c r="AY15">
        <v>48</v>
      </c>
      <c r="AZ15">
        <v>49</v>
      </c>
      <c r="BA15">
        <v>50</v>
      </c>
      <c r="BB15">
        <v>51</v>
      </c>
      <c r="BC15">
        <v>52</v>
      </c>
      <c r="BD15">
        <v>53</v>
      </c>
      <c r="BE15">
        <v>54</v>
      </c>
      <c r="BF15">
        <v>55</v>
      </c>
      <c r="BG15">
        <v>56</v>
      </c>
      <c r="BH15">
        <v>57</v>
      </c>
      <c r="BI15">
        <v>58</v>
      </c>
      <c r="BJ15">
        <v>59</v>
      </c>
      <c r="BK15">
        <v>60</v>
      </c>
      <c r="BL15">
        <v>61</v>
      </c>
      <c r="BM15">
        <v>62</v>
      </c>
      <c r="BN15">
        <v>63</v>
      </c>
      <c r="BO15">
        <v>64</v>
      </c>
      <c r="BP15">
        <v>65</v>
      </c>
      <c r="BQ15">
        <v>66</v>
      </c>
      <c r="BR15">
        <v>67</v>
      </c>
      <c r="BS15">
        <v>68</v>
      </c>
      <c r="BT15">
        <v>69</v>
      </c>
      <c r="BU15">
        <v>70</v>
      </c>
      <c r="BV15">
        <v>71</v>
      </c>
      <c r="BW15">
        <v>72</v>
      </c>
      <c r="BX15">
        <v>73</v>
      </c>
      <c r="BY15">
        <v>74</v>
      </c>
      <c r="BZ15">
        <v>75</v>
      </c>
      <c r="CA15">
        <v>76</v>
      </c>
      <c r="CB15">
        <v>77</v>
      </c>
      <c r="CC15">
        <v>78</v>
      </c>
      <c r="CD15">
        <v>79</v>
      </c>
      <c r="CE15">
        <v>80</v>
      </c>
      <c r="CF15">
        <v>81</v>
      </c>
      <c r="CG15">
        <v>82</v>
      </c>
      <c r="CH15">
        <v>83</v>
      </c>
      <c r="CI15">
        <v>84</v>
      </c>
      <c r="CJ15">
        <v>85</v>
      </c>
      <c r="CK15">
        <v>86</v>
      </c>
      <c r="CL15">
        <v>87</v>
      </c>
      <c r="CM15">
        <v>88</v>
      </c>
      <c r="CN15">
        <v>89</v>
      </c>
      <c r="CO15">
        <v>90</v>
      </c>
      <c r="CP15">
        <v>91</v>
      </c>
      <c r="CQ15">
        <v>92</v>
      </c>
      <c r="CR15">
        <v>93</v>
      </c>
      <c r="CS15">
        <v>94</v>
      </c>
      <c r="CT15">
        <v>95</v>
      </c>
      <c r="CU15">
        <v>96</v>
      </c>
      <c r="CV15">
        <v>97</v>
      </c>
      <c r="CW15">
        <v>98</v>
      </c>
      <c r="CX15">
        <v>99</v>
      </c>
      <c r="CY15">
        <v>100</v>
      </c>
    </row>
    <row r="16" spans="1:103">
      <c r="A16">
        <v>0</v>
      </c>
      <c r="B16">
        <v>0</v>
      </c>
      <c r="C16">
        <v>0</v>
      </c>
      <c r="D16">
        <f>$B$1</f>
        <v>1200</v>
      </c>
      <c r="E16">
        <f t="shared" ref="E16:BP16" si="0">$B$1</f>
        <v>1200</v>
      </c>
      <c r="F16">
        <f t="shared" si="0"/>
        <v>1200</v>
      </c>
      <c r="G16">
        <f t="shared" si="0"/>
        <v>1200</v>
      </c>
      <c r="H16">
        <f t="shared" si="0"/>
        <v>1200</v>
      </c>
      <c r="I16">
        <f t="shared" si="0"/>
        <v>1200</v>
      </c>
      <c r="J16">
        <f t="shared" si="0"/>
        <v>1200</v>
      </c>
      <c r="K16">
        <f t="shared" si="0"/>
        <v>1200</v>
      </c>
      <c r="L16">
        <f t="shared" si="0"/>
        <v>1200</v>
      </c>
      <c r="M16">
        <f t="shared" si="0"/>
        <v>1200</v>
      </c>
      <c r="N16">
        <f t="shared" si="0"/>
        <v>1200</v>
      </c>
      <c r="O16">
        <f t="shared" si="0"/>
        <v>1200</v>
      </c>
      <c r="P16">
        <f t="shared" si="0"/>
        <v>1200</v>
      </c>
      <c r="Q16">
        <f t="shared" si="0"/>
        <v>1200</v>
      </c>
      <c r="R16">
        <f t="shared" si="0"/>
        <v>1200</v>
      </c>
      <c r="S16">
        <f t="shared" si="0"/>
        <v>1200</v>
      </c>
      <c r="T16">
        <f t="shared" si="0"/>
        <v>1200</v>
      </c>
      <c r="U16">
        <f t="shared" si="0"/>
        <v>1200</v>
      </c>
      <c r="V16">
        <f t="shared" si="0"/>
        <v>1200</v>
      </c>
      <c r="W16">
        <f t="shared" si="0"/>
        <v>1200</v>
      </c>
      <c r="X16">
        <f t="shared" si="0"/>
        <v>1200</v>
      </c>
      <c r="Y16">
        <f t="shared" si="0"/>
        <v>1200</v>
      </c>
      <c r="Z16">
        <f t="shared" si="0"/>
        <v>1200</v>
      </c>
      <c r="AA16">
        <f t="shared" si="0"/>
        <v>1200</v>
      </c>
      <c r="AB16">
        <f t="shared" si="0"/>
        <v>1200</v>
      </c>
      <c r="AC16">
        <f t="shared" si="0"/>
        <v>1200</v>
      </c>
      <c r="AD16">
        <f t="shared" si="0"/>
        <v>1200</v>
      </c>
      <c r="AE16">
        <f t="shared" si="0"/>
        <v>1200</v>
      </c>
      <c r="AF16">
        <f t="shared" si="0"/>
        <v>1200</v>
      </c>
      <c r="AG16">
        <f t="shared" si="0"/>
        <v>1200</v>
      </c>
      <c r="AH16">
        <f t="shared" si="0"/>
        <v>1200</v>
      </c>
      <c r="AI16">
        <f t="shared" si="0"/>
        <v>1200</v>
      </c>
      <c r="AJ16">
        <f t="shared" si="0"/>
        <v>1200</v>
      </c>
      <c r="AK16">
        <f t="shared" si="0"/>
        <v>1200</v>
      </c>
      <c r="AL16">
        <f t="shared" si="0"/>
        <v>1200</v>
      </c>
      <c r="AM16">
        <f t="shared" si="0"/>
        <v>1200</v>
      </c>
      <c r="AN16">
        <f t="shared" si="0"/>
        <v>1200</v>
      </c>
      <c r="AO16">
        <f t="shared" si="0"/>
        <v>1200</v>
      </c>
      <c r="AP16">
        <f t="shared" si="0"/>
        <v>1200</v>
      </c>
      <c r="AQ16">
        <f t="shared" si="0"/>
        <v>1200</v>
      </c>
      <c r="AR16">
        <f t="shared" si="0"/>
        <v>1200</v>
      </c>
      <c r="AS16">
        <f t="shared" si="0"/>
        <v>1200</v>
      </c>
      <c r="AT16">
        <f t="shared" si="0"/>
        <v>1200</v>
      </c>
      <c r="AU16">
        <f t="shared" si="0"/>
        <v>1200</v>
      </c>
      <c r="AV16">
        <f t="shared" si="0"/>
        <v>1200</v>
      </c>
      <c r="AW16">
        <f t="shared" si="0"/>
        <v>1200</v>
      </c>
      <c r="AX16">
        <f t="shared" si="0"/>
        <v>1200</v>
      </c>
      <c r="AY16">
        <f t="shared" si="0"/>
        <v>1200</v>
      </c>
      <c r="AZ16">
        <f t="shared" si="0"/>
        <v>1200</v>
      </c>
      <c r="BA16">
        <f t="shared" si="0"/>
        <v>1200</v>
      </c>
      <c r="BB16">
        <f t="shared" si="0"/>
        <v>1200</v>
      </c>
      <c r="BC16">
        <f t="shared" si="0"/>
        <v>1200</v>
      </c>
      <c r="BD16">
        <f t="shared" si="0"/>
        <v>1200</v>
      </c>
      <c r="BE16">
        <f t="shared" si="0"/>
        <v>1200</v>
      </c>
      <c r="BF16">
        <f t="shared" si="0"/>
        <v>1200</v>
      </c>
      <c r="BG16">
        <f t="shared" si="0"/>
        <v>1200</v>
      </c>
      <c r="BH16">
        <f t="shared" si="0"/>
        <v>1200</v>
      </c>
      <c r="BI16">
        <f t="shared" si="0"/>
        <v>1200</v>
      </c>
      <c r="BJ16">
        <f t="shared" si="0"/>
        <v>1200</v>
      </c>
      <c r="BK16">
        <f t="shared" si="0"/>
        <v>1200</v>
      </c>
      <c r="BL16">
        <f t="shared" si="0"/>
        <v>1200</v>
      </c>
      <c r="BM16">
        <f t="shared" si="0"/>
        <v>1200</v>
      </c>
      <c r="BN16">
        <f t="shared" si="0"/>
        <v>1200</v>
      </c>
      <c r="BO16">
        <f t="shared" si="0"/>
        <v>1200</v>
      </c>
      <c r="BP16">
        <f t="shared" si="0"/>
        <v>1200</v>
      </c>
      <c r="BQ16">
        <f t="shared" ref="BQ16:CY16" si="1">$B$1</f>
        <v>1200</v>
      </c>
      <c r="BR16">
        <f t="shared" si="1"/>
        <v>1200</v>
      </c>
      <c r="BS16">
        <f t="shared" si="1"/>
        <v>1200</v>
      </c>
      <c r="BT16">
        <f t="shared" si="1"/>
        <v>1200</v>
      </c>
      <c r="BU16">
        <f t="shared" si="1"/>
        <v>1200</v>
      </c>
      <c r="BV16">
        <f t="shared" si="1"/>
        <v>1200</v>
      </c>
      <c r="BW16">
        <f t="shared" si="1"/>
        <v>1200</v>
      </c>
      <c r="BX16">
        <f t="shared" si="1"/>
        <v>1200</v>
      </c>
      <c r="BY16">
        <f t="shared" si="1"/>
        <v>1200</v>
      </c>
      <c r="BZ16">
        <f t="shared" si="1"/>
        <v>1200</v>
      </c>
      <c r="CA16">
        <f t="shared" si="1"/>
        <v>1200</v>
      </c>
      <c r="CB16">
        <f t="shared" si="1"/>
        <v>1200</v>
      </c>
      <c r="CC16">
        <f t="shared" si="1"/>
        <v>1200</v>
      </c>
      <c r="CD16">
        <f t="shared" si="1"/>
        <v>1200</v>
      </c>
      <c r="CE16">
        <f t="shared" si="1"/>
        <v>1200</v>
      </c>
      <c r="CF16">
        <f t="shared" si="1"/>
        <v>1200</v>
      </c>
      <c r="CG16">
        <f t="shared" si="1"/>
        <v>1200</v>
      </c>
      <c r="CH16">
        <f t="shared" si="1"/>
        <v>1200</v>
      </c>
      <c r="CI16">
        <f t="shared" si="1"/>
        <v>1200</v>
      </c>
      <c r="CJ16">
        <f t="shared" si="1"/>
        <v>1200</v>
      </c>
      <c r="CK16">
        <f t="shared" si="1"/>
        <v>1200</v>
      </c>
      <c r="CL16">
        <f t="shared" si="1"/>
        <v>1200</v>
      </c>
      <c r="CM16">
        <f t="shared" si="1"/>
        <v>1200</v>
      </c>
      <c r="CN16">
        <f t="shared" si="1"/>
        <v>1200</v>
      </c>
      <c r="CO16">
        <f t="shared" si="1"/>
        <v>1200</v>
      </c>
      <c r="CP16">
        <f t="shared" si="1"/>
        <v>1200</v>
      </c>
      <c r="CQ16">
        <f t="shared" si="1"/>
        <v>1200</v>
      </c>
      <c r="CR16">
        <f t="shared" si="1"/>
        <v>1200</v>
      </c>
      <c r="CS16">
        <f t="shared" si="1"/>
        <v>1200</v>
      </c>
      <c r="CT16">
        <f t="shared" si="1"/>
        <v>1200</v>
      </c>
      <c r="CU16">
        <f t="shared" si="1"/>
        <v>1200</v>
      </c>
      <c r="CV16">
        <f t="shared" si="1"/>
        <v>1200</v>
      </c>
      <c r="CW16">
        <f t="shared" si="1"/>
        <v>1200</v>
      </c>
      <c r="CX16">
        <f t="shared" si="1"/>
        <v>1200</v>
      </c>
      <c r="CY16">
        <f t="shared" si="1"/>
        <v>1200</v>
      </c>
    </row>
    <row r="17" spans="1:103">
      <c r="A17">
        <v>1</v>
      </c>
      <c r="B17">
        <v>1</v>
      </c>
      <c r="C17">
        <v>1</v>
      </c>
      <c r="D17">
        <f ca="1">D16*(IF(RAND()&lt;$B$11,$B$9,$B$10))</f>
        <v>1170.1678090266935</v>
      </c>
      <c r="E17">
        <f t="shared" ref="E17:BP20" ca="1" si="2">E16*(IF(RAND()&lt;$B$11,$B$9,$B$10))</f>
        <v>1230.5927311380613</v>
      </c>
      <c r="F17">
        <f t="shared" ca="1" si="2"/>
        <v>1230.5927311380613</v>
      </c>
      <c r="G17">
        <f t="shared" ca="1" si="2"/>
        <v>1170.1678090266935</v>
      </c>
      <c r="H17">
        <f t="shared" ca="1" si="2"/>
        <v>1230.5927311380613</v>
      </c>
      <c r="I17">
        <f t="shared" ca="1" si="2"/>
        <v>1230.5927311380613</v>
      </c>
      <c r="J17">
        <f t="shared" ca="1" si="2"/>
        <v>1230.5927311380613</v>
      </c>
      <c r="K17">
        <f t="shared" ca="1" si="2"/>
        <v>1170.1678090266935</v>
      </c>
      <c r="L17">
        <f t="shared" ca="1" si="2"/>
        <v>1230.5927311380613</v>
      </c>
      <c r="M17">
        <f t="shared" ca="1" si="2"/>
        <v>1170.1678090266935</v>
      </c>
      <c r="N17">
        <f t="shared" ca="1" si="2"/>
        <v>1230.5927311380613</v>
      </c>
      <c r="O17">
        <f t="shared" ca="1" si="2"/>
        <v>1230.5927311380613</v>
      </c>
      <c r="P17">
        <f t="shared" ca="1" si="2"/>
        <v>1230.5927311380613</v>
      </c>
      <c r="Q17">
        <f t="shared" ca="1" si="2"/>
        <v>1230.5927311380613</v>
      </c>
      <c r="R17">
        <f t="shared" ca="1" si="2"/>
        <v>1170.1678090266935</v>
      </c>
      <c r="S17">
        <f t="shared" ca="1" si="2"/>
        <v>1230.5927311380613</v>
      </c>
      <c r="T17">
        <f t="shared" ca="1" si="2"/>
        <v>1230.5927311380613</v>
      </c>
      <c r="U17">
        <f t="shared" ca="1" si="2"/>
        <v>1230.5927311380613</v>
      </c>
      <c r="V17">
        <f t="shared" ca="1" si="2"/>
        <v>1170.1678090266935</v>
      </c>
      <c r="W17">
        <f t="shared" ca="1" si="2"/>
        <v>1230.5927311380613</v>
      </c>
      <c r="X17">
        <f t="shared" ca="1" si="2"/>
        <v>1170.1678090266935</v>
      </c>
      <c r="Y17">
        <f t="shared" ca="1" si="2"/>
        <v>1230.5927311380613</v>
      </c>
      <c r="Z17">
        <f t="shared" ca="1" si="2"/>
        <v>1230.5927311380613</v>
      </c>
      <c r="AA17">
        <f t="shared" ca="1" si="2"/>
        <v>1170.1678090266935</v>
      </c>
      <c r="AB17">
        <f t="shared" ca="1" si="2"/>
        <v>1230.5927311380613</v>
      </c>
      <c r="AC17">
        <f t="shared" ca="1" si="2"/>
        <v>1170.1678090266935</v>
      </c>
      <c r="AD17">
        <f t="shared" ca="1" si="2"/>
        <v>1170.1678090266935</v>
      </c>
      <c r="AE17">
        <f t="shared" ca="1" si="2"/>
        <v>1170.1678090266935</v>
      </c>
      <c r="AF17">
        <f t="shared" ca="1" si="2"/>
        <v>1170.1678090266935</v>
      </c>
      <c r="AG17">
        <f t="shared" ca="1" si="2"/>
        <v>1170.1678090266935</v>
      </c>
      <c r="AH17">
        <f t="shared" ca="1" si="2"/>
        <v>1170.1678090266935</v>
      </c>
      <c r="AI17">
        <f t="shared" ca="1" si="2"/>
        <v>1230.5927311380613</v>
      </c>
      <c r="AJ17">
        <f t="shared" ca="1" si="2"/>
        <v>1170.1678090266935</v>
      </c>
      <c r="AK17">
        <f t="shared" ca="1" si="2"/>
        <v>1170.1678090266935</v>
      </c>
      <c r="AL17">
        <f t="shared" ca="1" si="2"/>
        <v>1230.5927311380613</v>
      </c>
      <c r="AM17">
        <f t="shared" ca="1" si="2"/>
        <v>1170.1678090266935</v>
      </c>
      <c r="AN17">
        <f t="shared" ca="1" si="2"/>
        <v>1230.5927311380613</v>
      </c>
      <c r="AO17">
        <f t="shared" ca="1" si="2"/>
        <v>1230.5927311380613</v>
      </c>
      <c r="AP17">
        <f t="shared" ca="1" si="2"/>
        <v>1170.1678090266935</v>
      </c>
      <c r="AQ17">
        <f t="shared" ca="1" si="2"/>
        <v>1230.5927311380613</v>
      </c>
      <c r="AR17">
        <f t="shared" ca="1" si="2"/>
        <v>1230.5927311380613</v>
      </c>
      <c r="AS17">
        <f t="shared" ca="1" si="2"/>
        <v>1170.1678090266935</v>
      </c>
      <c r="AT17">
        <f t="shared" ca="1" si="2"/>
        <v>1170.1678090266935</v>
      </c>
      <c r="AU17">
        <f t="shared" ca="1" si="2"/>
        <v>1230.5927311380613</v>
      </c>
      <c r="AV17">
        <f t="shared" ca="1" si="2"/>
        <v>1230.5927311380613</v>
      </c>
      <c r="AW17">
        <f t="shared" ca="1" si="2"/>
        <v>1170.1678090266935</v>
      </c>
      <c r="AX17">
        <f t="shared" ca="1" si="2"/>
        <v>1170.1678090266935</v>
      </c>
      <c r="AY17">
        <f t="shared" ca="1" si="2"/>
        <v>1170.1678090266935</v>
      </c>
      <c r="AZ17">
        <f t="shared" ca="1" si="2"/>
        <v>1230.5927311380613</v>
      </c>
      <c r="BA17">
        <f t="shared" ca="1" si="2"/>
        <v>1170.1678090266935</v>
      </c>
      <c r="BB17">
        <f t="shared" ca="1" si="2"/>
        <v>1170.1678090266935</v>
      </c>
      <c r="BC17">
        <f t="shared" ca="1" si="2"/>
        <v>1170.1678090266935</v>
      </c>
      <c r="BD17">
        <f t="shared" ca="1" si="2"/>
        <v>1170.1678090266935</v>
      </c>
      <c r="BE17">
        <f t="shared" ca="1" si="2"/>
        <v>1230.5927311380613</v>
      </c>
      <c r="BF17">
        <f t="shared" ca="1" si="2"/>
        <v>1170.1678090266935</v>
      </c>
      <c r="BG17">
        <f t="shared" ca="1" si="2"/>
        <v>1230.5927311380613</v>
      </c>
      <c r="BH17">
        <f t="shared" ca="1" si="2"/>
        <v>1170.1678090266935</v>
      </c>
      <c r="BI17">
        <f t="shared" ca="1" si="2"/>
        <v>1170.1678090266935</v>
      </c>
      <c r="BJ17">
        <f t="shared" ca="1" si="2"/>
        <v>1230.5927311380613</v>
      </c>
      <c r="BK17">
        <f t="shared" ca="1" si="2"/>
        <v>1170.1678090266935</v>
      </c>
      <c r="BL17">
        <f t="shared" ca="1" si="2"/>
        <v>1230.5927311380613</v>
      </c>
      <c r="BM17">
        <f t="shared" ca="1" si="2"/>
        <v>1230.5927311380613</v>
      </c>
      <c r="BN17">
        <f t="shared" ca="1" si="2"/>
        <v>1230.5927311380613</v>
      </c>
      <c r="BO17">
        <f t="shared" ca="1" si="2"/>
        <v>1230.5927311380613</v>
      </c>
      <c r="BP17">
        <f t="shared" ca="1" si="2"/>
        <v>1230.5927311380613</v>
      </c>
      <c r="BQ17">
        <f t="shared" ref="BQ17:CY24" ca="1" si="3">BQ16*(IF(RAND()&lt;$B$11,$B$9,$B$10))</f>
        <v>1230.5927311380613</v>
      </c>
      <c r="BR17">
        <f t="shared" ca="1" si="3"/>
        <v>1170.1678090266935</v>
      </c>
      <c r="BS17">
        <f t="shared" ca="1" si="3"/>
        <v>1230.5927311380613</v>
      </c>
      <c r="BT17">
        <f t="shared" ca="1" si="3"/>
        <v>1230.5927311380613</v>
      </c>
      <c r="BU17">
        <f t="shared" ca="1" si="3"/>
        <v>1170.1678090266935</v>
      </c>
      <c r="BV17">
        <f t="shared" ca="1" si="3"/>
        <v>1230.5927311380613</v>
      </c>
      <c r="BW17">
        <f t="shared" ca="1" si="3"/>
        <v>1170.1678090266935</v>
      </c>
      <c r="BX17">
        <f t="shared" ca="1" si="3"/>
        <v>1230.5927311380613</v>
      </c>
      <c r="BY17">
        <f t="shared" ca="1" si="3"/>
        <v>1230.5927311380613</v>
      </c>
      <c r="BZ17">
        <f t="shared" ca="1" si="3"/>
        <v>1170.1678090266935</v>
      </c>
      <c r="CA17">
        <f t="shared" ca="1" si="3"/>
        <v>1230.5927311380613</v>
      </c>
      <c r="CB17">
        <f t="shared" ca="1" si="3"/>
        <v>1170.1678090266935</v>
      </c>
      <c r="CC17">
        <f t="shared" ca="1" si="3"/>
        <v>1170.1678090266935</v>
      </c>
      <c r="CD17">
        <f t="shared" ca="1" si="3"/>
        <v>1230.5927311380613</v>
      </c>
      <c r="CE17">
        <f t="shared" ca="1" si="3"/>
        <v>1170.1678090266935</v>
      </c>
      <c r="CF17">
        <f t="shared" ca="1" si="3"/>
        <v>1170.1678090266935</v>
      </c>
      <c r="CG17">
        <f t="shared" ca="1" si="3"/>
        <v>1230.5927311380613</v>
      </c>
      <c r="CH17">
        <f t="shared" ca="1" si="3"/>
        <v>1230.5927311380613</v>
      </c>
      <c r="CI17">
        <f t="shared" ca="1" si="3"/>
        <v>1230.5927311380613</v>
      </c>
      <c r="CJ17">
        <f t="shared" ca="1" si="3"/>
        <v>1230.5927311380613</v>
      </c>
      <c r="CK17">
        <f t="shared" ca="1" si="3"/>
        <v>1170.1678090266935</v>
      </c>
      <c r="CL17">
        <f t="shared" ca="1" si="3"/>
        <v>1170.1678090266935</v>
      </c>
      <c r="CM17">
        <f t="shared" ca="1" si="3"/>
        <v>1170.1678090266935</v>
      </c>
      <c r="CN17">
        <f t="shared" ca="1" si="3"/>
        <v>1230.5927311380613</v>
      </c>
      <c r="CO17">
        <f t="shared" ca="1" si="3"/>
        <v>1230.5927311380613</v>
      </c>
      <c r="CP17">
        <f t="shared" ca="1" si="3"/>
        <v>1230.5927311380613</v>
      </c>
      <c r="CQ17">
        <f t="shared" ca="1" si="3"/>
        <v>1230.5927311380613</v>
      </c>
      <c r="CR17">
        <f t="shared" ca="1" si="3"/>
        <v>1170.1678090266935</v>
      </c>
      <c r="CS17">
        <f t="shared" ca="1" si="3"/>
        <v>1170.1678090266935</v>
      </c>
      <c r="CT17">
        <f t="shared" ca="1" si="3"/>
        <v>1230.5927311380613</v>
      </c>
      <c r="CU17">
        <f t="shared" ca="1" si="3"/>
        <v>1230.5927311380613</v>
      </c>
      <c r="CV17">
        <f t="shared" ca="1" si="3"/>
        <v>1230.5927311380613</v>
      </c>
      <c r="CW17">
        <f t="shared" ca="1" si="3"/>
        <v>1230.5927311380613</v>
      </c>
      <c r="CX17">
        <f t="shared" ca="1" si="3"/>
        <v>1230.5927311380613</v>
      </c>
      <c r="CY17">
        <f t="shared" ca="1" si="3"/>
        <v>1230.5927311380613</v>
      </c>
    </row>
    <row r="18" spans="1:103">
      <c r="A18">
        <v>2</v>
      </c>
      <c r="B18">
        <v>2</v>
      </c>
      <c r="C18">
        <v>2</v>
      </c>
      <c r="D18">
        <f t="shared" ref="D18:S33" ca="1" si="4">D17*(IF(RAND()&lt;$B$11,$B$9,$B$10))</f>
        <v>1141.0772510686099</v>
      </c>
      <c r="E18">
        <f t="shared" ca="1" si="2"/>
        <v>1261.9653916081941</v>
      </c>
      <c r="F18">
        <f t="shared" ca="1" si="2"/>
        <v>1261.9653916081941</v>
      </c>
      <c r="G18">
        <f t="shared" ca="1" si="2"/>
        <v>1200</v>
      </c>
      <c r="H18">
        <f t="shared" ca="1" si="2"/>
        <v>1261.9653916081941</v>
      </c>
      <c r="I18">
        <f t="shared" ca="1" si="2"/>
        <v>1261.9653916081941</v>
      </c>
      <c r="J18">
        <f t="shared" ca="1" si="2"/>
        <v>1200</v>
      </c>
      <c r="K18">
        <f t="shared" ca="1" si="2"/>
        <v>1200</v>
      </c>
      <c r="L18">
        <f t="shared" ca="1" si="2"/>
        <v>1261.9653916081941</v>
      </c>
      <c r="M18">
        <f t="shared" ca="1" si="2"/>
        <v>1141.0772510686099</v>
      </c>
      <c r="N18">
        <f t="shared" ca="1" si="2"/>
        <v>1200</v>
      </c>
      <c r="O18">
        <f t="shared" ca="1" si="2"/>
        <v>1200</v>
      </c>
      <c r="P18">
        <f t="shared" ca="1" si="2"/>
        <v>1261.9653916081941</v>
      </c>
      <c r="Q18">
        <f t="shared" ca="1" si="2"/>
        <v>1261.9653916081941</v>
      </c>
      <c r="R18">
        <f t="shared" ca="1" si="2"/>
        <v>1200</v>
      </c>
      <c r="S18">
        <f t="shared" ca="1" si="2"/>
        <v>1200</v>
      </c>
      <c r="T18">
        <f t="shared" ca="1" si="2"/>
        <v>1261.9653916081941</v>
      </c>
      <c r="U18">
        <f t="shared" ca="1" si="2"/>
        <v>1200</v>
      </c>
      <c r="V18">
        <f t="shared" ca="1" si="2"/>
        <v>1141.0772510686099</v>
      </c>
      <c r="W18">
        <f t="shared" ca="1" si="2"/>
        <v>1261.9653916081941</v>
      </c>
      <c r="X18">
        <f t="shared" ca="1" si="2"/>
        <v>1141.0772510686099</v>
      </c>
      <c r="Y18">
        <f t="shared" ca="1" si="2"/>
        <v>1200</v>
      </c>
      <c r="Z18">
        <f t="shared" ca="1" si="2"/>
        <v>1200</v>
      </c>
      <c r="AA18">
        <f t="shared" ca="1" si="2"/>
        <v>1141.0772510686099</v>
      </c>
      <c r="AB18">
        <f t="shared" ca="1" si="2"/>
        <v>1261.9653916081941</v>
      </c>
      <c r="AC18">
        <f t="shared" ca="1" si="2"/>
        <v>1200</v>
      </c>
      <c r="AD18">
        <f t="shared" ca="1" si="2"/>
        <v>1200</v>
      </c>
      <c r="AE18">
        <f t="shared" ca="1" si="2"/>
        <v>1141.0772510686099</v>
      </c>
      <c r="AF18">
        <f t="shared" ca="1" si="2"/>
        <v>1200</v>
      </c>
      <c r="AG18">
        <f t="shared" ca="1" si="2"/>
        <v>1200</v>
      </c>
      <c r="AH18">
        <f t="shared" ca="1" si="2"/>
        <v>1200</v>
      </c>
      <c r="AI18">
        <f t="shared" ca="1" si="2"/>
        <v>1261.9653916081941</v>
      </c>
      <c r="AJ18">
        <f t="shared" ca="1" si="2"/>
        <v>1200</v>
      </c>
      <c r="AK18">
        <f t="shared" ca="1" si="2"/>
        <v>1141.0772510686099</v>
      </c>
      <c r="AL18">
        <f t="shared" ca="1" si="2"/>
        <v>1200</v>
      </c>
      <c r="AM18">
        <f t="shared" ca="1" si="2"/>
        <v>1141.0772510686099</v>
      </c>
      <c r="AN18">
        <f t="shared" ca="1" si="2"/>
        <v>1261.9653916081941</v>
      </c>
      <c r="AO18">
        <f t="shared" ca="1" si="2"/>
        <v>1200</v>
      </c>
      <c r="AP18">
        <f t="shared" ca="1" si="2"/>
        <v>1141.0772510686099</v>
      </c>
      <c r="AQ18">
        <f t="shared" ca="1" si="2"/>
        <v>1261.9653916081941</v>
      </c>
      <c r="AR18">
        <f t="shared" ca="1" si="2"/>
        <v>1200</v>
      </c>
      <c r="AS18">
        <f t="shared" ca="1" si="2"/>
        <v>1200</v>
      </c>
      <c r="AT18">
        <f t="shared" ca="1" si="2"/>
        <v>1200</v>
      </c>
      <c r="AU18">
        <f t="shared" ca="1" si="2"/>
        <v>1200</v>
      </c>
      <c r="AV18">
        <f t="shared" ca="1" si="2"/>
        <v>1261.9653916081941</v>
      </c>
      <c r="AW18">
        <f t="shared" ca="1" si="2"/>
        <v>1141.0772510686099</v>
      </c>
      <c r="AX18">
        <f t="shared" ca="1" si="2"/>
        <v>1200</v>
      </c>
      <c r="AY18">
        <f t="shared" ca="1" si="2"/>
        <v>1200</v>
      </c>
      <c r="AZ18">
        <f t="shared" ca="1" si="2"/>
        <v>1200</v>
      </c>
      <c r="BA18">
        <f t="shared" ca="1" si="2"/>
        <v>1141.0772510686099</v>
      </c>
      <c r="BB18">
        <f t="shared" ca="1" si="2"/>
        <v>1200</v>
      </c>
      <c r="BC18">
        <f t="shared" ca="1" si="2"/>
        <v>1200</v>
      </c>
      <c r="BD18">
        <f t="shared" ca="1" si="2"/>
        <v>1141.0772510686099</v>
      </c>
      <c r="BE18">
        <f t="shared" ca="1" si="2"/>
        <v>1261.9653916081941</v>
      </c>
      <c r="BF18">
        <f t="shared" ca="1" si="2"/>
        <v>1141.0772510686099</v>
      </c>
      <c r="BG18">
        <f t="shared" ca="1" si="2"/>
        <v>1261.9653916081941</v>
      </c>
      <c r="BH18">
        <f t="shared" ca="1" si="2"/>
        <v>1141.0772510686099</v>
      </c>
      <c r="BI18">
        <f t="shared" ca="1" si="2"/>
        <v>1200</v>
      </c>
      <c r="BJ18">
        <f t="shared" ca="1" si="2"/>
        <v>1200</v>
      </c>
      <c r="BK18">
        <f t="shared" ca="1" si="2"/>
        <v>1200</v>
      </c>
      <c r="BL18">
        <f t="shared" ca="1" si="2"/>
        <v>1261.9653916081941</v>
      </c>
      <c r="BM18">
        <f t="shared" ca="1" si="2"/>
        <v>1200</v>
      </c>
      <c r="BN18">
        <f t="shared" ca="1" si="2"/>
        <v>1261.9653916081941</v>
      </c>
      <c r="BO18">
        <f t="shared" ca="1" si="2"/>
        <v>1200</v>
      </c>
      <c r="BP18">
        <f t="shared" ca="1" si="2"/>
        <v>1200</v>
      </c>
      <c r="BQ18">
        <f t="shared" ca="1" si="3"/>
        <v>1261.9653916081941</v>
      </c>
      <c r="BR18">
        <f t="shared" ca="1" si="3"/>
        <v>1200</v>
      </c>
      <c r="BS18">
        <f t="shared" ca="1" si="3"/>
        <v>1200</v>
      </c>
      <c r="BT18">
        <f t="shared" ca="1" si="3"/>
        <v>1200</v>
      </c>
      <c r="BU18">
        <f t="shared" ca="1" si="3"/>
        <v>1200</v>
      </c>
      <c r="BV18">
        <f t="shared" ca="1" si="3"/>
        <v>1261.9653916081941</v>
      </c>
      <c r="BW18">
        <f t="shared" ca="1" si="3"/>
        <v>1200</v>
      </c>
      <c r="BX18">
        <f t="shared" ca="1" si="3"/>
        <v>1200</v>
      </c>
      <c r="BY18">
        <f t="shared" ca="1" si="3"/>
        <v>1200</v>
      </c>
      <c r="BZ18">
        <f t="shared" ca="1" si="3"/>
        <v>1200</v>
      </c>
      <c r="CA18">
        <f t="shared" ca="1" si="3"/>
        <v>1261.9653916081941</v>
      </c>
      <c r="CB18">
        <f t="shared" ca="1" si="3"/>
        <v>1141.0772510686099</v>
      </c>
      <c r="CC18">
        <f t="shared" ca="1" si="3"/>
        <v>1200</v>
      </c>
      <c r="CD18">
        <f t="shared" ca="1" si="3"/>
        <v>1200</v>
      </c>
      <c r="CE18">
        <f t="shared" ca="1" si="3"/>
        <v>1141.0772510686099</v>
      </c>
      <c r="CF18">
        <f t="shared" ca="1" si="3"/>
        <v>1141.0772510686099</v>
      </c>
      <c r="CG18">
        <f t="shared" ca="1" si="3"/>
        <v>1200</v>
      </c>
      <c r="CH18">
        <f t="shared" ca="1" si="3"/>
        <v>1261.9653916081941</v>
      </c>
      <c r="CI18">
        <f t="shared" ca="1" si="3"/>
        <v>1261.9653916081941</v>
      </c>
      <c r="CJ18">
        <f t="shared" ca="1" si="3"/>
        <v>1261.9653916081941</v>
      </c>
      <c r="CK18">
        <f t="shared" ca="1" si="3"/>
        <v>1200</v>
      </c>
      <c r="CL18">
        <f t="shared" ca="1" si="3"/>
        <v>1200</v>
      </c>
      <c r="CM18">
        <f t="shared" ca="1" si="3"/>
        <v>1141.0772510686099</v>
      </c>
      <c r="CN18">
        <f t="shared" ca="1" si="3"/>
        <v>1200</v>
      </c>
      <c r="CO18">
        <f t="shared" ca="1" si="3"/>
        <v>1261.9653916081941</v>
      </c>
      <c r="CP18">
        <f t="shared" ca="1" si="3"/>
        <v>1261.9653916081941</v>
      </c>
      <c r="CQ18">
        <f t="shared" ca="1" si="3"/>
        <v>1261.9653916081941</v>
      </c>
      <c r="CR18">
        <f t="shared" ca="1" si="3"/>
        <v>1200</v>
      </c>
      <c r="CS18">
        <f t="shared" ca="1" si="3"/>
        <v>1200</v>
      </c>
      <c r="CT18">
        <f t="shared" ca="1" si="3"/>
        <v>1261.9653916081941</v>
      </c>
      <c r="CU18">
        <f t="shared" ca="1" si="3"/>
        <v>1200</v>
      </c>
      <c r="CV18">
        <f t="shared" ca="1" si="3"/>
        <v>1200</v>
      </c>
      <c r="CW18">
        <f t="shared" ca="1" si="3"/>
        <v>1200</v>
      </c>
      <c r="CX18">
        <f t="shared" ca="1" si="3"/>
        <v>1200</v>
      </c>
      <c r="CY18">
        <f t="shared" ca="1" si="3"/>
        <v>1261.9653916081941</v>
      </c>
    </row>
    <row r="19" spans="1:103">
      <c r="A19">
        <v>3</v>
      </c>
      <c r="B19">
        <v>3</v>
      </c>
      <c r="C19">
        <v>3</v>
      </c>
      <c r="D19">
        <f t="shared" ca="1" si="4"/>
        <v>1112.7098890109644</v>
      </c>
      <c r="E19">
        <f t="shared" ca="1" si="2"/>
        <v>1230.5927311380613</v>
      </c>
      <c r="F19">
        <f t="shared" ca="1" si="2"/>
        <v>1294.1378648840339</v>
      </c>
      <c r="G19">
        <f t="shared" ca="1" si="2"/>
        <v>1230.5927311380613</v>
      </c>
      <c r="H19">
        <f t="shared" ca="1" si="2"/>
        <v>1294.1378648840339</v>
      </c>
      <c r="I19">
        <f t="shared" ca="1" si="2"/>
        <v>1230.5927311380613</v>
      </c>
      <c r="J19">
        <f t="shared" ca="1" si="2"/>
        <v>1230.5927311380613</v>
      </c>
      <c r="K19">
        <f t="shared" ca="1" si="2"/>
        <v>1170.1678090266935</v>
      </c>
      <c r="L19">
        <f t="shared" ca="1" si="2"/>
        <v>1230.5927311380613</v>
      </c>
      <c r="M19">
        <f t="shared" ca="1" si="2"/>
        <v>1170.1678090266932</v>
      </c>
      <c r="N19">
        <f t="shared" ca="1" si="2"/>
        <v>1230.5927311380613</v>
      </c>
      <c r="O19">
        <f t="shared" ca="1" si="2"/>
        <v>1230.5927311380613</v>
      </c>
      <c r="P19">
        <f t="shared" ca="1" si="2"/>
        <v>1294.1378648840339</v>
      </c>
      <c r="Q19">
        <f t="shared" ca="1" si="2"/>
        <v>1294.1378648840339</v>
      </c>
      <c r="R19">
        <f t="shared" ca="1" si="2"/>
        <v>1170.1678090266935</v>
      </c>
      <c r="S19">
        <f t="shared" ca="1" si="2"/>
        <v>1230.5927311380613</v>
      </c>
      <c r="T19">
        <f t="shared" ca="1" si="2"/>
        <v>1230.5927311380613</v>
      </c>
      <c r="U19">
        <f t="shared" ca="1" si="2"/>
        <v>1170.1678090266935</v>
      </c>
      <c r="V19">
        <f t="shared" ca="1" si="2"/>
        <v>1170.1678090266932</v>
      </c>
      <c r="W19">
        <f t="shared" ca="1" si="2"/>
        <v>1294.1378648840339</v>
      </c>
      <c r="X19">
        <f t="shared" ca="1" si="2"/>
        <v>1112.7098890109644</v>
      </c>
      <c r="Y19">
        <f t="shared" ca="1" si="2"/>
        <v>1170.1678090266935</v>
      </c>
      <c r="Z19">
        <f t="shared" ca="1" si="2"/>
        <v>1230.5927311380613</v>
      </c>
      <c r="AA19">
        <f t="shared" ca="1" si="2"/>
        <v>1170.1678090266932</v>
      </c>
      <c r="AB19">
        <f t="shared" ca="1" si="2"/>
        <v>1294.1378648840339</v>
      </c>
      <c r="AC19">
        <f t="shared" ca="1" si="2"/>
        <v>1230.5927311380613</v>
      </c>
      <c r="AD19">
        <f t="shared" ca="1" si="2"/>
        <v>1230.5927311380613</v>
      </c>
      <c r="AE19">
        <f t="shared" ca="1" si="2"/>
        <v>1170.1678090266932</v>
      </c>
      <c r="AF19">
        <f t="shared" ca="1" si="2"/>
        <v>1230.5927311380613</v>
      </c>
      <c r="AG19">
        <f t="shared" ca="1" si="2"/>
        <v>1170.1678090266935</v>
      </c>
      <c r="AH19">
        <f t="shared" ca="1" si="2"/>
        <v>1170.1678090266935</v>
      </c>
      <c r="AI19">
        <f t="shared" ca="1" si="2"/>
        <v>1230.5927311380613</v>
      </c>
      <c r="AJ19">
        <f t="shared" ca="1" si="2"/>
        <v>1230.5927311380613</v>
      </c>
      <c r="AK19">
        <f t="shared" ca="1" si="2"/>
        <v>1170.1678090266932</v>
      </c>
      <c r="AL19">
        <f t="shared" ca="1" si="2"/>
        <v>1230.5927311380613</v>
      </c>
      <c r="AM19">
        <f t="shared" ca="1" si="2"/>
        <v>1170.1678090266932</v>
      </c>
      <c r="AN19">
        <f t="shared" ca="1" si="2"/>
        <v>1294.1378648840339</v>
      </c>
      <c r="AO19">
        <f t="shared" ca="1" si="2"/>
        <v>1170.1678090266935</v>
      </c>
      <c r="AP19">
        <f t="shared" ca="1" si="2"/>
        <v>1112.7098890109644</v>
      </c>
      <c r="AQ19">
        <f t="shared" ca="1" si="2"/>
        <v>1230.5927311380613</v>
      </c>
      <c r="AR19">
        <f t="shared" ca="1" si="2"/>
        <v>1170.1678090266935</v>
      </c>
      <c r="AS19">
        <f t="shared" ca="1" si="2"/>
        <v>1170.1678090266935</v>
      </c>
      <c r="AT19">
        <f t="shared" ca="1" si="2"/>
        <v>1230.5927311380613</v>
      </c>
      <c r="AU19">
        <f t="shared" ca="1" si="2"/>
        <v>1230.5927311380613</v>
      </c>
      <c r="AV19">
        <f t="shared" ca="1" si="2"/>
        <v>1294.1378648840339</v>
      </c>
      <c r="AW19">
        <f t="shared" ca="1" si="2"/>
        <v>1170.1678090266932</v>
      </c>
      <c r="AX19">
        <f t="shared" ca="1" si="2"/>
        <v>1230.5927311380613</v>
      </c>
      <c r="AY19">
        <f t="shared" ca="1" si="2"/>
        <v>1170.1678090266935</v>
      </c>
      <c r="AZ19">
        <f t="shared" ca="1" si="2"/>
        <v>1230.5927311380613</v>
      </c>
      <c r="BA19">
        <f t="shared" ca="1" si="2"/>
        <v>1170.1678090266932</v>
      </c>
      <c r="BB19">
        <f t="shared" ca="1" si="2"/>
        <v>1170.1678090266935</v>
      </c>
      <c r="BC19">
        <f t="shared" ca="1" si="2"/>
        <v>1230.5927311380613</v>
      </c>
      <c r="BD19">
        <f t="shared" ca="1" si="2"/>
        <v>1170.1678090266932</v>
      </c>
      <c r="BE19">
        <f t="shared" ca="1" si="2"/>
        <v>1294.1378648840339</v>
      </c>
      <c r="BF19">
        <f t="shared" ca="1" si="2"/>
        <v>1170.1678090266932</v>
      </c>
      <c r="BG19">
        <f t="shared" ca="1" si="2"/>
        <v>1294.1378648840339</v>
      </c>
      <c r="BH19">
        <f t="shared" ca="1" si="2"/>
        <v>1170.1678090266932</v>
      </c>
      <c r="BI19">
        <f t="shared" ca="1" si="2"/>
        <v>1170.1678090266935</v>
      </c>
      <c r="BJ19">
        <f t="shared" ca="1" si="2"/>
        <v>1170.1678090266935</v>
      </c>
      <c r="BK19">
        <f t="shared" ca="1" si="2"/>
        <v>1230.5927311380613</v>
      </c>
      <c r="BL19">
        <f t="shared" ca="1" si="2"/>
        <v>1230.5927311380613</v>
      </c>
      <c r="BM19">
        <f t="shared" ca="1" si="2"/>
        <v>1230.5927311380613</v>
      </c>
      <c r="BN19">
        <f t="shared" ca="1" si="2"/>
        <v>1294.1378648840339</v>
      </c>
      <c r="BO19">
        <f t="shared" ca="1" si="2"/>
        <v>1230.5927311380613</v>
      </c>
      <c r="BP19">
        <f t="shared" ca="1" si="2"/>
        <v>1170.1678090266935</v>
      </c>
      <c r="BQ19">
        <f t="shared" ca="1" si="3"/>
        <v>1230.5927311380613</v>
      </c>
      <c r="BR19">
        <f t="shared" ca="1" si="3"/>
        <v>1230.5927311380613</v>
      </c>
      <c r="BS19">
        <f t="shared" ca="1" si="3"/>
        <v>1170.1678090266935</v>
      </c>
      <c r="BT19">
        <f t="shared" ca="1" si="3"/>
        <v>1170.1678090266935</v>
      </c>
      <c r="BU19">
        <f t="shared" ca="1" si="3"/>
        <v>1170.1678090266935</v>
      </c>
      <c r="BV19">
        <f t="shared" ca="1" si="3"/>
        <v>1294.1378648840339</v>
      </c>
      <c r="BW19">
        <f t="shared" ca="1" si="3"/>
        <v>1170.1678090266935</v>
      </c>
      <c r="BX19">
        <f t="shared" ca="1" si="3"/>
        <v>1230.5927311380613</v>
      </c>
      <c r="BY19">
        <f t="shared" ca="1" si="3"/>
        <v>1170.1678090266935</v>
      </c>
      <c r="BZ19">
        <f t="shared" ca="1" si="3"/>
        <v>1230.5927311380613</v>
      </c>
      <c r="CA19">
        <f t="shared" ca="1" si="3"/>
        <v>1294.1378648840339</v>
      </c>
      <c r="CB19">
        <f t="shared" ca="1" si="3"/>
        <v>1112.7098890109644</v>
      </c>
      <c r="CC19">
        <f t="shared" ca="1" si="3"/>
        <v>1230.5927311380613</v>
      </c>
      <c r="CD19">
        <f t="shared" ca="1" si="3"/>
        <v>1170.1678090266935</v>
      </c>
      <c r="CE19">
        <f t="shared" ca="1" si="3"/>
        <v>1170.1678090266932</v>
      </c>
      <c r="CF19">
        <f t="shared" ca="1" si="3"/>
        <v>1170.1678090266932</v>
      </c>
      <c r="CG19">
        <f t="shared" ca="1" si="3"/>
        <v>1230.5927311380613</v>
      </c>
      <c r="CH19">
        <f t="shared" ca="1" si="3"/>
        <v>1294.1378648840339</v>
      </c>
      <c r="CI19">
        <f t="shared" ca="1" si="3"/>
        <v>1230.5927311380613</v>
      </c>
      <c r="CJ19">
        <f t="shared" ca="1" si="3"/>
        <v>1294.1378648840339</v>
      </c>
      <c r="CK19">
        <f t="shared" ca="1" si="3"/>
        <v>1170.1678090266935</v>
      </c>
      <c r="CL19">
        <f t="shared" ca="1" si="3"/>
        <v>1170.1678090266935</v>
      </c>
      <c r="CM19">
        <f t="shared" ca="1" si="3"/>
        <v>1170.1678090266932</v>
      </c>
      <c r="CN19">
        <f t="shared" ca="1" si="3"/>
        <v>1230.5927311380613</v>
      </c>
      <c r="CO19">
        <f t="shared" ca="1" si="3"/>
        <v>1230.5927311380613</v>
      </c>
      <c r="CP19">
        <f t="shared" ca="1" si="3"/>
        <v>1294.1378648840339</v>
      </c>
      <c r="CQ19">
        <f t="shared" ca="1" si="3"/>
        <v>1294.1378648840339</v>
      </c>
      <c r="CR19">
        <f t="shared" ca="1" si="3"/>
        <v>1170.1678090266935</v>
      </c>
      <c r="CS19">
        <f t="shared" ca="1" si="3"/>
        <v>1170.1678090266935</v>
      </c>
      <c r="CT19">
        <f t="shared" ca="1" si="3"/>
        <v>1230.5927311380613</v>
      </c>
      <c r="CU19">
        <f t="shared" ca="1" si="3"/>
        <v>1230.5927311380613</v>
      </c>
      <c r="CV19">
        <f t="shared" ca="1" si="3"/>
        <v>1230.5927311380613</v>
      </c>
      <c r="CW19">
        <f t="shared" ca="1" si="3"/>
        <v>1230.5927311380613</v>
      </c>
      <c r="CX19">
        <f t="shared" ca="1" si="3"/>
        <v>1230.5927311380613</v>
      </c>
      <c r="CY19">
        <f t="shared" ca="1" si="3"/>
        <v>1230.5927311380613</v>
      </c>
    </row>
    <row r="20" spans="1:103">
      <c r="A20">
        <v>4</v>
      </c>
      <c r="B20">
        <v>4</v>
      </c>
      <c r="C20">
        <v>4</v>
      </c>
      <c r="D20">
        <f t="shared" ca="1" si="4"/>
        <v>1141.0772510686097</v>
      </c>
      <c r="E20">
        <f t="shared" ca="1" si="2"/>
        <v>1200</v>
      </c>
      <c r="F20">
        <f t="shared" ca="1" si="2"/>
        <v>1261.9653916081941</v>
      </c>
      <c r="G20">
        <f t="shared" ca="1" si="2"/>
        <v>1261.9653916081941</v>
      </c>
      <c r="H20">
        <f t="shared" ca="1" si="2"/>
        <v>1327.1305413473522</v>
      </c>
      <c r="I20">
        <f t="shared" ca="1" si="2"/>
        <v>1200</v>
      </c>
      <c r="J20">
        <f t="shared" ca="1" si="2"/>
        <v>1261.9653916081941</v>
      </c>
      <c r="K20">
        <f t="shared" ca="1" si="2"/>
        <v>1141.0772510686099</v>
      </c>
      <c r="L20">
        <f t="shared" ca="1" si="2"/>
        <v>1261.9653916081941</v>
      </c>
      <c r="M20">
        <f t="shared" ca="1" si="2"/>
        <v>1141.0772510686097</v>
      </c>
      <c r="N20">
        <f t="shared" ca="1" si="2"/>
        <v>1200</v>
      </c>
      <c r="O20">
        <f t="shared" ca="1" si="2"/>
        <v>1261.9653916081941</v>
      </c>
      <c r="P20">
        <f t="shared" ca="1" si="2"/>
        <v>1327.1305413473522</v>
      </c>
      <c r="Q20">
        <f t="shared" ca="1" si="2"/>
        <v>1261.9653916081941</v>
      </c>
      <c r="R20">
        <f t="shared" ca="1" si="2"/>
        <v>1141.0772510686099</v>
      </c>
      <c r="S20">
        <f t="shared" ca="1" si="2"/>
        <v>1261.9653916081941</v>
      </c>
      <c r="T20">
        <f t="shared" ca="1" si="2"/>
        <v>1261.9653916081941</v>
      </c>
      <c r="U20">
        <f t="shared" ca="1" si="2"/>
        <v>1200</v>
      </c>
      <c r="V20">
        <f t="shared" ca="1" si="2"/>
        <v>1141.0772510686097</v>
      </c>
      <c r="W20">
        <f t="shared" ca="1" si="2"/>
        <v>1327.1305413473522</v>
      </c>
      <c r="X20">
        <f t="shared" ca="1" si="2"/>
        <v>1141.0772510686097</v>
      </c>
      <c r="Y20">
        <f t="shared" ca="1" si="2"/>
        <v>1200</v>
      </c>
      <c r="Z20">
        <f t="shared" ca="1" si="2"/>
        <v>1261.9653916081941</v>
      </c>
      <c r="AA20">
        <f t="shared" ca="1" si="2"/>
        <v>1199.9999999999998</v>
      </c>
      <c r="AB20">
        <f t="shared" ca="1" si="2"/>
        <v>1261.9653916081941</v>
      </c>
      <c r="AC20">
        <f t="shared" ca="1" si="2"/>
        <v>1261.9653916081941</v>
      </c>
      <c r="AD20">
        <f t="shared" ca="1" si="2"/>
        <v>1200</v>
      </c>
      <c r="AE20">
        <f t="shared" ca="1" si="2"/>
        <v>1141.0772510686097</v>
      </c>
      <c r="AF20">
        <f t="shared" ca="1" si="2"/>
        <v>1261.9653916081941</v>
      </c>
      <c r="AG20">
        <f t="shared" ca="1" si="2"/>
        <v>1200</v>
      </c>
      <c r="AH20">
        <f t="shared" ca="1" si="2"/>
        <v>1141.0772510686099</v>
      </c>
      <c r="AI20">
        <f t="shared" ca="1" si="2"/>
        <v>1200</v>
      </c>
      <c r="AJ20">
        <f t="shared" ca="1" si="2"/>
        <v>1261.9653916081941</v>
      </c>
      <c r="AK20">
        <f t="shared" ca="1" si="2"/>
        <v>1141.0772510686097</v>
      </c>
      <c r="AL20">
        <f t="shared" ca="1" si="2"/>
        <v>1261.9653916081941</v>
      </c>
      <c r="AM20">
        <f t="shared" ca="1" si="2"/>
        <v>1141.0772510686097</v>
      </c>
      <c r="AN20">
        <f t="shared" ca="1" si="2"/>
        <v>1261.9653916081941</v>
      </c>
      <c r="AO20">
        <f t="shared" ca="1" si="2"/>
        <v>1200</v>
      </c>
      <c r="AP20">
        <f t="shared" ca="1" si="2"/>
        <v>1085.0477440885795</v>
      </c>
      <c r="AQ20">
        <f t="shared" ca="1" si="2"/>
        <v>1261.9653916081941</v>
      </c>
      <c r="AR20">
        <f t="shared" ca="1" si="2"/>
        <v>1200</v>
      </c>
      <c r="AS20">
        <f t="shared" ca="1" si="2"/>
        <v>1141.0772510686099</v>
      </c>
      <c r="AT20">
        <f t="shared" ca="1" si="2"/>
        <v>1200</v>
      </c>
      <c r="AU20">
        <f t="shared" ca="1" si="2"/>
        <v>1261.9653916081941</v>
      </c>
      <c r="AV20">
        <f t="shared" ca="1" si="2"/>
        <v>1261.9653916081941</v>
      </c>
      <c r="AW20">
        <f t="shared" ca="1" si="2"/>
        <v>1141.0772510686097</v>
      </c>
      <c r="AX20">
        <f t="shared" ca="1" si="2"/>
        <v>1200</v>
      </c>
      <c r="AY20">
        <f t="shared" ca="1" si="2"/>
        <v>1141.0772510686099</v>
      </c>
      <c r="AZ20">
        <f t="shared" ca="1" si="2"/>
        <v>1261.9653916081941</v>
      </c>
      <c r="BA20">
        <f t="shared" ca="1" si="2"/>
        <v>1141.0772510686097</v>
      </c>
      <c r="BB20">
        <f t="shared" ca="1" si="2"/>
        <v>1141.0772510686099</v>
      </c>
      <c r="BC20">
        <f t="shared" ca="1" si="2"/>
        <v>1261.9653916081941</v>
      </c>
      <c r="BD20">
        <f t="shared" ca="1" si="2"/>
        <v>1199.9999999999998</v>
      </c>
      <c r="BE20">
        <f t="shared" ca="1" si="2"/>
        <v>1261.9653916081941</v>
      </c>
      <c r="BF20">
        <f t="shared" ca="1" si="2"/>
        <v>1141.0772510686097</v>
      </c>
      <c r="BG20">
        <f t="shared" ca="1" si="2"/>
        <v>1261.9653916081941</v>
      </c>
      <c r="BH20">
        <f t="shared" ca="1" si="2"/>
        <v>1199.9999999999998</v>
      </c>
      <c r="BI20">
        <f t="shared" ca="1" si="2"/>
        <v>1200</v>
      </c>
      <c r="BJ20">
        <f t="shared" ca="1" si="2"/>
        <v>1200</v>
      </c>
      <c r="BK20">
        <f t="shared" ca="1" si="2"/>
        <v>1261.9653916081941</v>
      </c>
      <c r="BL20">
        <f t="shared" ca="1" si="2"/>
        <v>1261.9653916081941</v>
      </c>
      <c r="BM20">
        <f t="shared" ca="1" si="2"/>
        <v>1200</v>
      </c>
      <c r="BN20">
        <f t="shared" ca="1" si="2"/>
        <v>1327.1305413473522</v>
      </c>
      <c r="BO20">
        <f t="shared" ca="1" si="2"/>
        <v>1200</v>
      </c>
      <c r="BP20">
        <f t="shared" ref="BP20:CE35" ca="1" si="5">BP19*(IF(RAND()&lt;$B$11,$B$9,$B$10))</f>
        <v>1200</v>
      </c>
      <c r="BQ20">
        <f t="shared" ca="1" si="3"/>
        <v>1261.9653916081941</v>
      </c>
      <c r="BR20">
        <f t="shared" ca="1" si="3"/>
        <v>1200</v>
      </c>
      <c r="BS20">
        <f t="shared" ca="1" si="3"/>
        <v>1141.0772510686099</v>
      </c>
      <c r="BT20">
        <f t="shared" ca="1" si="3"/>
        <v>1141.0772510686099</v>
      </c>
      <c r="BU20">
        <f t="shared" ca="1" si="3"/>
        <v>1200</v>
      </c>
      <c r="BV20">
        <f t="shared" ca="1" si="3"/>
        <v>1261.9653916081941</v>
      </c>
      <c r="BW20">
        <f t="shared" ca="1" si="3"/>
        <v>1141.0772510686099</v>
      </c>
      <c r="BX20">
        <f t="shared" ca="1" si="3"/>
        <v>1200</v>
      </c>
      <c r="BY20">
        <f t="shared" ca="1" si="3"/>
        <v>1200</v>
      </c>
      <c r="BZ20">
        <f t="shared" ca="1" si="3"/>
        <v>1200</v>
      </c>
      <c r="CA20">
        <f t="shared" ca="1" si="3"/>
        <v>1327.1305413473522</v>
      </c>
      <c r="CB20">
        <f t="shared" ca="1" si="3"/>
        <v>1085.0477440885795</v>
      </c>
      <c r="CC20">
        <f t="shared" ca="1" si="3"/>
        <v>1261.9653916081941</v>
      </c>
      <c r="CD20">
        <f t="shared" ca="1" si="3"/>
        <v>1200</v>
      </c>
      <c r="CE20">
        <f t="shared" ca="1" si="3"/>
        <v>1199.9999999999998</v>
      </c>
      <c r="CF20">
        <f t="shared" ca="1" si="3"/>
        <v>1141.0772510686097</v>
      </c>
      <c r="CG20">
        <f t="shared" ca="1" si="3"/>
        <v>1261.9653916081941</v>
      </c>
      <c r="CH20">
        <f t="shared" ca="1" si="3"/>
        <v>1327.1305413473522</v>
      </c>
      <c r="CI20">
        <f t="shared" ca="1" si="3"/>
        <v>1200</v>
      </c>
      <c r="CJ20">
        <f t="shared" ca="1" si="3"/>
        <v>1261.9653916081941</v>
      </c>
      <c r="CK20">
        <f t="shared" ca="1" si="3"/>
        <v>1200</v>
      </c>
      <c r="CL20">
        <f t="shared" ca="1" si="3"/>
        <v>1200</v>
      </c>
      <c r="CM20">
        <f t="shared" ca="1" si="3"/>
        <v>1199.9999999999998</v>
      </c>
      <c r="CN20">
        <f t="shared" ca="1" si="3"/>
        <v>1261.9653916081941</v>
      </c>
      <c r="CO20">
        <f t="shared" ca="1" si="3"/>
        <v>1261.9653916081941</v>
      </c>
      <c r="CP20">
        <f t="shared" ca="1" si="3"/>
        <v>1327.1305413473522</v>
      </c>
      <c r="CQ20">
        <f t="shared" ca="1" si="3"/>
        <v>1261.9653916081941</v>
      </c>
      <c r="CR20">
        <f t="shared" ca="1" si="3"/>
        <v>1141.0772510686099</v>
      </c>
      <c r="CS20">
        <f t="shared" ca="1" si="3"/>
        <v>1141.0772510686099</v>
      </c>
      <c r="CT20">
        <f t="shared" ca="1" si="3"/>
        <v>1261.9653916081941</v>
      </c>
      <c r="CU20">
        <f t="shared" ca="1" si="3"/>
        <v>1200</v>
      </c>
      <c r="CV20">
        <f t="shared" ca="1" si="3"/>
        <v>1200</v>
      </c>
      <c r="CW20">
        <f t="shared" ca="1" si="3"/>
        <v>1200</v>
      </c>
      <c r="CX20">
        <f t="shared" ca="1" si="3"/>
        <v>1200</v>
      </c>
      <c r="CY20">
        <f t="shared" ca="1" si="3"/>
        <v>1200</v>
      </c>
    </row>
    <row r="21" spans="1:103">
      <c r="A21">
        <v>5</v>
      </c>
      <c r="B21">
        <v>5</v>
      </c>
      <c r="C21">
        <v>5</v>
      </c>
      <c r="D21">
        <f t="shared" ca="1" si="4"/>
        <v>1112.7098890109644</v>
      </c>
      <c r="E21">
        <f t="shared" ca="1" si="4"/>
        <v>1170.1678090266935</v>
      </c>
      <c r="F21">
        <f t="shared" ca="1" si="4"/>
        <v>1230.5927311380613</v>
      </c>
      <c r="G21">
        <f t="shared" ca="1" si="4"/>
        <v>1230.5927311380613</v>
      </c>
      <c r="H21">
        <f t="shared" ca="1" si="4"/>
        <v>1294.1378648840339</v>
      </c>
      <c r="I21">
        <f t="shared" ca="1" si="4"/>
        <v>1230.5927311380613</v>
      </c>
      <c r="J21">
        <f t="shared" ca="1" si="4"/>
        <v>1294.1378648840339</v>
      </c>
      <c r="K21">
        <f t="shared" ca="1" si="4"/>
        <v>1170.1678090266932</v>
      </c>
      <c r="L21">
        <f t="shared" ca="1" si="4"/>
        <v>1230.5927311380613</v>
      </c>
      <c r="M21">
        <f t="shared" ca="1" si="4"/>
        <v>1112.7098890109644</v>
      </c>
      <c r="N21">
        <f t="shared" ca="1" si="4"/>
        <v>1230.5927311380613</v>
      </c>
      <c r="O21">
        <f t="shared" ca="1" si="4"/>
        <v>1230.5927311380613</v>
      </c>
      <c r="P21">
        <f t="shared" ca="1" si="4"/>
        <v>1294.1378648840339</v>
      </c>
      <c r="Q21">
        <f t="shared" ca="1" si="4"/>
        <v>1294.1378648840339</v>
      </c>
      <c r="R21">
        <f t="shared" ca="1" si="4"/>
        <v>1112.7098890109644</v>
      </c>
      <c r="S21">
        <f t="shared" ca="1" si="4"/>
        <v>1230.5927311380613</v>
      </c>
      <c r="T21">
        <f t="shared" ref="T21:BO26" ca="1" si="6">T20*(IF(RAND()&lt;$B$11,$B$9,$B$10))</f>
        <v>1230.5927311380613</v>
      </c>
      <c r="U21">
        <f t="shared" ca="1" si="6"/>
        <v>1230.5927311380613</v>
      </c>
      <c r="V21">
        <f t="shared" ca="1" si="6"/>
        <v>1170.167809026693</v>
      </c>
      <c r="W21">
        <f t="shared" ca="1" si="6"/>
        <v>1360.9643312111432</v>
      </c>
      <c r="X21">
        <f t="shared" ca="1" si="6"/>
        <v>1112.7098890109644</v>
      </c>
      <c r="Y21">
        <f t="shared" ca="1" si="6"/>
        <v>1230.5927311380613</v>
      </c>
      <c r="Z21">
        <f t="shared" ca="1" si="6"/>
        <v>1294.1378648840339</v>
      </c>
      <c r="AA21">
        <f t="shared" ca="1" si="6"/>
        <v>1230.592731138061</v>
      </c>
      <c r="AB21">
        <f t="shared" ca="1" si="6"/>
        <v>1230.5927311380613</v>
      </c>
      <c r="AC21">
        <f t="shared" ca="1" si="6"/>
        <v>1230.5927311380613</v>
      </c>
      <c r="AD21">
        <f t="shared" ca="1" si="6"/>
        <v>1230.5927311380613</v>
      </c>
      <c r="AE21">
        <f t="shared" ca="1" si="6"/>
        <v>1112.7098890109644</v>
      </c>
      <c r="AF21">
        <f t="shared" ca="1" si="6"/>
        <v>1230.5927311380613</v>
      </c>
      <c r="AG21">
        <f t="shared" ca="1" si="6"/>
        <v>1230.5927311380613</v>
      </c>
      <c r="AH21">
        <f t="shared" ca="1" si="6"/>
        <v>1170.1678090266932</v>
      </c>
      <c r="AI21">
        <f t="shared" ca="1" si="6"/>
        <v>1230.5927311380613</v>
      </c>
      <c r="AJ21">
        <f t="shared" ca="1" si="6"/>
        <v>1230.5927311380613</v>
      </c>
      <c r="AK21">
        <f t="shared" ca="1" si="6"/>
        <v>1112.7098890109644</v>
      </c>
      <c r="AL21">
        <f t="shared" ca="1" si="6"/>
        <v>1294.1378648840339</v>
      </c>
      <c r="AM21">
        <f t="shared" ca="1" si="6"/>
        <v>1170.167809026693</v>
      </c>
      <c r="AN21">
        <f t="shared" ca="1" si="6"/>
        <v>1294.1378648840339</v>
      </c>
      <c r="AO21">
        <f t="shared" ca="1" si="6"/>
        <v>1170.1678090266935</v>
      </c>
      <c r="AP21">
        <f t="shared" ca="1" si="6"/>
        <v>1058.0732844912411</v>
      </c>
      <c r="AQ21">
        <f t="shared" ca="1" si="6"/>
        <v>1230.5927311380613</v>
      </c>
      <c r="AR21">
        <f t="shared" ca="1" si="6"/>
        <v>1170.1678090266935</v>
      </c>
      <c r="AS21">
        <f t="shared" ca="1" si="6"/>
        <v>1112.7098890109644</v>
      </c>
      <c r="AT21">
        <f t="shared" ca="1" si="6"/>
        <v>1170.1678090266935</v>
      </c>
      <c r="AU21">
        <f t="shared" ca="1" si="6"/>
        <v>1230.5927311380613</v>
      </c>
      <c r="AV21">
        <f t="shared" ca="1" si="6"/>
        <v>1230.5927311380613</v>
      </c>
      <c r="AW21">
        <f t="shared" ca="1" si="6"/>
        <v>1170.167809026693</v>
      </c>
      <c r="AX21">
        <f t="shared" ca="1" si="6"/>
        <v>1230.5927311380613</v>
      </c>
      <c r="AY21">
        <f t="shared" ca="1" si="6"/>
        <v>1112.7098890109644</v>
      </c>
      <c r="AZ21">
        <f t="shared" ca="1" si="6"/>
        <v>1230.5927311380613</v>
      </c>
      <c r="BA21">
        <f t="shared" ca="1" si="6"/>
        <v>1170.167809026693</v>
      </c>
      <c r="BB21">
        <f t="shared" ca="1" si="6"/>
        <v>1170.1678090266932</v>
      </c>
      <c r="BC21">
        <f t="shared" ca="1" si="6"/>
        <v>1230.5927311380613</v>
      </c>
      <c r="BD21">
        <f t="shared" ca="1" si="6"/>
        <v>1230.592731138061</v>
      </c>
      <c r="BE21">
        <f t="shared" ca="1" si="6"/>
        <v>1294.1378648840339</v>
      </c>
      <c r="BF21">
        <f t="shared" ca="1" si="6"/>
        <v>1112.7098890109644</v>
      </c>
      <c r="BG21">
        <f t="shared" ca="1" si="6"/>
        <v>1230.5927311380613</v>
      </c>
      <c r="BH21">
        <f t="shared" ca="1" si="6"/>
        <v>1230.592731138061</v>
      </c>
      <c r="BI21">
        <f t="shared" ca="1" si="6"/>
        <v>1230.5927311380613</v>
      </c>
      <c r="BJ21">
        <f t="shared" ca="1" si="6"/>
        <v>1170.1678090266935</v>
      </c>
      <c r="BK21">
        <f t="shared" ca="1" si="6"/>
        <v>1294.1378648840339</v>
      </c>
      <c r="BL21">
        <f t="shared" ca="1" si="6"/>
        <v>1230.5927311380613</v>
      </c>
      <c r="BM21">
        <f t="shared" ca="1" si="6"/>
        <v>1230.5927311380613</v>
      </c>
      <c r="BN21">
        <f t="shared" ca="1" si="6"/>
        <v>1360.9643312111432</v>
      </c>
      <c r="BO21">
        <f t="shared" ca="1" si="6"/>
        <v>1170.1678090266935</v>
      </c>
      <c r="BP21">
        <f t="shared" ca="1" si="5"/>
        <v>1230.5927311380613</v>
      </c>
      <c r="BQ21">
        <f t="shared" ca="1" si="3"/>
        <v>1230.5927311380613</v>
      </c>
      <c r="BR21">
        <f t="shared" ca="1" si="3"/>
        <v>1230.5927311380613</v>
      </c>
      <c r="BS21">
        <f t="shared" ca="1" si="3"/>
        <v>1112.7098890109644</v>
      </c>
      <c r="BT21">
        <f t="shared" ca="1" si="3"/>
        <v>1170.1678090266932</v>
      </c>
      <c r="BU21">
        <f t="shared" ca="1" si="3"/>
        <v>1170.1678090266935</v>
      </c>
      <c r="BV21">
        <f t="shared" ca="1" si="3"/>
        <v>1294.1378648840339</v>
      </c>
      <c r="BW21">
        <f t="shared" ca="1" si="3"/>
        <v>1112.7098890109644</v>
      </c>
      <c r="BX21">
        <f t="shared" ca="1" si="3"/>
        <v>1170.1678090266935</v>
      </c>
      <c r="BY21">
        <f t="shared" ca="1" si="3"/>
        <v>1170.1678090266935</v>
      </c>
      <c r="BZ21">
        <f t="shared" ca="1" si="3"/>
        <v>1230.5927311380613</v>
      </c>
      <c r="CA21">
        <f t="shared" ca="1" si="3"/>
        <v>1294.1378648840339</v>
      </c>
      <c r="CB21">
        <f t="shared" ca="1" si="3"/>
        <v>1058.0732844912411</v>
      </c>
      <c r="CC21">
        <f t="shared" ca="1" si="3"/>
        <v>1294.1378648840339</v>
      </c>
      <c r="CD21">
        <f t="shared" ca="1" si="3"/>
        <v>1170.1678090266935</v>
      </c>
      <c r="CE21">
        <f t="shared" ca="1" si="3"/>
        <v>1230.592731138061</v>
      </c>
      <c r="CF21">
        <f t="shared" ca="1" si="3"/>
        <v>1112.7098890109644</v>
      </c>
      <c r="CG21">
        <f t="shared" ca="1" si="3"/>
        <v>1230.5927311380613</v>
      </c>
      <c r="CH21">
        <f t="shared" ca="1" si="3"/>
        <v>1360.9643312111432</v>
      </c>
      <c r="CI21">
        <f t="shared" ca="1" si="3"/>
        <v>1230.5927311380613</v>
      </c>
      <c r="CJ21">
        <f t="shared" ca="1" si="3"/>
        <v>1230.5927311380613</v>
      </c>
      <c r="CK21">
        <f t="shared" ca="1" si="3"/>
        <v>1170.1678090266935</v>
      </c>
      <c r="CL21">
        <f t="shared" ca="1" si="3"/>
        <v>1170.1678090266935</v>
      </c>
      <c r="CM21">
        <f t="shared" ca="1" si="3"/>
        <v>1230.592731138061</v>
      </c>
      <c r="CN21">
        <f t="shared" ca="1" si="3"/>
        <v>1230.5927311380613</v>
      </c>
      <c r="CO21">
        <f t="shared" ca="1" si="3"/>
        <v>1294.1378648840339</v>
      </c>
      <c r="CP21">
        <f t="shared" ca="1" si="3"/>
        <v>1294.1378648840339</v>
      </c>
      <c r="CQ21">
        <f t="shared" ca="1" si="3"/>
        <v>1294.1378648840339</v>
      </c>
      <c r="CR21">
        <f t="shared" ca="1" si="3"/>
        <v>1112.7098890109644</v>
      </c>
      <c r="CS21">
        <f t="shared" ca="1" si="3"/>
        <v>1170.1678090266932</v>
      </c>
      <c r="CT21">
        <f t="shared" ca="1" si="3"/>
        <v>1294.1378648840339</v>
      </c>
      <c r="CU21">
        <f t="shared" ca="1" si="3"/>
        <v>1170.1678090266935</v>
      </c>
      <c r="CV21">
        <f t="shared" ca="1" si="3"/>
        <v>1230.5927311380613</v>
      </c>
      <c r="CW21">
        <f t="shared" ca="1" si="3"/>
        <v>1230.5927311380613</v>
      </c>
      <c r="CX21">
        <f t="shared" ca="1" si="3"/>
        <v>1230.5927311380613</v>
      </c>
      <c r="CY21">
        <f t="shared" ca="1" si="3"/>
        <v>1170.1678090266935</v>
      </c>
    </row>
    <row r="22" spans="1:103">
      <c r="A22">
        <v>6</v>
      </c>
      <c r="B22">
        <v>6</v>
      </c>
      <c r="C22">
        <v>6</v>
      </c>
      <c r="D22">
        <f t="shared" ca="1" si="4"/>
        <v>1141.0772510686097</v>
      </c>
      <c r="E22">
        <f t="shared" ca="1" si="4"/>
        <v>1200</v>
      </c>
      <c r="F22">
        <f t="shared" ca="1" si="4"/>
        <v>1200</v>
      </c>
      <c r="G22">
        <f t="shared" ca="1" si="4"/>
        <v>1200</v>
      </c>
      <c r="H22">
        <f t="shared" ca="1" si="4"/>
        <v>1261.9653916081941</v>
      </c>
      <c r="I22">
        <f t="shared" ca="1" si="4"/>
        <v>1200</v>
      </c>
      <c r="J22">
        <f t="shared" ca="1" si="4"/>
        <v>1327.1305413473522</v>
      </c>
      <c r="K22">
        <f t="shared" ca="1" si="4"/>
        <v>1199.9999999999998</v>
      </c>
      <c r="L22">
        <f t="shared" ca="1" si="4"/>
        <v>1200</v>
      </c>
      <c r="M22">
        <f t="shared" ca="1" si="4"/>
        <v>1141.0772510686097</v>
      </c>
      <c r="N22">
        <f t="shared" ca="1" si="4"/>
        <v>1261.9653916081941</v>
      </c>
      <c r="O22">
        <f t="shared" ca="1" si="4"/>
        <v>1261.9653916081941</v>
      </c>
      <c r="P22">
        <f t="shared" ca="1" si="4"/>
        <v>1327.1305413473522</v>
      </c>
      <c r="Q22">
        <f t="shared" ca="1" si="4"/>
        <v>1327.1305413473522</v>
      </c>
      <c r="R22">
        <f t="shared" ca="1" si="4"/>
        <v>1141.0772510686097</v>
      </c>
      <c r="S22">
        <f t="shared" ca="1" si="4"/>
        <v>1261.9653916081941</v>
      </c>
      <c r="T22">
        <f t="shared" ca="1" si="6"/>
        <v>1261.9653916081941</v>
      </c>
      <c r="U22">
        <f t="shared" ca="1" si="6"/>
        <v>1261.9653916081941</v>
      </c>
      <c r="V22">
        <f t="shared" ca="1" si="6"/>
        <v>1199.9999999999995</v>
      </c>
      <c r="W22">
        <f t="shared" ca="1" si="6"/>
        <v>1327.1305413473522</v>
      </c>
      <c r="X22">
        <f t="shared" ca="1" si="6"/>
        <v>1085.0477440885795</v>
      </c>
      <c r="Y22">
        <f t="shared" ca="1" si="6"/>
        <v>1200</v>
      </c>
      <c r="Z22">
        <f t="shared" ca="1" si="6"/>
        <v>1261.9653916081941</v>
      </c>
      <c r="AA22">
        <f t="shared" ca="1" si="6"/>
        <v>1261.9653916081938</v>
      </c>
      <c r="AB22">
        <f t="shared" ca="1" si="6"/>
        <v>1200</v>
      </c>
      <c r="AC22">
        <f t="shared" ca="1" si="6"/>
        <v>1200</v>
      </c>
      <c r="AD22">
        <f t="shared" ca="1" si="6"/>
        <v>1261.9653916081941</v>
      </c>
      <c r="AE22">
        <f t="shared" ca="1" si="6"/>
        <v>1085.0477440885795</v>
      </c>
      <c r="AF22">
        <f t="shared" ca="1" si="6"/>
        <v>1261.9653916081941</v>
      </c>
      <c r="AG22">
        <f t="shared" ca="1" si="6"/>
        <v>1261.9653916081941</v>
      </c>
      <c r="AH22">
        <f t="shared" ca="1" si="6"/>
        <v>1141.0772510686097</v>
      </c>
      <c r="AI22">
        <f t="shared" ca="1" si="6"/>
        <v>1200</v>
      </c>
      <c r="AJ22">
        <f t="shared" ca="1" si="6"/>
        <v>1200</v>
      </c>
      <c r="AK22">
        <f t="shared" ca="1" si="6"/>
        <v>1085.0477440885795</v>
      </c>
      <c r="AL22">
        <f t="shared" ca="1" si="6"/>
        <v>1261.9653916081941</v>
      </c>
      <c r="AM22">
        <f t="shared" ca="1" si="6"/>
        <v>1199.9999999999995</v>
      </c>
      <c r="AN22">
        <f t="shared" ca="1" si="6"/>
        <v>1327.1305413473522</v>
      </c>
      <c r="AO22">
        <f t="shared" ca="1" si="6"/>
        <v>1141.0772510686099</v>
      </c>
      <c r="AP22">
        <f t="shared" ca="1" si="6"/>
        <v>1085.0477440885795</v>
      </c>
      <c r="AQ22">
        <f t="shared" ca="1" si="6"/>
        <v>1200</v>
      </c>
      <c r="AR22">
        <f t="shared" ca="1" si="6"/>
        <v>1141.0772510686099</v>
      </c>
      <c r="AS22">
        <f t="shared" ca="1" si="6"/>
        <v>1141.0772510686097</v>
      </c>
      <c r="AT22">
        <f t="shared" ca="1" si="6"/>
        <v>1141.0772510686099</v>
      </c>
      <c r="AU22">
        <f t="shared" ca="1" si="6"/>
        <v>1200</v>
      </c>
      <c r="AV22">
        <f t="shared" ca="1" si="6"/>
        <v>1261.9653916081941</v>
      </c>
      <c r="AW22">
        <f t="shared" ca="1" si="6"/>
        <v>1199.9999999999995</v>
      </c>
      <c r="AX22">
        <f t="shared" ca="1" si="6"/>
        <v>1200</v>
      </c>
      <c r="AY22">
        <f t="shared" ca="1" si="6"/>
        <v>1085.0477440885795</v>
      </c>
      <c r="AZ22">
        <f t="shared" ca="1" si="6"/>
        <v>1261.9653916081941</v>
      </c>
      <c r="BA22">
        <f t="shared" ca="1" si="6"/>
        <v>1141.0772510686097</v>
      </c>
      <c r="BB22">
        <f t="shared" ca="1" si="6"/>
        <v>1199.9999999999998</v>
      </c>
      <c r="BC22">
        <f t="shared" ca="1" si="6"/>
        <v>1261.9653916081941</v>
      </c>
      <c r="BD22">
        <f t="shared" ca="1" si="6"/>
        <v>1261.9653916081938</v>
      </c>
      <c r="BE22">
        <f t="shared" ca="1" si="6"/>
        <v>1327.1305413473522</v>
      </c>
      <c r="BF22">
        <f t="shared" ca="1" si="6"/>
        <v>1141.0772510686097</v>
      </c>
      <c r="BG22">
        <f t="shared" ca="1" si="6"/>
        <v>1261.9653916081941</v>
      </c>
      <c r="BH22">
        <f t="shared" ca="1" si="6"/>
        <v>1261.9653916081938</v>
      </c>
      <c r="BI22">
        <f t="shared" ca="1" si="6"/>
        <v>1261.9653916081941</v>
      </c>
      <c r="BJ22">
        <f t="shared" ca="1" si="6"/>
        <v>1200</v>
      </c>
      <c r="BK22">
        <f t="shared" ca="1" si="6"/>
        <v>1261.9653916081941</v>
      </c>
      <c r="BL22">
        <f t="shared" ca="1" si="6"/>
        <v>1200</v>
      </c>
      <c r="BM22">
        <f t="shared" ca="1" si="6"/>
        <v>1200</v>
      </c>
      <c r="BN22">
        <f t="shared" ca="1" si="6"/>
        <v>1395.6606777721715</v>
      </c>
      <c r="BO22">
        <f t="shared" ca="1" si="6"/>
        <v>1141.0772510686099</v>
      </c>
      <c r="BP22">
        <f t="shared" ca="1" si="5"/>
        <v>1200</v>
      </c>
      <c r="BQ22">
        <f t="shared" ca="1" si="3"/>
        <v>1200</v>
      </c>
      <c r="BR22">
        <f t="shared" ca="1" si="3"/>
        <v>1200</v>
      </c>
      <c r="BS22">
        <f t="shared" ca="1" si="3"/>
        <v>1141.0772510686097</v>
      </c>
      <c r="BT22">
        <f t="shared" ca="1" si="3"/>
        <v>1199.9999999999998</v>
      </c>
      <c r="BU22">
        <f t="shared" ca="1" si="3"/>
        <v>1141.0772510686099</v>
      </c>
      <c r="BV22">
        <f t="shared" ca="1" si="3"/>
        <v>1261.9653916081941</v>
      </c>
      <c r="BW22">
        <f t="shared" ca="1" si="3"/>
        <v>1141.0772510686097</v>
      </c>
      <c r="BX22">
        <f t="shared" ca="1" si="3"/>
        <v>1200</v>
      </c>
      <c r="BY22">
        <f t="shared" ca="1" si="3"/>
        <v>1141.0772510686099</v>
      </c>
      <c r="BZ22">
        <f t="shared" ca="1" si="3"/>
        <v>1261.9653916081941</v>
      </c>
      <c r="CA22">
        <f t="shared" ca="1" si="3"/>
        <v>1261.9653916081941</v>
      </c>
      <c r="CB22">
        <f t="shared" ca="1" si="3"/>
        <v>1031.7694142523274</v>
      </c>
      <c r="CC22">
        <f t="shared" ca="1" si="3"/>
        <v>1261.9653916081941</v>
      </c>
      <c r="CD22">
        <f t="shared" ca="1" si="3"/>
        <v>1141.0772510686099</v>
      </c>
      <c r="CE22">
        <f t="shared" ca="1" si="3"/>
        <v>1261.9653916081938</v>
      </c>
      <c r="CF22">
        <f t="shared" ca="1" si="3"/>
        <v>1141.0772510686097</v>
      </c>
      <c r="CG22">
        <f t="shared" ca="1" si="3"/>
        <v>1200</v>
      </c>
      <c r="CH22">
        <f t="shared" ca="1" si="3"/>
        <v>1327.1305413473522</v>
      </c>
      <c r="CI22">
        <f t="shared" ca="1" si="3"/>
        <v>1261.9653916081941</v>
      </c>
      <c r="CJ22">
        <f t="shared" ca="1" si="3"/>
        <v>1261.9653916081941</v>
      </c>
      <c r="CK22">
        <f t="shared" ca="1" si="3"/>
        <v>1200</v>
      </c>
      <c r="CL22">
        <f t="shared" ca="1" si="3"/>
        <v>1200</v>
      </c>
      <c r="CM22">
        <f t="shared" ca="1" si="3"/>
        <v>1199.9999999999998</v>
      </c>
      <c r="CN22">
        <f t="shared" ca="1" si="3"/>
        <v>1261.9653916081941</v>
      </c>
      <c r="CO22">
        <f t="shared" ca="1" si="3"/>
        <v>1261.9653916081941</v>
      </c>
      <c r="CP22">
        <f t="shared" ca="1" si="3"/>
        <v>1327.1305413473522</v>
      </c>
      <c r="CQ22">
        <f t="shared" ca="1" si="3"/>
        <v>1261.9653916081941</v>
      </c>
      <c r="CR22">
        <f t="shared" ca="1" si="3"/>
        <v>1085.0477440885795</v>
      </c>
      <c r="CS22">
        <f t="shared" ca="1" si="3"/>
        <v>1141.0772510686097</v>
      </c>
      <c r="CT22">
        <f t="shared" ca="1" si="3"/>
        <v>1327.1305413473522</v>
      </c>
      <c r="CU22">
        <f t="shared" ca="1" si="3"/>
        <v>1200</v>
      </c>
      <c r="CV22">
        <f t="shared" ca="1" si="3"/>
        <v>1200</v>
      </c>
      <c r="CW22">
        <f t="shared" ca="1" si="3"/>
        <v>1261.9653916081941</v>
      </c>
      <c r="CX22">
        <f t="shared" ca="1" si="3"/>
        <v>1261.9653916081941</v>
      </c>
      <c r="CY22">
        <f t="shared" ca="1" si="3"/>
        <v>1141.0772510686099</v>
      </c>
    </row>
    <row r="23" spans="1:103">
      <c r="A23">
        <v>7</v>
      </c>
      <c r="B23">
        <v>7</v>
      </c>
      <c r="C23">
        <v>7</v>
      </c>
      <c r="D23">
        <f t="shared" ca="1" si="4"/>
        <v>1170.167809026693</v>
      </c>
      <c r="E23">
        <f t="shared" ca="1" si="4"/>
        <v>1170.1678090266935</v>
      </c>
      <c r="F23">
        <f t="shared" ca="1" si="4"/>
        <v>1170.1678090266935</v>
      </c>
      <c r="G23">
        <f t="shared" ca="1" si="4"/>
        <v>1230.5927311380613</v>
      </c>
      <c r="H23">
        <f t="shared" ca="1" si="4"/>
        <v>1294.1378648840339</v>
      </c>
      <c r="I23">
        <f t="shared" ca="1" si="4"/>
        <v>1170.1678090266935</v>
      </c>
      <c r="J23">
        <f t="shared" ca="1" si="4"/>
        <v>1360.9643312111432</v>
      </c>
      <c r="K23">
        <f t="shared" ca="1" si="4"/>
        <v>1230.592731138061</v>
      </c>
      <c r="L23">
        <f t="shared" ca="1" si="4"/>
        <v>1170.1678090266935</v>
      </c>
      <c r="M23">
        <f t="shared" ca="1" si="4"/>
        <v>1170.167809026693</v>
      </c>
      <c r="N23">
        <f t="shared" ca="1" si="4"/>
        <v>1294.1378648840339</v>
      </c>
      <c r="O23">
        <f t="shared" ca="1" si="4"/>
        <v>1294.1378648840339</v>
      </c>
      <c r="P23">
        <f t="shared" ca="1" si="4"/>
        <v>1294.1378648840339</v>
      </c>
      <c r="Q23">
        <f t="shared" ca="1" si="4"/>
        <v>1360.9643312111432</v>
      </c>
      <c r="R23">
        <f t="shared" ca="1" si="4"/>
        <v>1112.7098890109644</v>
      </c>
      <c r="S23">
        <f t="shared" ca="1" si="4"/>
        <v>1230.5927311380613</v>
      </c>
      <c r="T23">
        <f t="shared" ca="1" si="6"/>
        <v>1230.5927311380613</v>
      </c>
      <c r="U23">
        <f t="shared" ca="1" si="6"/>
        <v>1230.5927311380613</v>
      </c>
      <c r="V23">
        <f t="shared" ca="1" si="6"/>
        <v>1230.5927311380608</v>
      </c>
      <c r="W23">
        <f t="shared" ca="1" si="6"/>
        <v>1294.1378648840339</v>
      </c>
      <c r="X23">
        <f t="shared" ca="1" si="6"/>
        <v>1058.0732844912411</v>
      </c>
      <c r="Y23">
        <f t="shared" ca="1" si="6"/>
        <v>1170.1678090266935</v>
      </c>
      <c r="Z23">
        <f t="shared" ca="1" si="6"/>
        <v>1230.5927311380613</v>
      </c>
      <c r="AA23">
        <f t="shared" ca="1" si="6"/>
        <v>1230.592731138061</v>
      </c>
      <c r="AB23">
        <f t="shared" ca="1" si="6"/>
        <v>1230.5927311380613</v>
      </c>
      <c r="AC23">
        <f t="shared" ca="1" si="6"/>
        <v>1170.1678090266935</v>
      </c>
      <c r="AD23">
        <f t="shared" ca="1" si="6"/>
        <v>1294.1378648840339</v>
      </c>
      <c r="AE23">
        <f t="shared" ca="1" si="6"/>
        <v>1058.0732844912411</v>
      </c>
      <c r="AF23">
        <f t="shared" ca="1" si="6"/>
        <v>1294.1378648840339</v>
      </c>
      <c r="AG23">
        <f t="shared" ca="1" si="6"/>
        <v>1294.1378648840339</v>
      </c>
      <c r="AH23">
        <f t="shared" ca="1" si="6"/>
        <v>1170.167809026693</v>
      </c>
      <c r="AI23">
        <f t="shared" ca="1" si="6"/>
        <v>1170.1678090266935</v>
      </c>
      <c r="AJ23">
        <f t="shared" ca="1" si="6"/>
        <v>1170.1678090266935</v>
      </c>
      <c r="AK23">
        <f t="shared" ca="1" si="6"/>
        <v>1112.7098890109644</v>
      </c>
      <c r="AL23">
        <f t="shared" ca="1" si="6"/>
        <v>1230.5927311380613</v>
      </c>
      <c r="AM23">
        <f t="shared" ca="1" si="6"/>
        <v>1230.5927311380608</v>
      </c>
      <c r="AN23">
        <f t="shared" ca="1" si="6"/>
        <v>1360.9643312111432</v>
      </c>
      <c r="AO23">
        <f t="shared" ca="1" si="6"/>
        <v>1112.7098890109644</v>
      </c>
      <c r="AP23">
        <f t="shared" ca="1" si="6"/>
        <v>1058.0732844912411</v>
      </c>
      <c r="AQ23">
        <f t="shared" ca="1" si="6"/>
        <v>1230.5927311380613</v>
      </c>
      <c r="AR23">
        <f t="shared" ca="1" si="6"/>
        <v>1170.1678090266932</v>
      </c>
      <c r="AS23">
        <f t="shared" ca="1" si="6"/>
        <v>1112.7098890109644</v>
      </c>
      <c r="AT23">
        <f t="shared" ca="1" si="6"/>
        <v>1170.1678090266932</v>
      </c>
      <c r="AU23">
        <f t="shared" ca="1" si="6"/>
        <v>1230.5927311380613</v>
      </c>
      <c r="AV23">
        <f t="shared" ca="1" si="6"/>
        <v>1230.5927311380613</v>
      </c>
      <c r="AW23">
        <f t="shared" ca="1" si="6"/>
        <v>1170.167809026693</v>
      </c>
      <c r="AX23">
        <f t="shared" ca="1" si="6"/>
        <v>1230.5927311380613</v>
      </c>
      <c r="AY23">
        <f t="shared" ca="1" si="6"/>
        <v>1112.7098890109644</v>
      </c>
      <c r="AZ23">
        <f t="shared" ca="1" si="6"/>
        <v>1294.1378648840339</v>
      </c>
      <c r="BA23">
        <f t="shared" ca="1" si="6"/>
        <v>1170.167809026693</v>
      </c>
      <c r="BB23">
        <f t="shared" ca="1" si="6"/>
        <v>1230.592731138061</v>
      </c>
      <c r="BC23">
        <f t="shared" ca="1" si="6"/>
        <v>1230.5927311380613</v>
      </c>
      <c r="BD23">
        <f t="shared" ca="1" si="6"/>
        <v>1230.592731138061</v>
      </c>
      <c r="BE23">
        <f t="shared" ca="1" si="6"/>
        <v>1360.9643312111432</v>
      </c>
      <c r="BF23">
        <f t="shared" ca="1" si="6"/>
        <v>1170.167809026693</v>
      </c>
      <c r="BG23">
        <f t="shared" ca="1" si="6"/>
        <v>1230.5927311380613</v>
      </c>
      <c r="BH23">
        <f t="shared" ca="1" si="6"/>
        <v>1294.1378648840337</v>
      </c>
      <c r="BI23">
        <f t="shared" ca="1" si="6"/>
        <v>1294.1378648840339</v>
      </c>
      <c r="BJ23">
        <f t="shared" ca="1" si="6"/>
        <v>1170.1678090266935</v>
      </c>
      <c r="BK23">
        <f t="shared" ca="1" si="6"/>
        <v>1230.5927311380613</v>
      </c>
      <c r="BL23">
        <f t="shared" ca="1" si="6"/>
        <v>1170.1678090266935</v>
      </c>
      <c r="BM23">
        <f t="shared" ca="1" si="6"/>
        <v>1170.1678090266935</v>
      </c>
      <c r="BN23">
        <f t="shared" ca="1" si="6"/>
        <v>1431.2415710013786</v>
      </c>
      <c r="BO23">
        <f t="shared" ca="1" si="6"/>
        <v>1112.7098890109644</v>
      </c>
      <c r="BP23">
        <f t="shared" ca="1" si="5"/>
        <v>1170.1678090266935</v>
      </c>
      <c r="BQ23">
        <f t="shared" ca="1" si="3"/>
        <v>1230.5927311380613</v>
      </c>
      <c r="BR23">
        <f t="shared" ca="1" si="3"/>
        <v>1230.5927311380613</v>
      </c>
      <c r="BS23">
        <f t="shared" ca="1" si="3"/>
        <v>1170.167809026693</v>
      </c>
      <c r="BT23">
        <f t="shared" ca="1" si="3"/>
        <v>1170.1678090266932</v>
      </c>
      <c r="BU23">
        <f t="shared" ca="1" si="3"/>
        <v>1170.1678090266932</v>
      </c>
      <c r="BV23">
        <f t="shared" ca="1" si="3"/>
        <v>1294.1378648840339</v>
      </c>
      <c r="BW23">
        <f t="shared" ca="1" si="3"/>
        <v>1112.7098890109644</v>
      </c>
      <c r="BX23">
        <f t="shared" ca="1" si="3"/>
        <v>1170.1678090266935</v>
      </c>
      <c r="BY23">
        <f t="shared" ca="1" si="3"/>
        <v>1112.7098890109644</v>
      </c>
      <c r="BZ23">
        <f t="shared" ca="1" si="3"/>
        <v>1294.1378648840339</v>
      </c>
      <c r="CA23">
        <f t="shared" ca="1" si="3"/>
        <v>1294.1378648840339</v>
      </c>
      <c r="CB23">
        <f t="shared" ca="1" si="3"/>
        <v>1006.1194624136672</v>
      </c>
      <c r="CC23">
        <f t="shared" ca="1" si="3"/>
        <v>1294.1378648840339</v>
      </c>
      <c r="CD23">
        <f t="shared" ca="1" si="3"/>
        <v>1112.7098890109644</v>
      </c>
      <c r="CE23">
        <f t="shared" ca="1" si="3"/>
        <v>1230.592731138061</v>
      </c>
      <c r="CF23">
        <f t="shared" ca="1" si="3"/>
        <v>1112.7098890109644</v>
      </c>
      <c r="CG23">
        <f t="shared" ca="1" si="3"/>
        <v>1230.5927311380613</v>
      </c>
      <c r="CH23">
        <f t="shared" ca="1" si="3"/>
        <v>1360.9643312111432</v>
      </c>
      <c r="CI23">
        <f t="shared" ca="1" si="3"/>
        <v>1230.5927311380613</v>
      </c>
      <c r="CJ23">
        <f t="shared" ca="1" si="3"/>
        <v>1230.5927311380613</v>
      </c>
      <c r="CK23">
        <f t="shared" ca="1" si="3"/>
        <v>1230.5927311380613</v>
      </c>
      <c r="CL23">
        <f t="shared" ca="1" si="3"/>
        <v>1230.5927311380613</v>
      </c>
      <c r="CM23">
        <f t="shared" ca="1" si="3"/>
        <v>1170.1678090266932</v>
      </c>
      <c r="CN23">
        <f t="shared" ca="1" si="3"/>
        <v>1294.1378648840339</v>
      </c>
      <c r="CO23">
        <f t="shared" ca="1" si="3"/>
        <v>1294.1378648840339</v>
      </c>
      <c r="CP23">
        <f t="shared" ca="1" si="3"/>
        <v>1360.9643312111432</v>
      </c>
      <c r="CQ23">
        <f t="shared" ca="1" si="3"/>
        <v>1294.1378648840339</v>
      </c>
      <c r="CR23">
        <f t="shared" ca="1" si="3"/>
        <v>1112.7098890109644</v>
      </c>
      <c r="CS23">
        <f t="shared" ca="1" si="3"/>
        <v>1112.7098890109644</v>
      </c>
      <c r="CT23">
        <f t="shared" ca="1" si="3"/>
        <v>1360.9643312111432</v>
      </c>
      <c r="CU23">
        <f t="shared" ca="1" si="3"/>
        <v>1230.5927311380613</v>
      </c>
      <c r="CV23">
        <f t="shared" ca="1" si="3"/>
        <v>1230.5927311380613</v>
      </c>
      <c r="CW23">
        <f t="shared" ca="1" si="3"/>
        <v>1294.1378648840339</v>
      </c>
      <c r="CX23">
        <f t="shared" ca="1" si="3"/>
        <v>1230.5927311380613</v>
      </c>
      <c r="CY23">
        <f t="shared" ca="1" si="3"/>
        <v>1112.7098890109644</v>
      </c>
    </row>
    <row r="24" spans="1:103">
      <c r="A24">
        <v>8</v>
      </c>
      <c r="B24">
        <v>8</v>
      </c>
      <c r="C24">
        <v>8</v>
      </c>
      <c r="D24">
        <f t="shared" ca="1" si="4"/>
        <v>1141.0772510686097</v>
      </c>
      <c r="E24">
        <f t="shared" ca="1" si="4"/>
        <v>1141.0772510686099</v>
      </c>
      <c r="F24">
        <f t="shared" ca="1" si="4"/>
        <v>1141.0772510686099</v>
      </c>
      <c r="G24">
        <f t="shared" ca="1" si="4"/>
        <v>1200</v>
      </c>
      <c r="H24">
        <f t="shared" ca="1" si="4"/>
        <v>1327.1305413473522</v>
      </c>
      <c r="I24">
        <f t="shared" ca="1" si="4"/>
        <v>1141.0772510686099</v>
      </c>
      <c r="J24">
        <f t="shared" ca="1" si="4"/>
        <v>1327.1305413473522</v>
      </c>
      <c r="K24">
        <f t="shared" ca="1" si="4"/>
        <v>1199.9999999999998</v>
      </c>
      <c r="L24">
        <f t="shared" ca="1" si="4"/>
        <v>1200</v>
      </c>
      <c r="M24">
        <f t="shared" ca="1" si="4"/>
        <v>1199.9999999999995</v>
      </c>
      <c r="N24">
        <f t="shared" ca="1" si="4"/>
        <v>1261.9653916081941</v>
      </c>
      <c r="O24">
        <f t="shared" ca="1" si="4"/>
        <v>1261.9653916081941</v>
      </c>
      <c r="P24">
        <f t="shared" ca="1" si="4"/>
        <v>1327.1305413473522</v>
      </c>
      <c r="Q24">
        <f t="shared" ca="1" si="4"/>
        <v>1327.1305413473522</v>
      </c>
      <c r="R24">
        <f t="shared" ca="1" si="4"/>
        <v>1141.0772510686097</v>
      </c>
      <c r="S24">
        <f t="shared" ca="1" si="4"/>
        <v>1200</v>
      </c>
      <c r="T24">
        <f t="shared" ca="1" si="6"/>
        <v>1200</v>
      </c>
      <c r="U24">
        <f t="shared" ca="1" si="6"/>
        <v>1261.9653916081941</v>
      </c>
      <c r="V24">
        <f t="shared" ca="1" si="6"/>
        <v>1199.9999999999995</v>
      </c>
      <c r="W24">
        <f t="shared" ca="1" si="6"/>
        <v>1327.1305413473522</v>
      </c>
      <c r="X24">
        <f t="shared" ca="1" si="6"/>
        <v>1085.0477440885795</v>
      </c>
      <c r="Y24">
        <f t="shared" ca="1" si="6"/>
        <v>1200</v>
      </c>
      <c r="Z24">
        <f t="shared" ca="1" si="6"/>
        <v>1261.9653916081941</v>
      </c>
      <c r="AA24">
        <f t="shared" ca="1" si="6"/>
        <v>1199.9999999999998</v>
      </c>
      <c r="AB24">
        <f t="shared" ca="1" si="6"/>
        <v>1200</v>
      </c>
      <c r="AC24">
        <f t="shared" ca="1" si="6"/>
        <v>1141.0772510686099</v>
      </c>
      <c r="AD24">
        <f t="shared" ca="1" si="6"/>
        <v>1327.1305413473522</v>
      </c>
      <c r="AE24">
        <f t="shared" ca="1" si="6"/>
        <v>1085.0477440885795</v>
      </c>
      <c r="AF24">
        <f t="shared" ca="1" si="6"/>
        <v>1327.1305413473522</v>
      </c>
      <c r="AG24">
        <f t="shared" ca="1" si="6"/>
        <v>1261.9653916081941</v>
      </c>
      <c r="AH24">
        <f t="shared" ca="1" si="6"/>
        <v>1199.9999999999995</v>
      </c>
      <c r="AI24">
        <f t="shared" ca="1" si="6"/>
        <v>1200</v>
      </c>
      <c r="AJ24">
        <f t="shared" ca="1" si="6"/>
        <v>1141.0772510686099</v>
      </c>
      <c r="AK24">
        <f t="shared" ca="1" si="6"/>
        <v>1141.0772510686097</v>
      </c>
      <c r="AL24">
        <f t="shared" ca="1" si="6"/>
        <v>1200</v>
      </c>
      <c r="AM24">
        <f t="shared" ca="1" si="6"/>
        <v>1261.9653916081936</v>
      </c>
      <c r="AN24">
        <f t="shared" ca="1" si="6"/>
        <v>1395.6606777721715</v>
      </c>
      <c r="AO24">
        <f t="shared" ca="1" si="6"/>
        <v>1085.0477440885795</v>
      </c>
      <c r="AP24">
        <f t="shared" ca="1" si="6"/>
        <v>1085.0477440885795</v>
      </c>
      <c r="AQ24">
        <f t="shared" ca="1" si="6"/>
        <v>1200</v>
      </c>
      <c r="AR24">
        <f t="shared" ca="1" si="6"/>
        <v>1141.0772510686097</v>
      </c>
      <c r="AS24">
        <f t="shared" ca="1" si="6"/>
        <v>1141.0772510686097</v>
      </c>
      <c r="AT24">
        <f t="shared" ca="1" si="6"/>
        <v>1141.0772510686097</v>
      </c>
      <c r="AU24">
        <f t="shared" ca="1" si="6"/>
        <v>1200</v>
      </c>
      <c r="AV24">
        <f t="shared" ca="1" si="6"/>
        <v>1261.9653916081941</v>
      </c>
      <c r="AW24">
        <f t="shared" ca="1" si="6"/>
        <v>1199.9999999999995</v>
      </c>
      <c r="AX24">
        <f t="shared" ca="1" si="6"/>
        <v>1200</v>
      </c>
      <c r="AY24">
        <f t="shared" ca="1" si="6"/>
        <v>1141.0772510686097</v>
      </c>
      <c r="AZ24">
        <f t="shared" ca="1" si="6"/>
        <v>1327.1305413473522</v>
      </c>
      <c r="BA24">
        <f t="shared" ca="1" si="6"/>
        <v>1199.9999999999995</v>
      </c>
      <c r="BB24">
        <f t="shared" ca="1" si="6"/>
        <v>1199.9999999999998</v>
      </c>
      <c r="BC24">
        <f t="shared" ca="1" si="6"/>
        <v>1261.9653916081941</v>
      </c>
      <c r="BD24">
        <f t="shared" ca="1" si="6"/>
        <v>1261.9653916081938</v>
      </c>
      <c r="BE24">
        <f t="shared" ca="1" si="6"/>
        <v>1327.1305413473522</v>
      </c>
      <c r="BF24">
        <f t="shared" ca="1" si="6"/>
        <v>1141.0772510686097</v>
      </c>
      <c r="BG24">
        <f t="shared" ca="1" si="6"/>
        <v>1200</v>
      </c>
      <c r="BH24">
        <f t="shared" ca="1" si="6"/>
        <v>1261.9653916081938</v>
      </c>
      <c r="BI24">
        <f t="shared" ca="1" si="6"/>
        <v>1261.9653916081941</v>
      </c>
      <c r="BJ24">
        <f t="shared" ca="1" si="6"/>
        <v>1141.0772510686099</v>
      </c>
      <c r="BK24">
        <f t="shared" ca="1" si="6"/>
        <v>1200</v>
      </c>
      <c r="BL24">
        <f t="shared" ca="1" si="6"/>
        <v>1141.0772510686099</v>
      </c>
      <c r="BM24">
        <f t="shared" ca="1" si="6"/>
        <v>1200</v>
      </c>
      <c r="BN24">
        <f t="shared" ca="1" si="6"/>
        <v>1395.6606777721715</v>
      </c>
      <c r="BO24">
        <f t="shared" ca="1" si="6"/>
        <v>1085.0477440885795</v>
      </c>
      <c r="BP24">
        <f t="shared" ca="1" si="5"/>
        <v>1200</v>
      </c>
      <c r="BQ24">
        <f t="shared" ca="1" si="3"/>
        <v>1200</v>
      </c>
      <c r="BR24">
        <f t="shared" ca="1" si="3"/>
        <v>1261.9653916081941</v>
      </c>
      <c r="BS24">
        <f t="shared" ca="1" si="3"/>
        <v>1199.9999999999995</v>
      </c>
      <c r="BT24">
        <f t="shared" ca="1" si="3"/>
        <v>1199.9999999999998</v>
      </c>
      <c r="BU24">
        <f t="shared" ca="1" si="3"/>
        <v>1141.0772510686097</v>
      </c>
      <c r="BV24">
        <f t="shared" ca="1" si="3"/>
        <v>1261.9653916081941</v>
      </c>
      <c r="BW24">
        <f t="shared" ca="1" si="3"/>
        <v>1085.0477440885795</v>
      </c>
      <c r="BX24">
        <f t="shared" ca="1" si="3"/>
        <v>1200</v>
      </c>
      <c r="BY24">
        <f t="shared" ca="1" si="3"/>
        <v>1085.0477440885795</v>
      </c>
      <c r="BZ24">
        <f t="shared" ca="1" si="3"/>
        <v>1261.9653916081941</v>
      </c>
      <c r="CA24">
        <f t="shared" ref="CA24:CY34" ca="1" si="7">CA23*(IF(RAND()&lt;$B$11,$B$9,$B$10))</f>
        <v>1327.1305413473522</v>
      </c>
      <c r="CB24">
        <f t="shared" ca="1" si="7"/>
        <v>981.10717245976286</v>
      </c>
      <c r="CC24">
        <f t="shared" ca="1" si="7"/>
        <v>1327.1305413473522</v>
      </c>
      <c r="CD24">
        <f t="shared" ca="1" si="7"/>
        <v>1085.0477440885795</v>
      </c>
      <c r="CE24">
        <f t="shared" ca="1" si="7"/>
        <v>1261.9653916081938</v>
      </c>
      <c r="CF24">
        <f t="shared" ca="1" si="7"/>
        <v>1085.0477440885795</v>
      </c>
      <c r="CG24">
        <f t="shared" ca="1" si="7"/>
        <v>1200</v>
      </c>
      <c r="CH24">
        <f t="shared" ca="1" si="7"/>
        <v>1395.6606777721715</v>
      </c>
      <c r="CI24">
        <f t="shared" ca="1" si="7"/>
        <v>1200</v>
      </c>
      <c r="CJ24">
        <f t="shared" ca="1" si="7"/>
        <v>1200</v>
      </c>
      <c r="CK24">
        <f t="shared" ca="1" si="7"/>
        <v>1261.9653916081941</v>
      </c>
      <c r="CL24">
        <f t="shared" ca="1" si="7"/>
        <v>1200</v>
      </c>
      <c r="CM24">
        <f t="shared" ca="1" si="7"/>
        <v>1199.9999999999998</v>
      </c>
      <c r="CN24">
        <f t="shared" ca="1" si="7"/>
        <v>1261.9653916081941</v>
      </c>
      <c r="CO24">
        <f t="shared" ca="1" si="7"/>
        <v>1327.1305413473522</v>
      </c>
      <c r="CP24">
        <f t="shared" ca="1" si="7"/>
        <v>1327.1305413473522</v>
      </c>
      <c r="CQ24">
        <f t="shared" ca="1" si="7"/>
        <v>1327.1305413473522</v>
      </c>
      <c r="CR24">
        <f t="shared" ca="1" si="7"/>
        <v>1141.0772510686097</v>
      </c>
      <c r="CS24">
        <f t="shared" ca="1" si="7"/>
        <v>1085.0477440885795</v>
      </c>
      <c r="CT24">
        <f t="shared" ca="1" si="7"/>
        <v>1327.1305413473522</v>
      </c>
      <c r="CU24">
        <f t="shared" ca="1" si="7"/>
        <v>1200</v>
      </c>
      <c r="CV24">
        <f t="shared" ca="1" si="7"/>
        <v>1200</v>
      </c>
      <c r="CW24">
        <f t="shared" ca="1" si="7"/>
        <v>1327.1305413473522</v>
      </c>
      <c r="CX24">
        <f t="shared" ca="1" si="7"/>
        <v>1200</v>
      </c>
      <c r="CY24">
        <f t="shared" ca="1" si="7"/>
        <v>1141.0772510686097</v>
      </c>
    </row>
    <row r="25" spans="1:103">
      <c r="A25">
        <v>9</v>
      </c>
      <c r="B25">
        <v>9</v>
      </c>
      <c r="C25">
        <v>9</v>
      </c>
      <c r="D25">
        <f t="shared" ca="1" si="4"/>
        <v>1170.167809026693</v>
      </c>
      <c r="E25">
        <f t="shared" ca="1" si="4"/>
        <v>1112.7098890109644</v>
      </c>
      <c r="F25">
        <f t="shared" ca="1" si="4"/>
        <v>1170.1678090266932</v>
      </c>
      <c r="G25">
        <f t="shared" ca="1" si="4"/>
        <v>1230.5927311380613</v>
      </c>
      <c r="H25">
        <f t="shared" ca="1" si="4"/>
        <v>1294.1378648840339</v>
      </c>
      <c r="I25">
        <f t="shared" ca="1" si="4"/>
        <v>1112.7098890109644</v>
      </c>
      <c r="J25">
        <f t="shared" ca="1" si="4"/>
        <v>1360.9643312111432</v>
      </c>
      <c r="K25">
        <f t="shared" ca="1" si="4"/>
        <v>1170.1678090266932</v>
      </c>
      <c r="L25">
        <f t="shared" ca="1" si="4"/>
        <v>1230.5927311380613</v>
      </c>
      <c r="M25">
        <f t="shared" ca="1" si="4"/>
        <v>1170.167809026693</v>
      </c>
      <c r="N25">
        <f t="shared" ca="1" si="4"/>
        <v>1230.5927311380613</v>
      </c>
      <c r="O25">
        <f t="shared" ca="1" si="4"/>
        <v>1230.5927311380613</v>
      </c>
      <c r="P25">
        <f t="shared" ca="1" si="4"/>
        <v>1294.1378648840339</v>
      </c>
      <c r="Q25">
        <f t="shared" ca="1" si="4"/>
        <v>1360.9643312111432</v>
      </c>
      <c r="R25">
        <f t="shared" ca="1" si="4"/>
        <v>1112.7098890109644</v>
      </c>
      <c r="S25">
        <f t="shared" ca="1" si="4"/>
        <v>1170.1678090266935</v>
      </c>
      <c r="T25">
        <f t="shared" ca="1" si="6"/>
        <v>1170.1678090266935</v>
      </c>
      <c r="U25">
        <f t="shared" ca="1" si="6"/>
        <v>1230.5927311380613</v>
      </c>
      <c r="V25">
        <f t="shared" ca="1" si="6"/>
        <v>1170.167809026693</v>
      </c>
      <c r="W25">
        <f t="shared" ca="1" si="6"/>
        <v>1360.9643312111432</v>
      </c>
      <c r="X25">
        <f t="shared" ca="1" si="6"/>
        <v>1058.0732844912411</v>
      </c>
      <c r="Y25">
        <f t="shared" ca="1" si="6"/>
        <v>1230.5927311380613</v>
      </c>
      <c r="Z25">
        <f t="shared" ca="1" si="6"/>
        <v>1294.1378648840339</v>
      </c>
      <c r="AA25">
        <f t="shared" ca="1" si="6"/>
        <v>1170.1678090266932</v>
      </c>
      <c r="AB25">
        <f t="shared" ca="1" si="6"/>
        <v>1230.5927311380613</v>
      </c>
      <c r="AC25">
        <f t="shared" ca="1" si="6"/>
        <v>1170.1678090266932</v>
      </c>
      <c r="AD25">
        <f t="shared" ca="1" si="6"/>
        <v>1294.1378648840339</v>
      </c>
      <c r="AE25">
        <f t="shared" ca="1" si="6"/>
        <v>1058.0732844912411</v>
      </c>
      <c r="AF25">
        <f t="shared" ca="1" si="6"/>
        <v>1360.9643312111432</v>
      </c>
      <c r="AG25">
        <f t="shared" ca="1" si="6"/>
        <v>1230.5927311380613</v>
      </c>
      <c r="AH25">
        <f t="shared" ca="1" si="6"/>
        <v>1170.167809026693</v>
      </c>
      <c r="AI25">
        <f t="shared" ca="1" si="6"/>
        <v>1170.1678090266935</v>
      </c>
      <c r="AJ25">
        <f t="shared" ca="1" si="6"/>
        <v>1170.1678090266932</v>
      </c>
      <c r="AK25">
        <f t="shared" ca="1" si="6"/>
        <v>1170.167809026693</v>
      </c>
      <c r="AL25">
        <f t="shared" ca="1" si="6"/>
        <v>1230.5927311380613</v>
      </c>
      <c r="AM25">
        <f t="shared" ca="1" si="6"/>
        <v>1294.1378648840334</v>
      </c>
      <c r="AN25">
        <f t="shared" ca="1" si="6"/>
        <v>1360.9643312111432</v>
      </c>
      <c r="AO25">
        <f t="shared" ca="1" si="6"/>
        <v>1058.0732844912411</v>
      </c>
      <c r="AP25">
        <f t="shared" ca="1" si="6"/>
        <v>1112.7098890109644</v>
      </c>
      <c r="AQ25">
        <f t="shared" ca="1" si="6"/>
        <v>1170.1678090266935</v>
      </c>
      <c r="AR25">
        <f t="shared" ca="1" si="6"/>
        <v>1112.7098890109644</v>
      </c>
      <c r="AS25">
        <f t="shared" ca="1" si="6"/>
        <v>1112.7098890109644</v>
      </c>
      <c r="AT25">
        <f t="shared" ca="1" si="6"/>
        <v>1170.167809026693</v>
      </c>
      <c r="AU25">
        <f t="shared" ca="1" si="6"/>
        <v>1230.5927311380613</v>
      </c>
      <c r="AV25">
        <f t="shared" ca="1" si="6"/>
        <v>1294.1378648840339</v>
      </c>
      <c r="AW25">
        <f t="shared" ca="1" si="6"/>
        <v>1230.5927311380608</v>
      </c>
      <c r="AX25">
        <f t="shared" ca="1" si="6"/>
        <v>1230.5927311380613</v>
      </c>
      <c r="AY25">
        <f t="shared" ca="1" si="6"/>
        <v>1112.7098890109644</v>
      </c>
      <c r="AZ25">
        <f t="shared" ca="1" si="6"/>
        <v>1360.9643312111432</v>
      </c>
      <c r="BA25">
        <f t="shared" ca="1" si="6"/>
        <v>1230.5927311380608</v>
      </c>
      <c r="BB25">
        <f t="shared" ca="1" si="6"/>
        <v>1170.1678090266932</v>
      </c>
      <c r="BC25">
        <f t="shared" ca="1" si="6"/>
        <v>1230.5927311380613</v>
      </c>
      <c r="BD25">
        <f t="shared" ca="1" si="6"/>
        <v>1294.1378648840337</v>
      </c>
      <c r="BE25">
        <f t="shared" ca="1" si="6"/>
        <v>1360.9643312111432</v>
      </c>
      <c r="BF25">
        <f t="shared" ca="1" si="6"/>
        <v>1112.7098890109644</v>
      </c>
      <c r="BG25">
        <f t="shared" ca="1" si="6"/>
        <v>1230.5927311380613</v>
      </c>
      <c r="BH25">
        <f t="shared" ca="1" si="6"/>
        <v>1294.1378648840337</v>
      </c>
      <c r="BI25">
        <f t="shared" ca="1" si="6"/>
        <v>1294.1378648840339</v>
      </c>
      <c r="BJ25">
        <f t="shared" ca="1" si="6"/>
        <v>1112.7098890109644</v>
      </c>
      <c r="BK25">
        <f t="shared" ca="1" si="6"/>
        <v>1230.5927311380613</v>
      </c>
      <c r="BL25">
        <f t="shared" ca="1" si="6"/>
        <v>1170.1678090266932</v>
      </c>
      <c r="BM25">
        <f t="shared" ca="1" si="6"/>
        <v>1230.5927311380613</v>
      </c>
      <c r="BN25">
        <f t="shared" ca="1" si="6"/>
        <v>1431.2415710013786</v>
      </c>
      <c r="BO25">
        <f t="shared" ca="1" si="6"/>
        <v>1112.7098890109644</v>
      </c>
      <c r="BP25">
        <f t="shared" ca="1" si="5"/>
        <v>1230.5927311380613</v>
      </c>
      <c r="BQ25">
        <f t="shared" ca="1" si="5"/>
        <v>1230.5927311380613</v>
      </c>
      <c r="BR25">
        <f t="shared" ca="1" si="5"/>
        <v>1230.5927311380613</v>
      </c>
      <c r="BS25">
        <f t="shared" ca="1" si="5"/>
        <v>1170.167809026693</v>
      </c>
      <c r="BT25">
        <f t="shared" ca="1" si="5"/>
        <v>1230.592731138061</v>
      </c>
      <c r="BU25">
        <f t="shared" ca="1" si="5"/>
        <v>1112.7098890109644</v>
      </c>
      <c r="BV25">
        <f t="shared" ca="1" si="5"/>
        <v>1230.5927311380613</v>
      </c>
      <c r="BW25">
        <f t="shared" ca="1" si="5"/>
        <v>1058.0732844912411</v>
      </c>
      <c r="BX25">
        <f t="shared" ca="1" si="5"/>
        <v>1170.1678090266935</v>
      </c>
      <c r="BY25">
        <f t="shared" ca="1" si="5"/>
        <v>1112.7098890109644</v>
      </c>
      <c r="BZ25">
        <f t="shared" ca="1" si="5"/>
        <v>1294.1378648840339</v>
      </c>
      <c r="CA25">
        <f t="shared" ca="1" si="7"/>
        <v>1360.9643312111432</v>
      </c>
      <c r="CB25">
        <f t="shared" ca="1" si="7"/>
        <v>1006.1194624136671</v>
      </c>
      <c r="CC25">
        <f t="shared" ca="1" si="7"/>
        <v>1294.1378648840339</v>
      </c>
      <c r="CD25">
        <f t="shared" ca="1" si="7"/>
        <v>1112.7098890109644</v>
      </c>
      <c r="CE25">
        <f t="shared" ca="1" si="7"/>
        <v>1294.1378648840337</v>
      </c>
      <c r="CF25">
        <f t="shared" ca="1" si="7"/>
        <v>1058.0732844912411</v>
      </c>
      <c r="CG25">
        <f t="shared" ca="1" si="7"/>
        <v>1230.5927311380613</v>
      </c>
      <c r="CH25">
        <f t="shared" ca="1" si="7"/>
        <v>1431.2415710013786</v>
      </c>
      <c r="CI25">
        <f t="shared" ca="1" si="7"/>
        <v>1230.5927311380613</v>
      </c>
      <c r="CJ25">
        <f t="shared" ca="1" si="7"/>
        <v>1230.5927311380613</v>
      </c>
      <c r="CK25">
        <f t="shared" ca="1" si="7"/>
        <v>1230.5927311380613</v>
      </c>
      <c r="CL25">
        <f t="shared" ca="1" si="7"/>
        <v>1230.5927311380613</v>
      </c>
      <c r="CM25">
        <f t="shared" ca="1" si="7"/>
        <v>1230.592731138061</v>
      </c>
      <c r="CN25">
        <f t="shared" ca="1" si="7"/>
        <v>1294.1378648840339</v>
      </c>
      <c r="CO25">
        <f t="shared" ca="1" si="7"/>
        <v>1294.1378648840339</v>
      </c>
      <c r="CP25">
        <f t="shared" ca="1" si="7"/>
        <v>1360.9643312111432</v>
      </c>
      <c r="CQ25">
        <f t="shared" ca="1" si="7"/>
        <v>1294.1378648840339</v>
      </c>
      <c r="CR25">
        <f t="shared" ca="1" si="7"/>
        <v>1112.7098890109644</v>
      </c>
      <c r="CS25">
        <f t="shared" ca="1" si="7"/>
        <v>1112.7098890109644</v>
      </c>
      <c r="CT25">
        <f t="shared" ca="1" si="7"/>
        <v>1360.9643312111432</v>
      </c>
      <c r="CU25">
        <f t="shared" ca="1" si="7"/>
        <v>1170.1678090266935</v>
      </c>
      <c r="CV25">
        <f t="shared" ca="1" si="7"/>
        <v>1170.1678090266935</v>
      </c>
      <c r="CW25">
        <f t="shared" ca="1" si="7"/>
        <v>1294.1378648840339</v>
      </c>
      <c r="CX25">
        <f t="shared" ca="1" si="7"/>
        <v>1170.1678090266935</v>
      </c>
      <c r="CY25">
        <f t="shared" ca="1" si="7"/>
        <v>1170.167809026693</v>
      </c>
    </row>
    <row r="26" spans="1:103">
      <c r="A26">
        <v>10</v>
      </c>
      <c r="B26">
        <v>10</v>
      </c>
      <c r="C26">
        <v>10</v>
      </c>
      <c r="D26">
        <f t="shared" ca="1" si="4"/>
        <v>1141.0772510686097</v>
      </c>
      <c r="E26">
        <f t="shared" ca="1" si="4"/>
        <v>1085.0477440885795</v>
      </c>
      <c r="F26">
        <f t="shared" ca="1" si="4"/>
        <v>1141.0772510686097</v>
      </c>
      <c r="G26">
        <f t="shared" ca="1" si="4"/>
        <v>1261.9653916081941</v>
      </c>
      <c r="H26">
        <f t="shared" ca="1" si="4"/>
        <v>1261.9653916081941</v>
      </c>
      <c r="I26">
        <f t="shared" ca="1" si="4"/>
        <v>1085.0477440885795</v>
      </c>
      <c r="J26">
        <f t="shared" ca="1" si="4"/>
        <v>1395.6606777721715</v>
      </c>
      <c r="K26">
        <f t="shared" ca="1" si="4"/>
        <v>1199.9999999999998</v>
      </c>
      <c r="L26">
        <f t="shared" ca="1" si="4"/>
        <v>1261.9653916081941</v>
      </c>
      <c r="M26">
        <f t="shared" ca="1" si="4"/>
        <v>1199.9999999999995</v>
      </c>
      <c r="N26">
        <f t="shared" ca="1" si="4"/>
        <v>1200</v>
      </c>
      <c r="O26">
        <f t="shared" ca="1" si="4"/>
        <v>1200</v>
      </c>
      <c r="P26">
        <f t="shared" ca="1" si="4"/>
        <v>1261.9653916081941</v>
      </c>
      <c r="Q26">
        <f t="shared" ca="1" si="4"/>
        <v>1327.1305413473522</v>
      </c>
      <c r="R26">
        <f t="shared" ca="1" si="4"/>
        <v>1141.0772510686097</v>
      </c>
      <c r="S26">
        <f t="shared" ca="1" si="4"/>
        <v>1200</v>
      </c>
      <c r="T26">
        <f t="shared" ca="1" si="6"/>
        <v>1200</v>
      </c>
      <c r="U26">
        <f t="shared" ca="1" si="6"/>
        <v>1261.9653916081941</v>
      </c>
      <c r="V26">
        <f t="shared" ca="1" si="6"/>
        <v>1199.9999999999995</v>
      </c>
      <c r="W26">
        <f t="shared" ca="1" si="6"/>
        <v>1395.6606777721715</v>
      </c>
      <c r="X26">
        <f t="shared" ca="1" si="6"/>
        <v>1031.7694142523274</v>
      </c>
      <c r="Y26">
        <f t="shared" ca="1" si="6"/>
        <v>1200</v>
      </c>
      <c r="Z26">
        <f t="shared" ca="1" si="6"/>
        <v>1327.1305413473522</v>
      </c>
      <c r="AA26">
        <f t="shared" ca="1" si="6"/>
        <v>1141.0772510686097</v>
      </c>
      <c r="AB26">
        <f t="shared" ca="1" si="6"/>
        <v>1200</v>
      </c>
      <c r="AC26">
        <f t="shared" ca="1" si="6"/>
        <v>1199.9999999999998</v>
      </c>
      <c r="AD26">
        <f t="shared" ca="1" si="6"/>
        <v>1261.9653916081941</v>
      </c>
      <c r="AE26">
        <f t="shared" ca="1" si="6"/>
        <v>1031.7694142523274</v>
      </c>
      <c r="AF26">
        <f t="shared" ca="1" si="6"/>
        <v>1327.1305413473522</v>
      </c>
      <c r="AG26">
        <f t="shared" ca="1" si="6"/>
        <v>1200</v>
      </c>
      <c r="AH26">
        <f t="shared" ca="1" si="6"/>
        <v>1141.0772510686097</v>
      </c>
      <c r="AI26">
        <f t="shared" ref="AI26:BO33" ca="1" si="8">AI25*(IF(RAND()&lt;$B$11,$B$9,$B$10))</f>
        <v>1200</v>
      </c>
      <c r="AJ26">
        <f t="shared" ca="1" si="8"/>
        <v>1141.0772510686097</v>
      </c>
      <c r="AK26">
        <f t="shared" ca="1" si="8"/>
        <v>1141.0772510686097</v>
      </c>
      <c r="AL26">
        <f t="shared" ca="1" si="8"/>
        <v>1200</v>
      </c>
      <c r="AM26">
        <f t="shared" ca="1" si="8"/>
        <v>1261.9653916081936</v>
      </c>
      <c r="AN26">
        <f t="shared" ca="1" si="8"/>
        <v>1395.6606777721715</v>
      </c>
      <c r="AO26">
        <f t="shared" ca="1" si="8"/>
        <v>1031.7694142523274</v>
      </c>
      <c r="AP26">
        <f t="shared" ca="1" si="8"/>
        <v>1085.0477440885795</v>
      </c>
      <c r="AQ26">
        <f t="shared" ca="1" si="8"/>
        <v>1141.0772510686099</v>
      </c>
      <c r="AR26">
        <f t="shared" ca="1" si="8"/>
        <v>1085.0477440885795</v>
      </c>
      <c r="AS26">
        <f t="shared" ca="1" si="8"/>
        <v>1141.0772510686097</v>
      </c>
      <c r="AT26">
        <f t="shared" ca="1" si="8"/>
        <v>1199.9999999999995</v>
      </c>
      <c r="AU26">
        <f t="shared" ca="1" si="8"/>
        <v>1200</v>
      </c>
      <c r="AV26">
        <f t="shared" ca="1" si="8"/>
        <v>1327.1305413473522</v>
      </c>
      <c r="AW26">
        <f t="shared" ca="1" si="8"/>
        <v>1199.9999999999995</v>
      </c>
      <c r="AX26">
        <f t="shared" ca="1" si="8"/>
        <v>1200</v>
      </c>
      <c r="AY26">
        <f t="shared" ca="1" si="8"/>
        <v>1085.0477440885795</v>
      </c>
      <c r="AZ26">
        <f t="shared" ca="1" si="8"/>
        <v>1327.1305413473522</v>
      </c>
      <c r="BA26">
        <f t="shared" ca="1" si="8"/>
        <v>1199.9999999999995</v>
      </c>
      <c r="BB26">
        <f t="shared" ca="1" si="8"/>
        <v>1141.0772510686097</v>
      </c>
      <c r="BC26">
        <f t="shared" ca="1" si="8"/>
        <v>1200</v>
      </c>
      <c r="BD26">
        <f t="shared" ca="1" si="8"/>
        <v>1261.9653916081938</v>
      </c>
      <c r="BE26">
        <f t="shared" ca="1" si="8"/>
        <v>1395.6606777721715</v>
      </c>
      <c r="BF26">
        <f t="shared" ca="1" si="8"/>
        <v>1085.0477440885795</v>
      </c>
      <c r="BG26">
        <f t="shared" ca="1" si="8"/>
        <v>1200</v>
      </c>
      <c r="BH26">
        <f t="shared" ca="1" si="8"/>
        <v>1261.9653916081938</v>
      </c>
      <c r="BI26">
        <f t="shared" ca="1" si="8"/>
        <v>1327.1305413473522</v>
      </c>
      <c r="BJ26">
        <f t="shared" ca="1" si="8"/>
        <v>1085.0477440885795</v>
      </c>
      <c r="BK26">
        <f t="shared" ca="1" si="8"/>
        <v>1261.9653916081941</v>
      </c>
      <c r="BL26">
        <f t="shared" ca="1" si="8"/>
        <v>1141.0772510686097</v>
      </c>
      <c r="BM26">
        <f t="shared" ca="1" si="8"/>
        <v>1200</v>
      </c>
      <c r="BN26">
        <f t="shared" ca="1" si="8"/>
        <v>1395.6606777721715</v>
      </c>
      <c r="BO26">
        <f t="shared" ca="1" si="8"/>
        <v>1141.0772510686097</v>
      </c>
      <c r="BP26">
        <f t="shared" ca="1" si="5"/>
        <v>1261.9653916081941</v>
      </c>
      <c r="BQ26">
        <f t="shared" ca="1" si="5"/>
        <v>1261.9653916081941</v>
      </c>
      <c r="BR26">
        <f t="shared" ca="1" si="5"/>
        <v>1261.9653916081941</v>
      </c>
      <c r="BS26">
        <f t="shared" ca="1" si="5"/>
        <v>1141.0772510686097</v>
      </c>
      <c r="BT26">
        <f t="shared" ca="1" si="5"/>
        <v>1199.9999999999998</v>
      </c>
      <c r="BU26">
        <f t="shared" ca="1" si="5"/>
        <v>1085.0477440885795</v>
      </c>
      <c r="BV26">
        <f t="shared" ca="1" si="5"/>
        <v>1200</v>
      </c>
      <c r="BW26">
        <f t="shared" ca="1" si="5"/>
        <v>1085.0477440885795</v>
      </c>
      <c r="BX26">
        <f t="shared" ca="1" si="5"/>
        <v>1200</v>
      </c>
      <c r="BY26">
        <f t="shared" ca="1" si="5"/>
        <v>1141.0772510686097</v>
      </c>
      <c r="BZ26">
        <f t="shared" ca="1" si="5"/>
        <v>1327.1305413473522</v>
      </c>
      <c r="CA26">
        <f t="shared" ca="1" si="7"/>
        <v>1327.1305413473522</v>
      </c>
      <c r="CB26">
        <f t="shared" ca="1" si="7"/>
        <v>1031.7694142523271</v>
      </c>
      <c r="CC26">
        <f t="shared" ca="1" si="7"/>
        <v>1327.1305413473522</v>
      </c>
      <c r="CD26">
        <f t="shared" ca="1" si="7"/>
        <v>1141.0772510686097</v>
      </c>
      <c r="CE26">
        <f t="shared" ca="1" si="7"/>
        <v>1327.1305413473519</v>
      </c>
      <c r="CF26">
        <f t="shared" ca="1" si="7"/>
        <v>1085.0477440885795</v>
      </c>
      <c r="CG26">
        <f t="shared" ca="1" si="7"/>
        <v>1261.9653916081941</v>
      </c>
      <c r="CH26">
        <f t="shared" ca="1" si="7"/>
        <v>1467.7295614807633</v>
      </c>
      <c r="CI26">
        <f t="shared" ca="1" si="7"/>
        <v>1200</v>
      </c>
      <c r="CJ26">
        <f t="shared" ca="1" si="7"/>
        <v>1261.9653916081941</v>
      </c>
      <c r="CK26">
        <f t="shared" ca="1" si="7"/>
        <v>1261.9653916081941</v>
      </c>
      <c r="CL26">
        <f t="shared" ca="1" si="7"/>
        <v>1200</v>
      </c>
      <c r="CM26">
        <f t="shared" ca="1" si="7"/>
        <v>1261.9653916081938</v>
      </c>
      <c r="CN26">
        <f t="shared" ca="1" si="7"/>
        <v>1327.1305413473522</v>
      </c>
      <c r="CO26">
        <f t="shared" ca="1" si="7"/>
        <v>1327.1305413473522</v>
      </c>
      <c r="CP26">
        <f t="shared" ca="1" si="7"/>
        <v>1395.6606777721715</v>
      </c>
      <c r="CQ26">
        <f t="shared" ca="1" si="7"/>
        <v>1327.1305413473522</v>
      </c>
      <c r="CR26">
        <f t="shared" ca="1" si="7"/>
        <v>1141.0772510686097</v>
      </c>
      <c r="CS26">
        <f t="shared" ca="1" si="7"/>
        <v>1141.0772510686097</v>
      </c>
      <c r="CT26">
        <f t="shared" ca="1" si="7"/>
        <v>1395.6606777721715</v>
      </c>
      <c r="CU26">
        <f t="shared" ca="1" si="7"/>
        <v>1200</v>
      </c>
      <c r="CV26">
        <f t="shared" ca="1" si="7"/>
        <v>1200</v>
      </c>
      <c r="CW26">
        <f t="shared" ca="1" si="7"/>
        <v>1327.1305413473522</v>
      </c>
      <c r="CX26">
        <f t="shared" ca="1" si="7"/>
        <v>1141.0772510686099</v>
      </c>
      <c r="CY26">
        <f t="shared" ca="1" si="7"/>
        <v>1199.9999999999995</v>
      </c>
    </row>
    <row r="27" spans="1:103">
      <c r="A27">
        <v>11</v>
      </c>
      <c r="B27">
        <v>11</v>
      </c>
      <c r="C27">
        <v>11</v>
      </c>
      <c r="D27">
        <f t="shared" ca="1" si="4"/>
        <v>1170.167809026693</v>
      </c>
      <c r="E27">
        <f t="shared" ca="1" si="4"/>
        <v>1058.0732844912411</v>
      </c>
      <c r="F27">
        <f t="shared" ca="1" si="4"/>
        <v>1170.167809026693</v>
      </c>
      <c r="G27">
        <f t="shared" ca="1" si="4"/>
        <v>1294.1378648840339</v>
      </c>
      <c r="H27">
        <f t="shared" ca="1" si="4"/>
        <v>1294.1378648840339</v>
      </c>
      <c r="I27">
        <f t="shared" ca="1" si="4"/>
        <v>1112.7098890109644</v>
      </c>
      <c r="J27">
        <f t="shared" ca="1" si="4"/>
        <v>1431.2415710013786</v>
      </c>
      <c r="K27">
        <f t="shared" ca="1" si="4"/>
        <v>1230.592731138061</v>
      </c>
      <c r="L27">
        <f t="shared" ca="1" si="4"/>
        <v>1230.5927311380613</v>
      </c>
      <c r="M27">
        <f t="shared" ca="1" si="4"/>
        <v>1170.167809026693</v>
      </c>
      <c r="N27">
        <f t="shared" ca="1" si="4"/>
        <v>1230.5927311380613</v>
      </c>
      <c r="O27">
        <f t="shared" ca="1" si="4"/>
        <v>1170.1678090266935</v>
      </c>
      <c r="P27">
        <f t="shared" ca="1" si="4"/>
        <v>1294.1378648840339</v>
      </c>
      <c r="Q27">
        <f t="shared" ca="1" si="4"/>
        <v>1294.1378648840339</v>
      </c>
      <c r="R27">
        <f t="shared" ca="1" si="4"/>
        <v>1170.167809026693</v>
      </c>
      <c r="S27">
        <f t="shared" ca="1" si="4"/>
        <v>1230.5927311380613</v>
      </c>
      <c r="T27">
        <f t="shared" ref="T27:AI42" ca="1" si="9">T26*(IF(RAND()&lt;$B$11,$B$9,$B$10))</f>
        <v>1230.5927311380613</v>
      </c>
      <c r="U27">
        <f t="shared" ca="1" si="9"/>
        <v>1294.1378648840339</v>
      </c>
      <c r="V27">
        <f t="shared" ca="1" si="9"/>
        <v>1230.5927311380608</v>
      </c>
      <c r="W27">
        <f t="shared" ca="1" si="9"/>
        <v>1360.9643312111432</v>
      </c>
      <c r="X27">
        <f t="shared" ca="1" si="9"/>
        <v>1006.1194624136672</v>
      </c>
      <c r="Y27">
        <f t="shared" ca="1" si="9"/>
        <v>1170.1678090266935</v>
      </c>
      <c r="Z27">
        <f t="shared" ca="1" si="9"/>
        <v>1360.9643312111432</v>
      </c>
      <c r="AA27">
        <f t="shared" ca="1" si="9"/>
        <v>1170.167809026693</v>
      </c>
      <c r="AB27">
        <f t="shared" ca="1" si="9"/>
        <v>1230.5927311380613</v>
      </c>
      <c r="AC27">
        <f t="shared" ca="1" si="9"/>
        <v>1230.592731138061</v>
      </c>
      <c r="AD27">
        <f t="shared" ca="1" si="9"/>
        <v>1230.5927311380613</v>
      </c>
      <c r="AE27">
        <f t="shared" ca="1" si="9"/>
        <v>1006.1194624136672</v>
      </c>
      <c r="AF27">
        <f t="shared" ca="1" si="9"/>
        <v>1360.9643312111432</v>
      </c>
      <c r="AG27">
        <f t="shared" ca="1" si="9"/>
        <v>1230.5927311380613</v>
      </c>
      <c r="AH27">
        <f t="shared" ca="1" si="9"/>
        <v>1112.7098890109644</v>
      </c>
      <c r="AI27">
        <f t="shared" ca="1" si="8"/>
        <v>1170.1678090266935</v>
      </c>
      <c r="AJ27">
        <f t="shared" ca="1" si="8"/>
        <v>1112.7098890109644</v>
      </c>
      <c r="AK27">
        <f t="shared" ca="1" si="8"/>
        <v>1112.7098890109644</v>
      </c>
      <c r="AL27">
        <f t="shared" ca="1" si="8"/>
        <v>1170.1678090266935</v>
      </c>
      <c r="AM27">
        <f t="shared" ca="1" si="8"/>
        <v>1230.5927311380608</v>
      </c>
      <c r="AN27">
        <f t="shared" ca="1" si="8"/>
        <v>1360.9643312111432</v>
      </c>
      <c r="AO27">
        <f t="shared" ca="1" si="8"/>
        <v>1058.0732844912411</v>
      </c>
      <c r="AP27">
        <f t="shared" ca="1" si="8"/>
        <v>1112.7098890109644</v>
      </c>
      <c r="AQ27">
        <f t="shared" ca="1" si="8"/>
        <v>1170.1678090266932</v>
      </c>
      <c r="AR27">
        <f t="shared" ca="1" si="8"/>
        <v>1058.0732844912411</v>
      </c>
      <c r="AS27">
        <f t="shared" ca="1" si="8"/>
        <v>1112.7098890109644</v>
      </c>
      <c r="AT27">
        <f t="shared" ca="1" si="8"/>
        <v>1230.5927311380608</v>
      </c>
      <c r="AU27">
        <f t="shared" ca="1" si="8"/>
        <v>1170.1678090266935</v>
      </c>
      <c r="AV27">
        <f t="shared" ca="1" si="8"/>
        <v>1294.1378648840339</v>
      </c>
      <c r="AW27">
        <f t="shared" ca="1" si="8"/>
        <v>1230.5927311380608</v>
      </c>
      <c r="AX27">
        <f t="shared" ca="1" si="8"/>
        <v>1230.5927311380613</v>
      </c>
      <c r="AY27">
        <f t="shared" ca="1" si="8"/>
        <v>1058.0732844912411</v>
      </c>
      <c r="AZ27">
        <f t="shared" ca="1" si="8"/>
        <v>1294.1378648840339</v>
      </c>
      <c r="BA27">
        <f t="shared" ca="1" si="8"/>
        <v>1170.167809026693</v>
      </c>
      <c r="BB27">
        <f t="shared" ca="1" si="8"/>
        <v>1170.167809026693</v>
      </c>
      <c r="BC27">
        <f t="shared" ca="1" si="8"/>
        <v>1230.5927311380613</v>
      </c>
      <c r="BD27">
        <f t="shared" ca="1" si="8"/>
        <v>1230.592731138061</v>
      </c>
      <c r="BE27">
        <f t="shared" ca="1" si="8"/>
        <v>1360.9643312111432</v>
      </c>
      <c r="BF27">
        <f t="shared" ca="1" si="8"/>
        <v>1058.0732844912411</v>
      </c>
      <c r="BG27">
        <f t="shared" ca="1" si="8"/>
        <v>1170.1678090266935</v>
      </c>
      <c r="BH27">
        <f t="shared" ca="1" si="8"/>
        <v>1294.1378648840337</v>
      </c>
      <c r="BI27">
        <f t="shared" ca="1" si="8"/>
        <v>1294.1378648840339</v>
      </c>
      <c r="BJ27">
        <f t="shared" ca="1" si="8"/>
        <v>1058.0732844912411</v>
      </c>
      <c r="BK27">
        <f t="shared" ca="1" si="8"/>
        <v>1294.1378648840339</v>
      </c>
      <c r="BL27">
        <f t="shared" ca="1" si="8"/>
        <v>1170.167809026693</v>
      </c>
      <c r="BM27">
        <f t="shared" ca="1" si="8"/>
        <v>1170.1678090266935</v>
      </c>
      <c r="BN27">
        <f t="shared" ca="1" si="8"/>
        <v>1360.9643312111432</v>
      </c>
      <c r="BO27">
        <f t="shared" ca="1" si="8"/>
        <v>1112.7098890109644</v>
      </c>
      <c r="BP27">
        <f t="shared" ca="1" si="5"/>
        <v>1294.1378648840339</v>
      </c>
      <c r="BQ27">
        <f t="shared" ca="1" si="5"/>
        <v>1230.5927311380613</v>
      </c>
      <c r="BR27">
        <f t="shared" ca="1" si="5"/>
        <v>1294.1378648840339</v>
      </c>
      <c r="BS27">
        <f t="shared" ca="1" si="5"/>
        <v>1170.167809026693</v>
      </c>
      <c r="BT27">
        <f t="shared" ca="1" si="5"/>
        <v>1170.1678090266932</v>
      </c>
      <c r="BU27">
        <f t="shared" ca="1" si="5"/>
        <v>1112.7098890109644</v>
      </c>
      <c r="BV27">
        <f t="shared" ca="1" si="5"/>
        <v>1170.1678090266935</v>
      </c>
      <c r="BW27">
        <f t="shared" ca="1" si="5"/>
        <v>1058.0732844912411</v>
      </c>
      <c r="BX27">
        <f t="shared" ca="1" si="5"/>
        <v>1230.5927311380613</v>
      </c>
      <c r="BY27">
        <f t="shared" ca="1" si="5"/>
        <v>1170.167809026693</v>
      </c>
      <c r="BZ27">
        <f t="shared" ca="1" si="5"/>
        <v>1294.1378648840339</v>
      </c>
      <c r="CA27">
        <f t="shared" ca="1" si="7"/>
        <v>1360.9643312111432</v>
      </c>
      <c r="CB27">
        <f t="shared" ca="1" si="7"/>
        <v>1006.119462413667</v>
      </c>
      <c r="CC27">
        <f t="shared" ca="1" si="7"/>
        <v>1360.9643312111432</v>
      </c>
      <c r="CD27">
        <f t="shared" ca="1" si="7"/>
        <v>1112.7098890109644</v>
      </c>
      <c r="CE27">
        <f t="shared" ca="1" si="7"/>
        <v>1360.964331211143</v>
      </c>
      <c r="CF27">
        <f t="shared" ca="1" si="7"/>
        <v>1112.7098890109644</v>
      </c>
      <c r="CG27">
        <f t="shared" ca="1" si="7"/>
        <v>1230.5927311380613</v>
      </c>
      <c r="CH27">
        <f t="shared" ca="1" si="7"/>
        <v>1431.2415710013786</v>
      </c>
      <c r="CI27">
        <f t="shared" ca="1" si="7"/>
        <v>1170.1678090266935</v>
      </c>
      <c r="CJ27">
        <f t="shared" ca="1" si="7"/>
        <v>1230.5927311380613</v>
      </c>
      <c r="CK27">
        <f t="shared" ca="1" si="7"/>
        <v>1294.1378648840339</v>
      </c>
      <c r="CL27">
        <f t="shared" ca="1" si="7"/>
        <v>1170.1678090266935</v>
      </c>
      <c r="CM27">
        <f t="shared" ca="1" si="7"/>
        <v>1294.1378648840337</v>
      </c>
      <c r="CN27">
        <f t="shared" ca="1" si="7"/>
        <v>1360.9643312111432</v>
      </c>
      <c r="CO27">
        <f t="shared" ca="1" si="7"/>
        <v>1360.9643312111432</v>
      </c>
      <c r="CP27">
        <f t="shared" ca="1" si="7"/>
        <v>1431.2415710013786</v>
      </c>
      <c r="CQ27">
        <f t="shared" ca="1" si="7"/>
        <v>1294.1378648840339</v>
      </c>
      <c r="CR27">
        <f t="shared" ca="1" si="7"/>
        <v>1170.167809026693</v>
      </c>
      <c r="CS27">
        <f t="shared" ca="1" si="7"/>
        <v>1112.7098890109644</v>
      </c>
      <c r="CT27">
        <f t="shared" ca="1" si="7"/>
        <v>1360.9643312111432</v>
      </c>
      <c r="CU27">
        <f t="shared" ca="1" si="7"/>
        <v>1230.5927311380613</v>
      </c>
      <c r="CV27">
        <f t="shared" ca="1" si="7"/>
        <v>1170.1678090266935</v>
      </c>
      <c r="CW27">
        <f t="shared" ca="1" si="7"/>
        <v>1294.1378648840339</v>
      </c>
      <c r="CX27">
        <f t="shared" ca="1" si="7"/>
        <v>1170.1678090266932</v>
      </c>
      <c r="CY27">
        <f t="shared" ca="1" si="7"/>
        <v>1170.167809026693</v>
      </c>
    </row>
    <row r="28" spans="1:103">
      <c r="A28">
        <v>12</v>
      </c>
      <c r="B28">
        <v>12</v>
      </c>
      <c r="C28">
        <v>12</v>
      </c>
      <c r="D28">
        <f t="shared" ca="1" si="4"/>
        <v>1199.9999999999995</v>
      </c>
      <c r="E28">
        <f t="shared" ca="1" si="4"/>
        <v>1085.0477440885795</v>
      </c>
      <c r="F28">
        <f t="shared" ca="1" si="4"/>
        <v>1141.0772510686097</v>
      </c>
      <c r="G28">
        <f t="shared" ca="1" si="4"/>
        <v>1327.1305413473522</v>
      </c>
      <c r="H28">
        <f t="shared" ca="1" si="4"/>
        <v>1327.1305413473522</v>
      </c>
      <c r="I28">
        <f t="shared" ca="1" si="4"/>
        <v>1085.0477440885795</v>
      </c>
      <c r="J28">
        <f t="shared" ca="1" si="4"/>
        <v>1467.7295614807633</v>
      </c>
      <c r="K28">
        <f t="shared" ca="1" si="4"/>
        <v>1199.9999999999998</v>
      </c>
      <c r="L28">
        <f t="shared" ca="1" si="4"/>
        <v>1261.9653916081941</v>
      </c>
      <c r="M28">
        <f t="shared" ca="1" si="4"/>
        <v>1141.0772510686097</v>
      </c>
      <c r="N28">
        <f t="shared" ca="1" si="4"/>
        <v>1261.9653916081941</v>
      </c>
      <c r="O28">
        <f t="shared" ca="1" si="4"/>
        <v>1200</v>
      </c>
      <c r="P28">
        <f t="shared" ca="1" si="4"/>
        <v>1261.9653916081941</v>
      </c>
      <c r="Q28">
        <f t="shared" ca="1" si="4"/>
        <v>1261.9653916081941</v>
      </c>
      <c r="R28">
        <f t="shared" ca="1" si="4"/>
        <v>1199.9999999999995</v>
      </c>
      <c r="S28">
        <f t="shared" ca="1" si="4"/>
        <v>1261.9653916081941</v>
      </c>
      <c r="T28">
        <f t="shared" ca="1" si="9"/>
        <v>1261.9653916081941</v>
      </c>
      <c r="U28">
        <f t="shared" ca="1" si="9"/>
        <v>1261.9653916081941</v>
      </c>
      <c r="V28">
        <f t="shared" ca="1" si="9"/>
        <v>1261.9653916081936</v>
      </c>
      <c r="W28">
        <f t="shared" ca="1" si="9"/>
        <v>1327.1305413473522</v>
      </c>
      <c r="X28">
        <f t="shared" ca="1" si="9"/>
        <v>1031.7694142523274</v>
      </c>
      <c r="Y28">
        <f t="shared" ca="1" si="9"/>
        <v>1200</v>
      </c>
      <c r="Z28">
        <f t="shared" ca="1" si="9"/>
        <v>1395.6606777721715</v>
      </c>
      <c r="AA28">
        <f t="shared" ca="1" si="9"/>
        <v>1141.0772510686097</v>
      </c>
      <c r="AB28">
        <f t="shared" ca="1" si="9"/>
        <v>1200</v>
      </c>
      <c r="AC28">
        <f t="shared" ca="1" si="9"/>
        <v>1261.9653916081938</v>
      </c>
      <c r="AD28">
        <f t="shared" ca="1" si="9"/>
        <v>1200</v>
      </c>
      <c r="AE28">
        <f t="shared" ca="1" si="9"/>
        <v>1031.7694142523274</v>
      </c>
      <c r="AF28">
        <f t="shared" ca="1" si="9"/>
        <v>1395.6606777721715</v>
      </c>
      <c r="AG28">
        <f t="shared" ca="1" si="9"/>
        <v>1200</v>
      </c>
      <c r="AH28">
        <f t="shared" ca="1" si="9"/>
        <v>1085.0477440885795</v>
      </c>
      <c r="AI28">
        <f t="shared" ca="1" si="8"/>
        <v>1141.0772510686099</v>
      </c>
      <c r="AJ28">
        <f t="shared" ca="1" si="8"/>
        <v>1085.0477440885795</v>
      </c>
      <c r="AK28">
        <f t="shared" ca="1" si="8"/>
        <v>1085.0477440885795</v>
      </c>
      <c r="AL28">
        <f t="shared" ca="1" si="8"/>
        <v>1141.0772510686099</v>
      </c>
      <c r="AM28">
        <f t="shared" ca="1" si="8"/>
        <v>1199.9999999999995</v>
      </c>
      <c r="AN28">
        <f t="shared" ca="1" si="8"/>
        <v>1395.6606777721715</v>
      </c>
      <c r="AO28">
        <f t="shared" ca="1" si="8"/>
        <v>1031.7694142523274</v>
      </c>
      <c r="AP28">
        <f t="shared" ca="1" si="8"/>
        <v>1141.0772510686097</v>
      </c>
      <c r="AQ28">
        <f t="shared" ca="1" si="8"/>
        <v>1199.9999999999998</v>
      </c>
      <c r="AR28">
        <f t="shared" ca="1" si="8"/>
        <v>1085.0477440885795</v>
      </c>
      <c r="AS28">
        <f t="shared" ca="1" si="8"/>
        <v>1141.0772510686097</v>
      </c>
      <c r="AT28">
        <f t="shared" ca="1" si="8"/>
        <v>1261.9653916081936</v>
      </c>
      <c r="AU28">
        <f t="shared" ca="1" si="8"/>
        <v>1141.0772510686099</v>
      </c>
      <c r="AV28">
        <f t="shared" ca="1" si="8"/>
        <v>1261.9653916081941</v>
      </c>
      <c r="AW28">
        <f t="shared" ca="1" si="8"/>
        <v>1199.9999999999995</v>
      </c>
      <c r="AX28">
        <f t="shared" ca="1" si="8"/>
        <v>1200</v>
      </c>
      <c r="AY28">
        <f t="shared" ca="1" si="8"/>
        <v>1085.0477440885795</v>
      </c>
      <c r="AZ28">
        <f t="shared" ca="1" si="8"/>
        <v>1261.9653916081941</v>
      </c>
      <c r="BA28">
        <f t="shared" ca="1" si="8"/>
        <v>1141.0772510686097</v>
      </c>
      <c r="BB28">
        <f t="shared" ca="1" si="8"/>
        <v>1141.0772510686097</v>
      </c>
      <c r="BC28">
        <f t="shared" ca="1" si="8"/>
        <v>1261.9653916081941</v>
      </c>
      <c r="BD28">
        <f t="shared" ca="1" si="8"/>
        <v>1199.9999999999998</v>
      </c>
      <c r="BE28">
        <f t="shared" ca="1" si="8"/>
        <v>1395.6606777721715</v>
      </c>
      <c r="BF28">
        <f t="shared" ca="1" si="8"/>
        <v>1085.0477440885795</v>
      </c>
      <c r="BG28">
        <f t="shared" ca="1" si="8"/>
        <v>1200</v>
      </c>
      <c r="BH28">
        <f t="shared" ca="1" si="8"/>
        <v>1327.1305413473519</v>
      </c>
      <c r="BI28">
        <f t="shared" ca="1" si="8"/>
        <v>1261.9653916081941</v>
      </c>
      <c r="BJ28">
        <f t="shared" ca="1" si="8"/>
        <v>1085.0477440885795</v>
      </c>
      <c r="BK28">
        <f t="shared" ca="1" si="8"/>
        <v>1261.9653916081941</v>
      </c>
      <c r="BL28">
        <f t="shared" ca="1" si="8"/>
        <v>1141.0772510686097</v>
      </c>
      <c r="BM28">
        <f t="shared" ca="1" si="8"/>
        <v>1200</v>
      </c>
      <c r="BN28">
        <f t="shared" ca="1" si="8"/>
        <v>1327.1305413473522</v>
      </c>
      <c r="BO28">
        <f t="shared" ca="1" si="8"/>
        <v>1085.0477440885795</v>
      </c>
      <c r="BP28">
        <f t="shared" ca="1" si="5"/>
        <v>1261.9653916081941</v>
      </c>
      <c r="BQ28">
        <f t="shared" ca="1" si="5"/>
        <v>1261.9653916081941</v>
      </c>
      <c r="BR28">
        <f t="shared" ca="1" si="5"/>
        <v>1327.1305413473522</v>
      </c>
      <c r="BS28">
        <f t="shared" ca="1" si="5"/>
        <v>1141.0772510686097</v>
      </c>
      <c r="BT28">
        <f t="shared" ca="1" si="5"/>
        <v>1199.9999999999998</v>
      </c>
      <c r="BU28">
        <f t="shared" ca="1" si="5"/>
        <v>1141.0772510686097</v>
      </c>
      <c r="BV28">
        <f t="shared" ca="1" si="5"/>
        <v>1200</v>
      </c>
      <c r="BW28">
        <f t="shared" ca="1" si="5"/>
        <v>1031.7694142523274</v>
      </c>
      <c r="BX28">
        <f t="shared" ca="1" si="5"/>
        <v>1200</v>
      </c>
      <c r="BY28">
        <f t="shared" ca="1" si="5"/>
        <v>1141.0772510686097</v>
      </c>
      <c r="BZ28">
        <f t="shared" ca="1" si="5"/>
        <v>1327.1305413473522</v>
      </c>
      <c r="CA28">
        <f t="shared" ca="1" si="7"/>
        <v>1327.1305413473522</v>
      </c>
      <c r="CB28">
        <f t="shared" ca="1" si="7"/>
        <v>981.10717245976264</v>
      </c>
      <c r="CC28">
        <f t="shared" ca="1" si="7"/>
        <v>1395.6606777721715</v>
      </c>
      <c r="CD28">
        <f t="shared" ca="1" si="7"/>
        <v>1141.0772510686097</v>
      </c>
      <c r="CE28">
        <f t="shared" ca="1" si="7"/>
        <v>1395.6606777721713</v>
      </c>
      <c r="CF28">
        <f t="shared" ca="1" si="7"/>
        <v>1085.0477440885795</v>
      </c>
      <c r="CG28">
        <f t="shared" ca="1" si="7"/>
        <v>1200</v>
      </c>
      <c r="CH28">
        <f t="shared" ca="1" si="7"/>
        <v>1467.7295614807633</v>
      </c>
      <c r="CI28">
        <f t="shared" ca="1" si="7"/>
        <v>1141.0772510686099</v>
      </c>
      <c r="CJ28">
        <f t="shared" ca="1" si="7"/>
        <v>1200</v>
      </c>
      <c r="CK28">
        <f t="shared" ca="1" si="7"/>
        <v>1327.1305413473522</v>
      </c>
      <c r="CL28">
        <f t="shared" ca="1" si="7"/>
        <v>1200</v>
      </c>
      <c r="CM28">
        <f t="shared" ca="1" si="7"/>
        <v>1261.9653916081938</v>
      </c>
      <c r="CN28">
        <f t="shared" ca="1" si="7"/>
        <v>1327.1305413473522</v>
      </c>
      <c r="CO28">
        <f t="shared" ca="1" si="7"/>
        <v>1327.1305413473522</v>
      </c>
      <c r="CP28">
        <f t="shared" ca="1" si="7"/>
        <v>1395.6606777721715</v>
      </c>
      <c r="CQ28">
        <f t="shared" ca="1" si="7"/>
        <v>1327.1305413473522</v>
      </c>
      <c r="CR28">
        <f t="shared" ca="1" si="7"/>
        <v>1199.9999999999995</v>
      </c>
      <c r="CS28">
        <f t="shared" ca="1" si="7"/>
        <v>1141.0772510686097</v>
      </c>
      <c r="CT28">
        <f t="shared" ca="1" si="7"/>
        <v>1395.6606777721715</v>
      </c>
      <c r="CU28">
        <f t="shared" ca="1" si="7"/>
        <v>1200</v>
      </c>
      <c r="CV28">
        <f t="shared" ca="1" si="7"/>
        <v>1141.0772510686099</v>
      </c>
      <c r="CW28">
        <f t="shared" ca="1" si="7"/>
        <v>1261.9653916081941</v>
      </c>
      <c r="CX28">
        <f t="shared" ca="1" si="7"/>
        <v>1199.9999999999998</v>
      </c>
      <c r="CY28">
        <f t="shared" ca="1" si="7"/>
        <v>1141.0772510686097</v>
      </c>
    </row>
    <row r="29" spans="1:103">
      <c r="A29">
        <v>13</v>
      </c>
      <c r="B29">
        <v>13</v>
      </c>
      <c r="C29">
        <v>13</v>
      </c>
      <c r="D29">
        <f t="shared" ca="1" si="4"/>
        <v>1170.167809026693</v>
      </c>
      <c r="E29">
        <f t="shared" ca="1" si="4"/>
        <v>1058.0732844912411</v>
      </c>
      <c r="F29">
        <f t="shared" ca="1" si="4"/>
        <v>1170.167809026693</v>
      </c>
      <c r="G29">
        <f t="shared" ca="1" si="4"/>
        <v>1360.9643312111432</v>
      </c>
      <c r="H29">
        <f t="shared" ca="1" si="4"/>
        <v>1360.9643312111432</v>
      </c>
      <c r="I29">
        <f t="shared" ca="1" si="4"/>
        <v>1112.7098890109644</v>
      </c>
      <c r="J29">
        <f t="shared" ca="1" si="4"/>
        <v>1505.1477746955679</v>
      </c>
      <c r="K29">
        <f t="shared" ca="1" si="4"/>
        <v>1230.592731138061</v>
      </c>
      <c r="L29">
        <f t="shared" ca="1" si="4"/>
        <v>1294.1378648840339</v>
      </c>
      <c r="M29">
        <f t="shared" ca="1" si="4"/>
        <v>1170.167809026693</v>
      </c>
      <c r="N29">
        <f t="shared" ca="1" si="4"/>
        <v>1294.1378648840339</v>
      </c>
      <c r="O29">
        <f t="shared" ca="1" si="4"/>
        <v>1170.1678090266935</v>
      </c>
      <c r="P29">
        <f t="shared" ca="1" si="4"/>
        <v>1230.5927311380613</v>
      </c>
      <c r="Q29">
        <f t="shared" ca="1" si="4"/>
        <v>1230.5927311380613</v>
      </c>
      <c r="R29">
        <f t="shared" ca="1" si="4"/>
        <v>1230.5927311380608</v>
      </c>
      <c r="S29">
        <f t="shared" ca="1" si="4"/>
        <v>1230.5927311380613</v>
      </c>
      <c r="T29">
        <f t="shared" ca="1" si="9"/>
        <v>1230.5927311380613</v>
      </c>
      <c r="U29">
        <f t="shared" ca="1" si="9"/>
        <v>1294.1378648840339</v>
      </c>
      <c r="V29">
        <f t="shared" ca="1" si="9"/>
        <v>1294.1378648840334</v>
      </c>
      <c r="W29">
        <f t="shared" ca="1" si="9"/>
        <v>1294.1378648840339</v>
      </c>
      <c r="X29">
        <f t="shared" ca="1" si="9"/>
        <v>1006.1194624136672</v>
      </c>
      <c r="Y29">
        <f t="shared" ca="1" si="9"/>
        <v>1170.1678090266935</v>
      </c>
      <c r="Z29">
        <f t="shared" ca="1" si="9"/>
        <v>1431.2415710013786</v>
      </c>
      <c r="AA29">
        <f t="shared" ca="1" si="9"/>
        <v>1170.167809026693</v>
      </c>
      <c r="AB29">
        <f t="shared" ca="1" si="9"/>
        <v>1170.1678090266935</v>
      </c>
      <c r="AC29">
        <f t="shared" ca="1" si="9"/>
        <v>1230.592731138061</v>
      </c>
      <c r="AD29">
        <f t="shared" ca="1" si="9"/>
        <v>1230.5927311380613</v>
      </c>
      <c r="AE29">
        <f t="shared" ca="1" si="9"/>
        <v>1058.0732844912411</v>
      </c>
      <c r="AF29">
        <f t="shared" ca="1" si="9"/>
        <v>1360.9643312111432</v>
      </c>
      <c r="AG29">
        <f t="shared" ca="1" si="9"/>
        <v>1170.1678090266935</v>
      </c>
      <c r="AH29">
        <f t="shared" ca="1" si="9"/>
        <v>1058.0732844912411</v>
      </c>
      <c r="AI29">
        <f t="shared" ca="1" si="8"/>
        <v>1112.7098890109644</v>
      </c>
      <c r="AJ29">
        <f t="shared" ca="1" si="8"/>
        <v>1058.0732844912411</v>
      </c>
      <c r="AK29">
        <f t="shared" ca="1" si="8"/>
        <v>1058.0732844912411</v>
      </c>
      <c r="AL29">
        <f t="shared" ca="1" si="8"/>
        <v>1112.7098890109644</v>
      </c>
      <c r="AM29">
        <f t="shared" ca="1" si="8"/>
        <v>1170.167809026693</v>
      </c>
      <c r="AN29">
        <f t="shared" ca="1" si="8"/>
        <v>1360.9643312111432</v>
      </c>
      <c r="AO29">
        <f t="shared" ca="1" si="8"/>
        <v>1006.1194624136672</v>
      </c>
      <c r="AP29">
        <f t="shared" ca="1" si="8"/>
        <v>1112.7098890109644</v>
      </c>
      <c r="AQ29">
        <f t="shared" ca="1" si="8"/>
        <v>1170.1678090266932</v>
      </c>
      <c r="AR29">
        <f t="shared" ca="1" si="8"/>
        <v>1112.7098890109644</v>
      </c>
      <c r="AS29">
        <f t="shared" ca="1" si="8"/>
        <v>1170.167809026693</v>
      </c>
      <c r="AT29">
        <f t="shared" ca="1" si="8"/>
        <v>1294.1378648840334</v>
      </c>
      <c r="AU29">
        <f t="shared" ca="1" si="8"/>
        <v>1112.7098890109644</v>
      </c>
      <c r="AV29">
        <f t="shared" ca="1" si="8"/>
        <v>1230.5927311380613</v>
      </c>
      <c r="AW29">
        <f t="shared" ca="1" si="8"/>
        <v>1230.5927311380608</v>
      </c>
      <c r="AX29">
        <f t="shared" ca="1" si="8"/>
        <v>1170.1678090266935</v>
      </c>
      <c r="AY29">
        <f t="shared" ca="1" si="8"/>
        <v>1058.0732844912411</v>
      </c>
      <c r="AZ29">
        <f t="shared" ca="1" si="8"/>
        <v>1294.1378648840339</v>
      </c>
      <c r="BA29">
        <f t="shared" ca="1" si="8"/>
        <v>1112.7098890109644</v>
      </c>
      <c r="BB29">
        <f t="shared" ca="1" si="8"/>
        <v>1112.7098890109644</v>
      </c>
      <c r="BC29">
        <f t="shared" ca="1" si="8"/>
        <v>1294.1378648840339</v>
      </c>
      <c r="BD29">
        <f t="shared" ca="1" si="8"/>
        <v>1170.1678090266932</v>
      </c>
      <c r="BE29">
        <f t="shared" ca="1" si="8"/>
        <v>1431.2415710013786</v>
      </c>
      <c r="BF29">
        <f t="shared" ca="1" si="8"/>
        <v>1058.0732844912411</v>
      </c>
      <c r="BG29">
        <f t="shared" ca="1" si="8"/>
        <v>1230.5927311380613</v>
      </c>
      <c r="BH29">
        <f t="shared" ca="1" si="8"/>
        <v>1294.1378648840337</v>
      </c>
      <c r="BI29">
        <f t="shared" ca="1" si="8"/>
        <v>1294.1378648840339</v>
      </c>
      <c r="BJ29">
        <f t="shared" ca="1" si="8"/>
        <v>1058.0732844912411</v>
      </c>
      <c r="BK29">
        <f t="shared" ca="1" si="8"/>
        <v>1230.5927311380613</v>
      </c>
      <c r="BL29">
        <f t="shared" ca="1" si="8"/>
        <v>1112.7098890109644</v>
      </c>
      <c r="BM29">
        <f t="shared" ca="1" si="8"/>
        <v>1230.5927311380613</v>
      </c>
      <c r="BN29">
        <f t="shared" ca="1" si="8"/>
        <v>1360.9643312111432</v>
      </c>
      <c r="BO29">
        <f t="shared" ca="1" si="8"/>
        <v>1112.7098890109644</v>
      </c>
      <c r="BP29">
        <f t="shared" ca="1" si="5"/>
        <v>1294.1378648840339</v>
      </c>
      <c r="BQ29">
        <f t="shared" ca="1" si="5"/>
        <v>1230.5927311380613</v>
      </c>
      <c r="BR29">
        <f t="shared" ca="1" si="5"/>
        <v>1360.9643312111432</v>
      </c>
      <c r="BS29">
        <f t="shared" ca="1" si="5"/>
        <v>1170.167809026693</v>
      </c>
      <c r="BT29">
        <f t="shared" ca="1" si="5"/>
        <v>1230.592731138061</v>
      </c>
      <c r="BU29">
        <f t="shared" ca="1" si="5"/>
        <v>1112.7098890109644</v>
      </c>
      <c r="BV29">
        <f t="shared" ca="1" si="5"/>
        <v>1230.5927311380613</v>
      </c>
      <c r="BW29">
        <f t="shared" ca="1" si="5"/>
        <v>1058.0732844912411</v>
      </c>
      <c r="BX29">
        <f t="shared" ca="1" si="5"/>
        <v>1230.5927311380613</v>
      </c>
      <c r="BY29">
        <f t="shared" ca="1" si="5"/>
        <v>1170.167809026693</v>
      </c>
      <c r="BZ29">
        <f t="shared" ca="1" si="5"/>
        <v>1294.1378648840339</v>
      </c>
      <c r="CA29">
        <f t="shared" ca="1" si="7"/>
        <v>1360.9643312111432</v>
      </c>
      <c r="CB29">
        <f t="shared" ca="1" si="7"/>
        <v>1006.1194624136668</v>
      </c>
      <c r="CC29">
        <f t="shared" ca="1" si="7"/>
        <v>1431.2415710013786</v>
      </c>
      <c r="CD29">
        <f t="shared" ca="1" si="7"/>
        <v>1112.7098890109644</v>
      </c>
      <c r="CE29">
        <f t="shared" ca="1" si="7"/>
        <v>1360.964331211143</v>
      </c>
      <c r="CF29">
        <f t="shared" ca="1" si="7"/>
        <v>1112.7098890109644</v>
      </c>
      <c r="CG29">
        <f t="shared" ca="1" si="7"/>
        <v>1170.1678090266935</v>
      </c>
      <c r="CH29">
        <f t="shared" ca="1" si="7"/>
        <v>1431.2415710013786</v>
      </c>
      <c r="CI29">
        <f t="shared" ca="1" si="7"/>
        <v>1112.7098890109644</v>
      </c>
      <c r="CJ29">
        <f t="shared" ca="1" si="7"/>
        <v>1230.5927311380613</v>
      </c>
      <c r="CK29">
        <f t="shared" ca="1" si="7"/>
        <v>1294.1378648840339</v>
      </c>
      <c r="CL29">
        <f t="shared" ca="1" si="7"/>
        <v>1170.1678090266935</v>
      </c>
      <c r="CM29">
        <f t="shared" ca="1" si="7"/>
        <v>1230.592731138061</v>
      </c>
      <c r="CN29">
        <f t="shared" ca="1" si="7"/>
        <v>1294.1378648840339</v>
      </c>
      <c r="CO29">
        <f t="shared" ca="1" si="7"/>
        <v>1360.9643312111432</v>
      </c>
      <c r="CP29">
        <f t="shared" ca="1" si="7"/>
        <v>1360.9643312111432</v>
      </c>
      <c r="CQ29">
        <f t="shared" ca="1" si="7"/>
        <v>1360.9643312111432</v>
      </c>
      <c r="CR29">
        <f t="shared" ca="1" si="7"/>
        <v>1230.5927311380608</v>
      </c>
      <c r="CS29">
        <f t="shared" ca="1" si="7"/>
        <v>1112.7098890109644</v>
      </c>
      <c r="CT29">
        <f t="shared" ca="1" si="7"/>
        <v>1360.9643312111432</v>
      </c>
      <c r="CU29">
        <f t="shared" ca="1" si="7"/>
        <v>1170.1678090266935</v>
      </c>
      <c r="CV29">
        <f t="shared" ca="1" si="7"/>
        <v>1170.1678090266932</v>
      </c>
      <c r="CW29">
        <f t="shared" ca="1" si="7"/>
        <v>1294.1378648840339</v>
      </c>
      <c r="CX29">
        <f t="shared" ca="1" si="7"/>
        <v>1230.592731138061</v>
      </c>
      <c r="CY29">
        <f t="shared" ca="1" si="7"/>
        <v>1112.7098890109644</v>
      </c>
    </row>
    <row r="30" spans="1:103">
      <c r="A30">
        <v>14</v>
      </c>
      <c r="B30">
        <v>14</v>
      </c>
      <c r="C30">
        <v>14</v>
      </c>
      <c r="D30">
        <f t="shared" ca="1" si="4"/>
        <v>1199.9999999999995</v>
      </c>
      <c r="E30">
        <f t="shared" ca="1" si="4"/>
        <v>1085.0477440885795</v>
      </c>
      <c r="F30">
        <f t="shared" ca="1" si="4"/>
        <v>1199.9999999999995</v>
      </c>
      <c r="G30">
        <f t="shared" ca="1" si="4"/>
        <v>1327.1305413473522</v>
      </c>
      <c r="H30">
        <f t="shared" ca="1" si="4"/>
        <v>1327.1305413473522</v>
      </c>
      <c r="I30">
        <f t="shared" ca="1" si="4"/>
        <v>1141.0772510686097</v>
      </c>
      <c r="J30">
        <f t="shared" ca="1" si="4"/>
        <v>1543.5199256908286</v>
      </c>
      <c r="K30">
        <f t="shared" ca="1" si="4"/>
        <v>1199.9999999999998</v>
      </c>
      <c r="L30">
        <f t="shared" ca="1" si="4"/>
        <v>1327.1305413473522</v>
      </c>
      <c r="M30">
        <f t="shared" ca="1" si="4"/>
        <v>1199.9999999999995</v>
      </c>
      <c r="N30">
        <f t="shared" ca="1" si="4"/>
        <v>1327.1305413473522</v>
      </c>
      <c r="O30">
        <f t="shared" ca="1" si="4"/>
        <v>1141.0772510686099</v>
      </c>
      <c r="P30">
        <f t="shared" ca="1" si="4"/>
        <v>1200</v>
      </c>
      <c r="Q30">
        <f t="shared" ca="1" si="4"/>
        <v>1261.9653916081941</v>
      </c>
      <c r="R30">
        <f t="shared" ca="1" si="4"/>
        <v>1199.9999999999995</v>
      </c>
      <c r="S30">
        <f t="shared" ca="1" si="4"/>
        <v>1200</v>
      </c>
      <c r="T30">
        <f t="shared" ca="1" si="9"/>
        <v>1200</v>
      </c>
      <c r="U30">
        <f t="shared" ca="1" si="9"/>
        <v>1327.1305413473522</v>
      </c>
      <c r="V30">
        <f t="shared" ca="1" si="9"/>
        <v>1261.9653916081936</v>
      </c>
      <c r="W30">
        <f t="shared" ca="1" si="9"/>
        <v>1327.1305413473522</v>
      </c>
      <c r="X30">
        <f t="shared" ca="1" si="9"/>
        <v>981.10717245976286</v>
      </c>
      <c r="Y30">
        <f t="shared" ca="1" si="9"/>
        <v>1200</v>
      </c>
      <c r="Z30">
        <f t="shared" ca="1" si="9"/>
        <v>1395.6606777721715</v>
      </c>
      <c r="AA30">
        <f t="shared" ca="1" si="9"/>
        <v>1199.9999999999995</v>
      </c>
      <c r="AB30">
        <f t="shared" ca="1" si="9"/>
        <v>1141.0772510686099</v>
      </c>
      <c r="AC30">
        <f t="shared" ca="1" si="9"/>
        <v>1199.9999999999998</v>
      </c>
      <c r="AD30">
        <f t="shared" ca="1" si="9"/>
        <v>1200</v>
      </c>
      <c r="AE30">
        <f t="shared" ca="1" si="9"/>
        <v>1085.0477440885795</v>
      </c>
      <c r="AF30">
        <f t="shared" ca="1" si="9"/>
        <v>1395.6606777721715</v>
      </c>
      <c r="AG30">
        <f t="shared" ca="1" si="9"/>
        <v>1200</v>
      </c>
      <c r="AH30">
        <f t="shared" ca="1" si="9"/>
        <v>1031.7694142523274</v>
      </c>
      <c r="AI30">
        <f t="shared" ca="1" si="8"/>
        <v>1085.0477440885795</v>
      </c>
      <c r="AJ30">
        <f t="shared" ca="1" si="8"/>
        <v>1031.7694142523274</v>
      </c>
      <c r="AK30">
        <f t="shared" ca="1" si="8"/>
        <v>1031.7694142523274</v>
      </c>
      <c r="AL30">
        <f t="shared" ca="1" si="8"/>
        <v>1141.0772510686097</v>
      </c>
      <c r="AM30">
        <f t="shared" ca="1" si="8"/>
        <v>1141.0772510686097</v>
      </c>
      <c r="AN30">
        <f t="shared" ca="1" si="8"/>
        <v>1327.1305413473522</v>
      </c>
      <c r="AO30">
        <f t="shared" ca="1" si="8"/>
        <v>1031.7694142523274</v>
      </c>
      <c r="AP30">
        <f t="shared" ca="1" si="8"/>
        <v>1141.0772510686097</v>
      </c>
      <c r="AQ30">
        <f t="shared" ca="1" si="8"/>
        <v>1199.9999999999998</v>
      </c>
      <c r="AR30">
        <f t="shared" ca="1" si="8"/>
        <v>1085.0477440885795</v>
      </c>
      <c r="AS30">
        <f t="shared" ca="1" si="8"/>
        <v>1199.9999999999995</v>
      </c>
      <c r="AT30">
        <f t="shared" ca="1" si="8"/>
        <v>1327.1305413473517</v>
      </c>
      <c r="AU30">
        <f t="shared" ca="1" si="8"/>
        <v>1085.0477440885795</v>
      </c>
      <c r="AV30">
        <f t="shared" ca="1" si="8"/>
        <v>1200</v>
      </c>
      <c r="AW30">
        <f t="shared" ca="1" si="8"/>
        <v>1261.9653916081936</v>
      </c>
      <c r="AX30">
        <f t="shared" ca="1" si="8"/>
        <v>1200</v>
      </c>
      <c r="AY30">
        <f t="shared" ca="1" si="8"/>
        <v>1085.0477440885795</v>
      </c>
      <c r="AZ30">
        <f t="shared" ca="1" si="8"/>
        <v>1261.9653916081941</v>
      </c>
      <c r="BA30">
        <f t="shared" ca="1" si="8"/>
        <v>1085.0477440885795</v>
      </c>
      <c r="BB30">
        <f t="shared" ca="1" si="8"/>
        <v>1085.0477440885795</v>
      </c>
      <c r="BC30">
        <f t="shared" ca="1" si="8"/>
        <v>1261.9653916081941</v>
      </c>
      <c r="BD30">
        <f t="shared" ca="1" si="8"/>
        <v>1141.0772510686097</v>
      </c>
      <c r="BE30">
        <f t="shared" ca="1" si="8"/>
        <v>1395.6606777721715</v>
      </c>
      <c r="BF30">
        <f t="shared" ca="1" si="8"/>
        <v>1085.0477440885795</v>
      </c>
      <c r="BG30">
        <f t="shared" ca="1" si="8"/>
        <v>1261.9653916081941</v>
      </c>
      <c r="BH30">
        <f t="shared" ca="1" si="8"/>
        <v>1261.9653916081938</v>
      </c>
      <c r="BI30">
        <f t="shared" ca="1" si="8"/>
        <v>1327.1305413473522</v>
      </c>
      <c r="BJ30">
        <f t="shared" ca="1" si="8"/>
        <v>1085.0477440885795</v>
      </c>
      <c r="BK30">
        <f t="shared" ca="1" si="8"/>
        <v>1261.9653916081941</v>
      </c>
      <c r="BL30">
        <f t="shared" ca="1" si="8"/>
        <v>1085.0477440885795</v>
      </c>
      <c r="BM30">
        <f t="shared" ca="1" si="8"/>
        <v>1200</v>
      </c>
      <c r="BN30">
        <f t="shared" ca="1" si="8"/>
        <v>1327.1305413473522</v>
      </c>
      <c r="BO30">
        <f t="shared" ca="1" si="8"/>
        <v>1141.0772510686097</v>
      </c>
      <c r="BP30">
        <f t="shared" ca="1" si="5"/>
        <v>1261.9653916081941</v>
      </c>
      <c r="BQ30">
        <f t="shared" ca="1" si="5"/>
        <v>1261.9653916081941</v>
      </c>
      <c r="BR30">
        <f t="shared" ca="1" si="5"/>
        <v>1327.1305413473522</v>
      </c>
      <c r="BS30">
        <f t="shared" ca="1" si="5"/>
        <v>1141.0772510686097</v>
      </c>
      <c r="BT30">
        <f t="shared" ca="1" si="5"/>
        <v>1261.9653916081938</v>
      </c>
      <c r="BU30">
        <f t="shared" ca="1" si="5"/>
        <v>1141.0772510686097</v>
      </c>
      <c r="BV30">
        <f t="shared" ca="1" si="5"/>
        <v>1200</v>
      </c>
      <c r="BW30">
        <f t="shared" ca="1" si="5"/>
        <v>1031.7694142523274</v>
      </c>
      <c r="BX30">
        <f t="shared" ca="1" si="5"/>
        <v>1200</v>
      </c>
      <c r="BY30">
        <f t="shared" ca="1" si="5"/>
        <v>1141.0772510686097</v>
      </c>
      <c r="BZ30">
        <f t="shared" ca="1" si="5"/>
        <v>1327.1305413473522</v>
      </c>
      <c r="CA30">
        <f t="shared" ca="1" si="7"/>
        <v>1327.1305413473522</v>
      </c>
      <c r="CB30">
        <f t="shared" ca="1" si="7"/>
        <v>1031.7694142523269</v>
      </c>
      <c r="CC30">
        <f t="shared" ca="1" si="7"/>
        <v>1395.6606777721715</v>
      </c>
      <c r="CD30">
        <f t="shared" ca="1" si="7"/>
        <v>1085.0477440885795</v>
      </c>
      <c r="CE30">
        <f t="shared" ca="1" si="7"/>
        <v>1395.6606777721713</v>
      </c>
      <c r="CF30">
        <f t="shared" ca="1" si="7"/>
        <v>1141.0772510686097</v>
      </c>
      <c r="CG30">
        <f t="shared" ca="1" si="7"/>
        <v>1141.0772510686099</v>
      </c>
      <c r="CH30">
        <f t="shared" ca="1" si="7"/>
        <v>1467.7295614807633</v>
      </c>
      <c r="CI30">
        <f t="shared" ca="1" si="7"/>
        <v>1141.0772510686097</v>
      </c>
      <c r="CJ30">
        <f t="shared" ca="1" si="7"/>
        <v>1200</v>
      </c>
      <c r="CK30">
        <f t="shared" ca="1" si="7"/>
        <v>1327.1305413473522</v>
      </c>
      <c r="CL30">
        <f t="shared" ca="1" si="7"/>
        <v>1141.0772510686099</v>
      </c>
      <c r="CM30">
        <f t="shared" ca="1" si="7"/>
        <v>1261.9653916081938</v>
      </c>
      <c r="CN30">
        <f t="shared" ca="1" si="7"/>
        <v>1327.1305413473522</v>
      </c>
      <c r="CO30">
        <f t="shared" ca="1" si="7"/>
        <v>1395.6606777721715</v>
      </c>
      <c r="CP30">
        <f t="shared" ca="1" si="7"/>
        <v>1395.6606777721715</v>
      </c>
      <c r="CQ30">
        <f t="shared" ca="1" si="7"/>
        <v>1327.1305413473522</v>
      </c>
      <c r="CR30">
        <f t="shared" ca="1" si="7"/>
        <v>1261.9653916081936</v>
      </c>
      <c r="CS30">
        <f t="shared" ca="1" si="7"/>
        <v>1085.0477440885795</v>
      </c>
      <c r="CT30">
        <f t="shared" ca="1" si="7"/>
        <v>1395.6606777721715</v>
      </c>
      <c r="CU30">
        <f t="shared" ca="1" si="7"/>
        <v>1141.0772510686099</v>
      </c>
      <c r="CV30">
        <f t="shared" ca="1" si="7"/>
        <v>1199.9999999999998</v>
      </c>
      <c r="CW30">
        <f t="shared" ca="1" si="7"/>
        <v>1261.9653916081941</v>
      </c>
      <c r="CX30">
        <f t="shared" ca="1" si="7"/>
        <v>1199.9999999999998</v>
      </c>
      <c r="CY30">
        <f t="shared" ca="1" si="7"/>
        <v>1141.0772510686097</v>
      </c>
    </row>
    <row r="31" spans="1:103">
      <c r="A31">
        <v>15</v>
      </c>
      <c r="B31">
        <v>15</v>
      </c>
      <c r="C31">
        <v>15</v>
      </c>
      <c r="D31">
        <f t="shared" ca="1" si="4"/>
        <v>1230.5927311380608</v>
      </c>
      <c r="E31">
        <f t="shared" ca="1" si="4"/>
        <v>1112.7098890109644</v>
      </c>
      <c r="F31">
        <f t="shared" ca="1" si="4"/>
        <v>1170.167809026693</v>
      </c>
      <c r="G31">
        <f t="shared" ca="1" si="4"/>
        <v>1360.9643312111432</v>
      </c>
      <c r="H31">
        <f t="shared" ca="1" si="4"/>
        <v>1360.9643312111432</v>
      </c>
      <c r="I31">
        <f t="shared" ca="1" si="4"/>
        <v>1170.167809026693</v>
      </c>
      <c r="J31">
        <f t="shared" ca="1" si="4"/>
        <v>1582.8703341015785</v>
      </c>
      <c r="K31">
        <f t="shared" ca="1" si="4"/>
        <v>1170.1678090266932</v>
      </c>
      <c r="L31">
        <f t="shared" ca="1" si="4"/>
        <v>1294.1378648840339</v>
      </c>
      <c r="M31">
        <f t="shared" ca="1" si="4"/>
        <v>1230.5927311380608</v>
      </c>
      <c r="N31">
        <f t="shared" ca="1" si="4"/>
        <v>1360.9643312111432</v>
      </c>
      <c r="O31">
        <f t="shared" ca="1" si="4"/>
        <v>1170.1678090266932</v>
      </c>
      <c r="P31">
        <f t="shared" ca="1" si="4"/>
        <v>1170.1678090266935</v>
      </c>
      <c r="Q31">
        <f t="shared" ca="1" si="4"/>
        <v>1230.5927311380613</v>
      </c>
      <c r="R31">
        <f t="shared" ca="1" si="4"/>
        <v>1230.5927311380608</v>
      </c>
      <c r="S31">
        <f t="shared" ca="1" si="4"/>
        <v>1230.5927311380613</v>
      </c>
      <c r="T31">
        <f t="shared" ca="1" si="9"/>
        <v>1170.1678090266935</v>
      </c>
      <c r="U31">
        <f t="shared" ca="1" si="9"/>
        <v>1294.1378648840339</v>
      </c>
      <c r="V31">
        <f t="shared" ca="1" si="9"/>
        <v>1230.5927311380608</v>
      </c>
      <c r="W31">
        <f t="shared" ca="1" si="9"/>
        <v>1360.9643312111432</v>
      </c>
      <c r="X31">
        <f t="shared" ca="1" si="9"/>
        <v>956.7166920146791</v>
      </c>
      <c r="Y31">
        <f t="shared" ca="1" si="9"/>
        <v>1230.5927311380613</v>
      </c>
      <c r="Z31">
        <f t="shared" ca="1" si="9"/>
        <v>1431.2415710013786</v>
      </c>
      <c r="AA31">
        <f t="shared" ca="1" si="9"/>
        <v>1230.5927311380608</v>
      </c>
      <c r="AB31">
        <f t="shared" ca="1" si="9"/>
        <v>1170.1678090266932</v>
      </c>
      <c r="AC31">
        <f t="shared" ca="1" si="9"/>
        <v>1170.1678090266932</v>
      </c>
      <c r="AD31">
        <f t="shared" ca="1" si="9"/>
        <v>1230.5927311380613</v>
      </c>
      <c r="AE31">
        <f t="shared" ca="1" si="9"/>
        <v>1112.7098890109644</v>
      </c>
      <c r="AF31">
        <f t="shared" ca="1" si="9"/>
        <v>1360.9643312111432</v>
      </c>
      <c r="AG31">
        <f t="shared" ca="1" si="9"/>
        <v>1230.5927311380613</v>
      </c>
      <c r="AH31">
        <f t="shared" ca="1" si="9"/>
        <v>1006.1194624136672</v>
      </c>
      <c r="AI31">
        <f t="shared" ca="1" si="8"/>
        <v>1058.0732844912411</v>
      </c>
      <c r="AJ31">
        <f t="shared" ca="1" si="8"/>
        <v>1058.0732844912411</v>
      </c>
      <c r="AK31">
        <f t="shared" ca="1" si="8"/>
        <v>1006.1194624136672</v>
      </c>
      <c r="AL31">
        <f t="shared" ca="1" si="8"/>
        <v>1170.167809026693</v>
      </c>
      <c r="AM31">
        <f t="shared" ca="1" si="8"/>
        <v>1112.7098890109644</v>
      </c>
      <c r="AN31">
        <f t="shared" ca="1" si="8"/>
        <v>1360.9643312111432</v>
      </c>
      <c r="AO31">
        <f t="shared" ca="1" si="8"/>
        <v>1006.1194624136672</v>
      </c>
      <c r="AP31">
        <f t="shared" ca="1" si="8"/>
        <v>1170.167809026693</v>
      </c>
      <c r="AQ31">
        <f t="shared" ca="1" si="8"/>
        <v>1170.1678090266932</v>
      </c>
      <c r="AR31">
        <f t="shared" ca="1" si="8"/>
        <v>1112.7098890109644</v>
      </c>
      <c r="AS31">
        <f t="shared" ca="1" si="8"/>
        <v>1230.5927311380608</v>
      </c>
      <c r="AT31">
        <f t="shared" ca="1" si="8"/>
        <v>1294.1378648840334</v>
      </c>
      <c r="AU31">
        <f t="shared" ca="1" si="8"/>
        <v>1058.0732844912411</v>
      </c>
      <c r="AV31">
        <f t="shared" ca="1" si="8"/>
        <v>1170.1678090266935</v>
      </c>
      <c r="AW31">
        <f t="shared" ca="1" si="8"/>
        <v>1294.1378648840334</v>
      </c>
      <c r="AX31">
        <f t="shared" ca="1" si="8"/>
        <v>1230.5927311380613</v>
      </c>
      <c r="AY31">
        <f t="shared" ca="1" si="8"/>
        <v>1058.0732844912411</v>
      </c>
      <c r="AZ31">
        <f t="shared" ca="1" si="8"/>
        <v>1294.1378648840339</v>
      </c>
      <c r="BA31">
        <f t="shared" ca="1" si="8"/>
        <v>1112.7098890109644</v>
      </c>
      <c r="BB31">
        <f t="shared" ca="1" si="8"/>
        <v>1112.7098890109644</v>
      </c>
      <c r="BC31">
        <f t="shared" ca="1" si="8"/>
        <v>1230.5927311380613</v>
      </c>
      <c r="BD31">
        <f t="shared" ca="1" si="8"/>
        <v>1112.7098890109644</v>
      </c>
      <c r="BE31">
        <f t="shared" ca="1" si="8"/>
        <v>1431.2415710013786</v>
      </c>
      <c r="BF31">
        <f t="shared" ca="1" si="8"/>
        <v>1058.0732844912411</v>
      </c>
      <c r="BG31">
        <f t="shared" ca="1" si="8"/>
        <v>1230.5927311380613</v>
      </c>
      <c r="BH31">
        <f t="shared" ca="1" si="8"/>
        <v>1230.592731138061</v>
      </c>
      <c r="BI31">
        <f t="shared" ca="1" si="8"/>
        <v>1294.1378648840339</v>
      </c>
      <c r="BJ31">
        <f t="shared" ca="1" si="8"/>
        <v>1058.0732844912411</v>
      </c>
      <c r="BK31">
        <f t="shared" ca="1" si="8"/>
        <v>1230.5927311380613</v>
      </c>
      <c r="BL31">
        <f t="shared" ca="1" si="8"/>
        <v>1058.0732844912411</v>
      </c>
      <c r="BM31">
        <f t="shared" ca="1" si="8"/>
        <v>1230.5927311380613</v>
      </c>
      <c r="BN31">
        <f t="shared" ca="1" si="8"/>
        <v>1294.1378648840339</v>
      </c>
      <c r="BO31">
        <f t="shared" ca="1" si="8"/>
        <v>1112.7098890109644</v>
      </c>
      <c r="BP31">
        <f t="shared" ca="1" si="5"/>
        <v>1294.1378648840339</v>
      </c>
      <c r="BQ31">
        <f t="shared" ca="1" si="5"/>
        <v>1230.5927311380613</v>
      </c>
      <c r="BR31">
        <f t="shared" ca="1" si="5"/>
        <v>1294.1378648840339</v>
      </c>
      <c r="BS31">
        <f t="shared" ca="1" si="5"/>
        <v>1112.7098890109644</v>
      </c>
      <c r="BT31">
        <f t="shared" ca="1" si="5"/>
        <v>1294.1378648840337</v>
      </c>
      <c r="BU31">
        <f t="shared" ca="1" si="5"/>
        <v>1112.7098890109644</v>
      </c>
      <c r="BV31">
        <f t="shared" ca="1" si="5"/>
        <v>1230.5927311380613</v>
      </c>
      <c r="BW31">
        <f t="shared" ca="1" si="5"/>
        <v>1058.0732844912411</v>
      </c>
      <c r="BX31">
        <f t="shared" ca="1" si="5"/>
        <v>1230.5927311380613</v>
      </c>
      <c r="BY31">
        <f t="shared" ca="1" si="5"/>
        <v>1112.7098890109644</v>
      </c>
      <c r="BZ31">
        <f t="shared" ca="1" si="5"/>
        <v>1360.9643312111432</v>
      </c>
      <c r="CA31">
        <f t="shared" ca="1" si="7"/>
        <v>1294.1378648840339</v>
      </c>
      <c r="CB31">
        <f t="shared" ca="1" si="7"/>
        <v>1006.1194624136668</v>
      </c>
      <c r="CC31">
        <f t="shared" ca="1" si="7"/>
        <v>1431.2415710013786</v>
      </c>
      <c r="CD31">
        <f t="shared" ca="1" si="7"/>
        <v>1112.7098890109644</v>
      </c>
      <c r="CE31">
        <f t="shared" ca="1" si="7"/>
        <v>1431.2415710013784</v>
      </c>
      <c r="CF31">
        <f t="shared" ca="1" si="7"/>
        <v>1170.167809026693</v>
      </c>
      <c r="CG31">
        <f t="shared" ca="1" si="7"/>
        <v>1112.7098890109644</v>
      </c>
      <c r="CH31">
        <f t="shared" ca="1" si="7"/>
        <v>1505.1477746955679</v>
      </c>
      <c r="CI31">
        <f t="shared" ca="1" si="7"/>
        <v>1112.7098890109644</v>
      </c>
      <c r="CJ31">
        <f t="shared" ca="1" si="7"/>
        <v>1230.5927311380613</v>
      </c>
      <c r="CK31">
        <f t="shared" ca="1" si="7"/>
        <v>1294.1378648840339</v>
      </c>
      <c r="CL31">
        <f t="shared" ca="1" si="7"/>
        <v>1112.7098890109644</v>
      </c>
      <c r="CM31">
        <f t="shared" ca="1" si="7"/>
        <v>1294.1378648840337</v>
      </c>
      <c r="CN31">
        <f t="shared" ca="1" si="7"/>
        <v>1360.9643312111432</v>
      </c>
      <c r="CO31">
        <f t="shared" ca="1" si="7"/>
        <v>1360.9643312111432</v>
      </c>
      <c r="CP31">
        <f t="shared" ca="1" si="7"/>
        <v>1431.2415710013786</v>
      </c>
      <c r="CQ31">
        <f t="shared" ca="1" si="7"/>
        <v>1294.1378648840339</v>
      </c>
      <c r="CR31">
        <f t="shared" ca="1" si="7"/>
        <v>1294.1378648840334</v>
      </c>
      <c r="CS31">
        <f t="shared" ca="1" si="7"/>
        <v>1058.0732844912411</v>
      </c>
      <c r="CT31">
        <f t="shared" ca="1" si="7"/>
        <v>1431.2415710013786</v>
      </c>
      <c r="CU31">
        <f t="shared" ca="1" si="7"/>
        <v>1112.7098890109644</v>
      </c>
      <c r="CV31">
        <f t="shared" ca="1" si="7"/>
        <v>1170.1678090266932</v>
      </c>
      <c r="CW31">
        <f t="shared" ca="1" si="7"/>
        <v>1230.5927311380613</v>
      </c>
      <c r="CX31">
        <f t="shared" ca="1" si="7"/>
        <v>1170.1678090266932</v>
      </c>
      <c r="CY31">
        <f t="shared" ca="1" si="7"/>
        <v>1170.167809026693</v>
      </c>
    </row>
    <row r="32" spans="1:103">
      <c r="A32">
        <v>16</v>
      </c>
      <c r="B32">
        <v>16</v>
      </c>
      <c r="C32">
        <v>16</v>
      </c>
      <c r="D32">
        <f t="shared" ca="1" si="4"/>
        <v>1199.9999999999995</v>
      </c>
      <c r="E32">
        <f t="shared" ca="1" si="4"/>
        <v>1085.0477440885795</v>
      </c>
      <c r="F32">
        <f t="shared" ca="1" si="4"/>
        <v>1199.9999999999995</v>
      </c>
      <c r="G32">
        <f t="shared" ca="1" si="4"/>
        <v>1395.6606777721715</v>
      </c>
      <c r="H32">
        <f t="shared" ca="1" si="4"/>
        <v>1395.6606777721715</v>
      </c>
      <c r="I32">
        <f t="shared" ca="1" si="4"/>
        <v>1199.9999999999995</v>
      </c>
      <c r="J32">
        <f t="shared" ca="1" si="4"/>
        <v>1623.2239395662309</v>
      </c>
      <c r="K32">
        <f t="shared" ca="1" si="4"/>
        <v>1141.0772510686097</v>
      </c>
      <c r="L32">
        <f t="shared" ca="1" si="4"/>
        <v>1327.1305413473522</v>
      </c>
      <c r="M32">
        <f t="shared" ca="1" si="4"/>
        <v>1261.9653916081936</v>
      </c>
      <c r="N32">
        <f t="shared" ca="1" si="4"/>
        <v>1327.1305413473522</v>
      </c>
      <c r="O32">
        <f t="shared" ca="1" si="4"/>
        <v>1199.9999999999998</v>
      </c>
      <c r="P32">
        <f t="shared" ca="1" si="4"/>
        <v>1200</v>
      </c>
      <c r="Q32">
        <f t="shared" ca="1" si="4"/>
        <v>1261.9653916081941</v>
      </c>
      <c r="R32">
        <f t="shared" ca="1" si="4"/>
        <v>1261.9653916081936</v>
      </c>
      <c r="S32">
        <f t="shared" ca="1" si="4"/>
        <v>1200</v>
      </c>
      <c r="T32">
        <f t="shared" ca="1" si="9"/>
        <v>1141.0772510686099</v>
      </c>
      <c r="U32">
        <f t="shared" ca="1" si="9"/>
        <v>1327.1305413473522</v>
      </c>
      <c r="V32">
        <f t="shared" ca="1" si="9"/>
        <v>1261.9653916081936</v>
      </c>
      <c r="W32">
        <f t="shared" ca="1" si="9"/>
        <v>1327.1305413473522</v>
      </c>
      <c r="X32">
        <f t="shared" ca="1" si="9"/>
        <v>932.93256279506897</v>
      </c>
      <c r="Y32">
        <f t="shared" ca="1" si="9"/>
        <v>1261.9653916081941</v>
      </c>
      <c r="Z32">
        <f t="shared" ca="1" si="9"/>
        <v>1395.6606777721715</v>
      </c>
      <c r="AA32">
        <f t="shared" ca="1" si="9"/>
        <v>1261.9653916081936</v>
      </c>
      <c r="AB32">
        <f t="shared" ca="1" si="9"/>
        <v>1141.0772510686097</v>
      </c>
      <c r="AC32">
        <f t="shared" ca="1" si="9"/>
        <v>1141.0772510686097</v>
      </c>
      <c r="AD32">
        <f t="shared" ca="1" si="9"/>
        <v>1261.9653916081941</v>
      </c>
      <c r="AE32">
        <f t="shared" ca="1" si="9"/>
        <v>1141.0772510686097</v>
      </c>
      <c r="AF32">
        <f t="shared" ca="1" si="9"/>
        <v>1327.1305413473522</v>
      </c>
      <c r="AG32">
        <f t="shared" ca="1" si="9"/>
        <v>1200</v>
      </c>
      <c r="AH32">
        <f t="shared" ca="1" si="9"/>
        <v>981.10717245976286</v>
      </c>
      <c r="AI32">
        <f t="shared" ca="1" si="8"/>
        <v>1031.7694142523274</v>
      </c>
      <c r="AJ32">
        <f t="shared" ca="1" si="8"/>
        <v>1031.7694142523274</v>
      </c>
      <c r="AK32">
        <f t="shared" ca="1" si="8"/>
        <v>1031.7694142523274</v>
      </c>
      <c r="AL32">
        <f t="shared" ca="1" si="8"/>
        <v>1141.0772510686097</v>
      </c>
      <c r="AM32">
        <f t="shared" ca="1" si="8"/>
        <v>1141.0772510686097</v>
      </c>
      <c r="AN32">
        <f t="shared" ca="1" si="8"/>
        <v>1395.6606777721715</v>
      </c>
      <c r="AO32">
        <f t="shared" ca="1" si="8"/>
        <v>981.10717245976286</v>
      </c>
      <c r="AP32">
        <f t="shared" ca="1" si="8"/>
        <v>1141.0772510686097</v>
      </c>
      <c r="AQ32">
        <f t="shared" ca="1" si="8"/>
        <v>1141.0772510686097</v>
      </c>
      <c r="AR32">
        <f t="shared" ca="1" si="8"/>
        <v>1085.0477440885795</v>
      </c>
      <c r="AS32">
        <f t="shared" ca="1" si="8"/>
        <v>1199.9999999999995</v>
      </c>
      <c r="AT32">
        <f t="shared" ca="1" si="8"/>
        <v>1261.9653916081936</v>
      </c>
      <c r="AU32">
        <f t="shared" ca="1" si="8"/>
        <v>1031.7694142523274</v>
      </c>
      <c r="AV32">
        <f t="shared" ca="1" si="8"/>
        <v>1141.0772510686099</v>
      </c>
      <c r="AW32">
        <f t="shared" ca="1" si="8"/>
        <v>1261.9653916081936</v>
      </c>
      <c r="AX32">
        <f t="shared" ca="1" si="8"/>
        <v>1261.9653916081941</v>
      </c>
      <c r="AY32">
        <f t="shared" ca="1" si="8"/>
        <v>1085.0477440885795</v>
      </c>
      <c r="AZ32">
        <f t="shared" ca="1" si="8"/>
        <v>1327.1305413473522</v>
      </c>
      <c r="BA32">
        <f t="shared" ca="1" si="8"/>
        <v>1085.0477440885795</v>
      </c>
      <c r="BB32">
        <f t="shared" ca="1" si="8"/>
        <v>1141.0772510686097</v>
      </c>
      <c r="BC32">
        <f t="shared" ca="1" si="8"/>
        <v>1261.9653916081941</v>
      </c>
      <c r="BD32">
        <f t="shared" ca="1" si="8"/>
        <v>1141.0772510686097</v>
      </c>
      <c r="BE32">
        <f t="shared" ca="1" si="8"/>
        <v>1467.7295614807633</v>
      </c>
      <c r="BF32">
        <f t="shared" ca="1" si="8"/>
        <v>1085.0477440885795</v>
      </c>
      <c r="BG32">
        <f t="shared" ca="1" si="8"/>
        <v>1200</v>
      </c>
      <c r="BH32">
        <f t="shared" ca="1" si="8"/>
        <v>1261.9653916081938</v>
      </c>
      <c r="BI32">
        <f t="shared" ca="1" si="8"/>
        <v>1327.1305413473522</v>
      </c>
      <c r="BJ32">
        <f t="shared" ca="1" si="8"/>
        <v>1031.7694142523274</v>
      </c>
      <c r="BK32">
        <f t="shared" ca="1" si="8"/>
        <v>1200</v>
      </c>
      <c r="BL32">
        <f t="shared" ca="1" si="8"/>
        <v>1031.7694142523274</v>
      </c>
      <c r="BM32">
        <f t="shared" ca="1" si="8"/>
        <v>1200</v>
      </c>
      <c r="BN32">
        <f t="shared" ca="1" si="8"/>
        <v>1327.1305413473522</v>
      </c>
      <c r="BO32">
        <f t="shared" ca="1" si="8"/>
        <v>1141.0772510686097</v>
      </c>
      <c r="BP32">
        <f t="shared" ca="1" si="5"/>
        <v>1327.1305413473522</v>
      </c>
      <c r="BQ32">
        <f t="shared" ca="1" si="5"/>
        <v>1200</v>
      </c>
      <c r="BR32">
        <f t="shared" ca="1" si="5"/>
        <v>1261.9653916081941</v>
      </c>
      <c r="BS32">
        <f t="shared" ca="1" si="5"/>
        <v>1141.0772510686097</v>
      </c>
      <c r="BT32">
        <f t="shared" ca="1" si="5"/>
        <v>1327.1305413473519</v>
      </c>
      <c r="BU32">
        <f t="shared" ca="1" si="5"/>
        <v>1085.0477440885795</v>
      </c>
      <c r="BV32">
        <f t="shared" ca="1" si="5"/>
        <v>1261.9653916081941</v>
      </c>
      <c r="BW32">
        <f t="shared" ca="1" si="5"/>
        <v>1085.0477440885795</v>
      </c>
      <c r="BX32">
        <f t="shared" ca="1" si="5"/>
        <v>1261.9653916081941</v>
      </c>
      <c r="BY32">
        <f t="shared" ca="1" si="5"/>
        <v>1085.0477440885795</v>
      </c>
      <c r="BZ32">
        <f t="shared" ca="1" si="5"/>
        <v>1327.1305413473522</v>
      </c>
      <c r="CA32">
        <f t="shared" ca="1" si="7"/>
        <v>1327.1305413473522</v>
      </c>
      <c r="CB32">
        <f t="shared" ca="1" si="7"/>
        <v>1031.7694142523269</v>
      </c>
      <c r="CC32">
        <f t="shared" ca="1" si="7"/>
        <v>1395.6606777721715</v>
      </c>
      <c r="CD32">
        <f t="shared" ca="1" si="7"/>
        <v>1141.0772510686097</v>
      </c>
      <c r="CE32">
        <f t="shared" ca="1" si="7"/>
        <v>1467.7295614807631</v>
      </c>
      <c r="CF32">
        <f t="shared" ca="1" si="7"/>
        <v>1141.0772510686097</v>
      </c>
      <c r="CG32">
        <f t="shared" ca="1" si="7"/>
        <v>1085.0477440885795</v>
      </c>
      <c r="CH32">
        <f t="shared" ca="1" si="7"/>
        <v>1467.7295614807631</v>
      </c>
      <c r="CI32">
        <f t="shared" ca="1" si="7"/>
        <v>1141.0772510686097</v>
      </c>
      <c r="CJ32">
        <f t="shared" ca="1" si="7"/>
        <v>1200</v>
      </c>
      <c r="CK32">
        <f t="shared" ca="1" si="7"/>
        <v>1327.1305413473522</v>
      </c>
      <c r="CL32">
        <f t="shared" ca="1" si="7"/>
        <v>1085.0477440885795</v>
      </c>
      <c r="CM32">
        <f t="shared" ca="1" si="7"/>
        <v>1261.9653916081938</v>
      </c>
      <c r="CN32">
        <f t="shared" ca="1" si="7"/>
        <v>1327.1305413473522</v>
      </c>
      <c r="CO32">
        <f t="shared" ca="1" si="7"/>
        <v>1327.1305413473522</v>
      </c>
      <c r="CP32">
        <f t="shared" ca="1" si="7"/>
        <v>1467.7295614807633</v>
      </c>
      <c r="CQ32">
        <f t="shared" ca="1" si="7"/>
        <v>1327.1305413473522</v>
      </c>
      <c r="CR32">
        <f t="shared" ca="1" si="7"/>
        <v>1327.1305413473517</v>
      </c>
      <c r="CS32">
        <f t="shared" ca="1" si="7"/>
        <v>1085.0477440885795</v>
      </c>
      <c r="CT32">
        <f t="shared" ca="1" si="7"/>
        <v>1467.7295614807633</v>
      </c>
      <c r="CU32">
        <f t="shared" ca="1" si="7"/>
        <v>1141.0772510686097</v>
      </c>
      <c r="CV32">
        <f t="shared" ca="1" si="7"/>
        <v>1141.0772510686097</v>
      </c>
      <c r="CW32">
        <f t="shared" ca="1" si="7"/>
        <v>1200</v>
      </c>
      <c r="CX32">
        <f t="shared" ca="1" si="7"/>
        <v>1141.0772510686097</v>
      </c>
      <c r="CY32">
        <f t="shared" ca="1" si="7"/>
        <v>1199.9999999999995</v>
      </c>
    </row>
    <row r="33" spans="1:103">
      <c r="A33">
        <v>17</v>
      </c>
      <c r="B33">
        <v>17</v>
      </c>
      <c r="C33">
        <v>17</v>
      </c>
      <c r="D33">
        <f t="shared" ca="1" si="4"/>
        <v>1230.5927311380608</v>
      </c>
      <c r="E33">
        <f t="shared" ca="1" si="4"/>
        <v>1112.7098890109644</v>
      </c>
      <c r="F33">
        <f t="shared" ca="1" si="4"/>
        <v>1230.5927311380608</v>
      </c>
      <c r="G33">
        <f t="shared" ca="1" si="4"/>
        <v>1360.9643312111432</v>
      </c>
      <c r="H33">
        <f t="shared" ca="1" si="4"/>
        <v>1360.9643312111432</v>
      </c>
      <c r="I33">
        <f t="shared" ca="1" si="4"/>
        <v>1230.5927311380608</v>
      </c>
      <c r="J33">
        <f t="shared" ca="1" si="4"/>
        <v>1582.8703341015785</v>
      </c>
      <c r="K33">
        <f t="shared" ca="1" si="4"/>
        <v>1170.167809026693</v>
      </c>
      <c r="L33">
        <f t="shared" ca="1" si="4"/>
        <v>1294.1378648840339</v>
      </c>
      <c r="M33">
        <f t="shared" ca="1" si="4"/>
        <v>1230.5927311380608</v>
      </c>
      <c r="N33">
        <f t="shared" ca="1" si="4"/>
        <v>1294.1378648840339</v>
      </c>
      <c r="O33">
        <f t="shared" ca="1" si="4"/>
        <v>1170.1678090266932</v>
      </c>
      <c r="P33">
        <f t="shared" ca="1" si="4"/>
        <v>1170.1678090266935</v>
      </c>
      <c r="Q33">
        <f t="shared" ca="1" si="4"/>
        <v>1230.5927311380613</v>
      </c>
      <c r="R33">
        <f t="shared" ca="1" si="4"/>
        <v>1230.5927311380608</v>
      </c>
      <c r="S33">
        <f t="shared" ca="1" si="4"/>
        <v>1170.1678090266935</v>
      </c>
      <c r="T33">
        <f t="shared" ca="1" si="9"/>
        <v>1112.7098890109644</v>
      </c>
      <c r="U33">
        <f t="shared" ca="1" si="9"/>
        <v>1360.9643312111432</v>
      </c>
      <c r="V33">
        <f t="shared" ca="1" si="9"/>
        <v>1294.1378648840334</v>
      </c>
      <c r="W33">
        <f t="shared" ca="1" si="9"/>
        <v>1360.9643312111432</v>
      </c>
      <c r="X33">
        <f t="shared" ca="1" si="9"/>
        <v>909.73971081296986</v>
      </c>
      <c r="Y33">
        <f t="shared" ca="1" si="9"/>
        <v>1294.1378648840339</v>
      </c>
      <c r="Z33">
        <f t="shared" ca="1" si="9"/>
        <v>1360.9643312111432</v>
      </c>
      <c r="AA33">
        <f t="shared" ca="1" si="9"/>
        <v>1294.1378648840334</v>
      </c>
      <c r="AB33">
        <f t="shared" ca="1" si="9"/>
        <v>1170.167809026693</v>
      </c>
      <c r="AC33">
        <f t="shared" ca="1" si="9"/>
        <v>1170.167809026693</v>
      </c>
      <c r="AD33">
        <f t="shared" ca="1" si="9"/>
        <v>1230.5927311380613</v>
      </c>
      <c r="AE33">
        <f t="shared" ca="1" si="9"/>
        <v>1112.7098890109644</v>
      </c>
      <c r="AF33">
        <f t="shared" ca="1" si="9"/>
        <v>1294.1378648840339</v>
      </c>
      <c r="AG33">
        <f t="shared" ca="1" si="9"/>
        <v>1170.1678090266935</v>
      </c>
      <c r="AH33">
        <f t="shared" ca="1" si="9"/>
        <v>1006.1194624136671</v>
      </c>
      <c r="AI33">
        <f t="shared" ca="1" si="8"/>
        <v>1006.1194624136672</v>
      </c>
      <c r="AJ33">
        <f t="shared" ca="1" si="8"/>
        <v>1058.0732844912411</v>
      </c>
      <c r="AK33">
        <f t="shared" ca="1" si="8"/>
        <v>1058.0732844912411</v>
      </c>
      <c r="AL33">
        <f t="shared" ca="1" si="8"/>
        <v>1112.7098890109644</v>
      </c>
      <c r="AM33">
        <f t="shared" ca="1" si="8"/>
        <v>1170.167809026693</v>
      </c>
      <c r="AN33">
        <f t="shared" ca="1" si="8"/>
        <v>1360.9643312111432</v>
      </c>
      <c r="AO33">
        <f t="shared" ca="1" si="8"/>
        <v>956.7166920146791</v>
      </c>
      <c r="AP33">
        <f t="shared" ca="1" si="8"/>
        <v>1112.7098890109644</v>
      </c>
      <c r="AQ33">
        <f t="shared" ca="1" si="8"/>
        <v>1112.7098890109644</v>
      </c>
      <c r="AR33">
        <f t="shared" ca="1" si="8"/>
        <v>1058.0732844912411</v>
      </c>
      <c r="AS33">
        <f t="shared" ca="1" si="8"/>
        <v>1230.5927311380608</v>
      </c>
      <c r="AT33">
        <f t="shared" ca="1" si="8"/>
        <v>1230.5927311380608</v>
      </c>
      <c r="AU33">
        <f t="shared" ca="1" si="8"/>
        <v>1058.0732844912411</v>
      </c>
      <c r="AV33">
        <f t="shared" ca="1" si="8"/>
        <v>1112.7098890109644</v>
      </c>
      <c r="AW33">
        <f t="shared" ca="1" si="8"/>
        <v>1230.5927311380608</v>
      </c>
      <c r="AX33">
        <f t="shared" ca="1" si="8"/>
        <v>1230.5927311380613</v>
      </c>
      <c r="AY33">
        <f t="shared" ca="1" si="8"/>
        <v>1058.0732844912411</v>
      </c>
      <c r="AZ33">
        <f t="shared" ca="1" si="8"/>
        <v>1294.1378648840339</v>
      </c>
      <c r="BA33">
        <f t="shared" ca="1" si="8"/>
        <v>1112.7098890109644</v>
      </c>
      <c r="BB33">
        <f t="shared" ca="1" si="8"/>
        <v>1112.7098890109644</v>
      </c>
      <c r="BC33">
        <f t="shared" ca="1" si="8"/>
        <v>1230.5927311380613</v>
      </c>
      <c r="BD33">
        <f t="shared" ca="1" si="8"/>
        <v>1112.7098890109644</v>
      </c>
      <c r="BE33">
        <f t="shared" ca="1" si="8"/>
        <v>1431.2415710013786</v>
      </c>
      <c r="BF33">
        <f t="shared" ca="1" si="8"/>
        <v>1058.0732844912411</v>
      </c>
      <c r="BG33">
        <f t="shared" ref="BG33:BV48" ca="1" si="10">BG32*(IF(RAND()&lt;$B$11,$B$9,$B$10))</f>
        <v>1170.1678090266935</v>
      </c>
      <c r="BH33">
        <f t="shared" ca="1" si="10"/>
        <v>1294.1378648840337</v>
      </c>
      <c r="BI33">
        <f t="shared" ca="1" si="10"/>
        <v>1294.1378648840339</v>
      </c>
      <c r="BJ33">
        <f t="shared" ca="1" si="10"/>
        <v>1006.1194624136672</v>
      </c>
      <c r="BK33">
        <f t="shared" ca="1" si="10"/>
        <v>1170.1678090266935</v>
      </c>
      <c r="BL33">
        <f t="shared" ca="1" si="10"/>
        <v>1006.1194624136672</v>
      </c>
      <c r="BM33">
        <f t="shared" ca="1" si="10"/>
        <v>1170.1678090266935</v>
      </c>
      <c r="BN33">
        <f t="shared" ca="1" si="10"/>
        <v>1294.1378648840339</v>
      </c>
      <c r="BO33">
        <f t="shared" ca="1" si="10"/>
        <v>1170.167809026693</v>
      </c>
      <c r="BP33">
        <f t="shared" ca="1" si="5"/>
        <v>1294.1378648840339</v>
      </c>
      <c r="BQ33">
        <f t="shared" ca="1" si="5"/>
        <v>1170.1678090266935</v>
      </c>
      <c r="BR33">
        <f t="shared" ca="1" si="5"/>
        <v>1230.5927311380613</v>
      </c>
      <c r="BS33">
        <f t="shared" ca="1" si="5"/>
        <v>1170.167809026693</v>
      </c>
      <c r="BT33">
        <f t="shared" ca="1" si="5"/>
        <v>1294.1378648840337</v>
      </c>
      <c r="BU33">
        <f t="shared" ca="1" si="5"/>
        <v>1058.0732844912411</v>
      </c>
      <c r="BV33">
        <f t="shared" ca="1" si="5"/>
        <v>1230.5927311380613</v>
      </c>
      <c r="BW33">
        <f t="shared" ca="1" si="5"/>
        <v>1058.0732844912411</v>
      </c>
      <c r="BX33">
        <f t="shared" ca="1" si="5"/>
        <v>1230.5927311380613</v>
      </c>
      <c r="BY33">
        <f t="shared" ca="1" si="5"/>
        <v>1058.0732844912411</v>
      </c>
      <c r="BZ33">
        <f t="shared" ca="1" si="5"/>
        <v>1360.9643312111432</v>
      </c>
      <c r="CA33">
        <f t="shared" ca="1" si="7"/>
        <v>1360.9643312111432</v>
      </c>
      <c r="CB33">
        <f t="shared" ca="1" si="7"/>
        <v>1058.0732844912407</v>
      </c>
      <c r="CC33">
        <f t="shared" ca="1" si="7"/>
        <v>1360.9643312111432</v>
      </c>
      <c r="CD33">
        <f t="shared" ca="1" si="7"/>
        <v>1112.7098890109644</v>
      </c>
      <c r="CE33">
        <f t="shared" ca="1" si="7"/>
        <v>1431.2415710013784</v>
      </c>
      <c r="CF33">
        <f t="shared" ca="1" si="7"/>
        <v>1112.7098890109644</v>
      </c>
      <c r="CG33">
        <f t="shared" ca="1" si="7"/>
        <v>1058.0732844912411</v>
      </c>
      <c r="CH33">
        <f t="shared" ca="1" si="7"/>
        <v>1505.1477746955677</v>
      </c>
      <c r="CI33">
        <f t="shared" ca="1" si="7"/>
        <v>1170.167809026693</v>
      </c>
      <c r="CJ33">
        <f t="shared" ca="1" si="7"/>
        <v>1170.1678090266935</v>
      </c>
      <c r="CK33">
        <f t="shared" ca="1" si="7"/>
        <v>1294.1378648840339</v>
      </c>
      <c r="CL33">
        <f t="shared" ca="1" si="7"/>
        <v>1058.0732844912411</v>
      </c>
      <c r="CM33">
        <f t="shared" ca="1" si="7"/>
        <v>1230.592731138061</v>
      </c>
      <c r="CN33">
        <f t="shared" ca="1" si="7"/>
        <v>1360.9643312111432</v>
      </c>
      <c r="CO33">
        <f t="shared" ca="1" si="7"/>
        <v>1294.1378648840339</v>
      </c>
      <c r="CP33">
        <f t="shared" ca="1" si="7"/>
        <v>1431.2415710013786</v>
      </c>
      <c r="CQ33">
        <f t="shared" ca="1" si="7"/>
        <v>1294.1378648840339</v>
      </c>
      <c r="CR33">
        <f t="shared" ca="1" si="7"/>
        <v>1360.9643312111427</v>
      </c>
      <c r="CS33">
        <f t="shared" ca="1" si="7"/>
        <v>1058.0732844912411</v>
      </c>
      <c r="CT33">
        <f t="shared" ca="1" si="7"/>
        <v>1505.1477746955679</v>
      </c>
      <c r="CU33">
        <f t="shared" ca="1" si="7"/>
        <v>1170.167809026693</v>
      </c>
      <c r="CV33">
        <f t="shared" ca="1" si="7"/>
        <v>1170.167809026693</v>
      </c>
      <c r="CW33">
        <f t="shared" ca="1" si="7"/>
        <v>1170.1678090266935</v>
      </c>
      <c r="CX33">
        <f t="shared" ca="1" si="7"/>
        <v>1112.7098890109644</v>
      </c>
      <c r="CY33">
        <f t="shared" ca="1" si="7"/>
        <v>1230.5927311380608</v>
      </c>
    </row>
    <row r="34" spans="1:103">
      <c r="A34">
        <v>18</v>
      </c>
      <c r="B34">
        <v>18</v>
      </c>
      <c r="C34">
        <v>18</v>
      </c>
      <c r="D34">
        <f t="shared" ref="D34:S49" ca="1" si="11">D33*(IF(RAND()&lt;$B$11,$B$9,$B$10))</f>
        <v>1199.9999999999995</v>
      </c>
      <c r="E34">
        <f t="shared" ca="1" si="11"/>
        <v>1141.0772510686097</v>
      </c>
      <c r="F34">
        <f t="shared" ca="1" si="11"/>
        <v>1261.9653916081936</v>
      </c>
      <c r="G34">
        <f t="shared" ca="1" si="11"/>
        <v>1327.1305413473522</v>
      </c>
      <c r="H34">
        <f t="shared" ca="1" si="11"/>
        <v>1327.1305413473522</v>
      </c>
      <c r="I34">
        <f t="shared" ca="1" si="11"/>
        <v>1261.9653916081936</v>
      </c>
      <c r="J34">
        <f t="shared" ca="1" si="11"/>
        <v>1543.5199256908286</v>
      </c>
      <c r="K34">
        <f t="shared" ca="1" si="11"/>
        <v>1199.9999999999995</v>
      </c>
      <c r="L34">
        <f t="shared" ca="1" si="11"/>
        <v>1327.1305413473522</v>
      </c>
      <c r="M34">
        <f t="shared" ca="1" si="11"/>
        <v>1199.9999999999995</v>
      </c>
      <c r="N34">
        <f t="shared" ca="1" si="11"/>
        <v>1327.1305413473522</v>
      </c>
      <c r="O34">
        <f t="shared" ca="1" si="11"/>
        <v>1199.9999999999998</v>
      </c>
      <c r="P34">
        <f t="shared" ca="1" si="11"/>
        <v>1141.0772510686099</v>
      </c>
      <c r="Q34">
        <f t="shared" ca="1" si="11"/>
        <v>1200</v>
      </c>
      <c r="R34">
        <f t="shared" ca="1" si="11"/>
        <v>1199.9999999999995</v>
      </c>
      <c r="S34">
        <f t="shared" ca="1" si="11"/>
        <v>1200</v>
      </c>
      <c r="T34">
        <f t="shared" ca="1" si="9"/>
        <v>1141.0772510686097</v>
      </c>
      <c r="U34">
        <f t="shared" ca="1" si="9"/>
        <v>1327.1305413473522</v>
      </c>
      <c r="V34">
        <f t="shared" ca="1" si="9"/>
        <v>1261.9653916081936</v>
      </c>
      <c r="W34">
        <f t="shared" ca="1" si="9"/>
        <v>1327.1305413473522</v>
      </c>
      <c r="X34">
        <f t="shared" ca="1" si="9"/>
        <v>887.12343682215885</v>
      </c>
      <c r="Y34">
        <f t="shared" ca="1" si="9"/>
        <v>1327.1305413473522</v>
      </c>
      <c r="Z34">
        <f t="shared" ca="1" si="9"/>
        <v>1395.6606777721715</v>
      </c>
      <c r="AA34">
        <f t="shared" ca="1" si="9"/>
        <v>1261.9653916081936</v>
      </c>
      <c r="AB34">
        <f t="shared" ca="1" si="9"/>
        <v>1199.9999999999995</v>
      </c>
      <c r="AC34">
        <f t="shared" ca="1" si="9"/>
        <v>1199.9999999999995</v>
      </c>
      <c r="AD34">
        <f t="shared" ca="1" si="9"/>
        <v>1200</v>
      </c>
      <c r="AE34">
        <f t="shared" ca="1" si="9"/>
        <v>1141.0772510686097</v>
      </c>
      <c r="AF34">
        <f t="shared" ca="1" si="9"/>
        <v>1327.1305413473522</v>
      </c>
      <c r="AG34">
        <f t="shared" ca="1" si="9"/>
        <v>1200</v>
      </c>
      <c r="AH34">
        <f t="shared" ca="1" si="9"/>
        <v>1031.7694142523271</v>
      </c>
      <c r="AI34">
        <f t="shared" ca="1" si="9"/>
        <v>1031.7694142523274</v>
      </c>
      <c r="AJ34">
        <f t="shared" ref="AJ34:BF45" ca="1" si="12">AJ33*(IF(RAND()&lt;$B$11,$B$9,$B$10))</f>
        <v>1031.7694142523274</v>
      </c>
      <c r="AK34">
        <f t="shared" ca="1" si="12"/>
        <v>1031.7694142523274</v>
      </c>
      <c r="AL34">
        <f t="shared" ca="1" si="12"/>
        <v>1141.0772510686097</v>
      </c>
      <c r="AM34">
        <f t="shared" ca="1" si="12"/>
        <v>1199.9999999999995</v>
      </c>
      <c r="AN34">
        <f t="shared" ca="1" si="12"/>
        <v>1327.1305413473522</v>
      </c>
      <c r="AO34">
        <f t="shared" ca="1" si="12"/>
        <v>981.10717245976286</v>
      </c>
      <c r="AP34">
        <f t="shared" ca="1" si="12"/>
        <v>1085.0477440885795</v>
      </c>
      <c r="AQ34">
        <f t="shared" ca="1" si="12"/>
        <v>1141.0772510686097</v>
      </c>
      <c r="AR34">
        <f t="shared" ca="1" si="12"/>
        <v>1085.0477440885795</v>
      </c>
      <c r="AS34">
        <f t="shared" ca="1" si="12"/>
        <v>1199.9999999999995</v>
      </c>
      <c r="AT34">
        <f t="shared" ca="1" si="12"/>
        <v>1261.9653916081936</v>
      </c>
      <c r="AU34">
        <f t="shared" ca="1" si="12"/>
        <v>1031.7694142523274</v>
      </c>
      <c r="AV34">
        <f t="shared" ca="1" si="12"/>
        <v>1141.0772510686097</v>
      </c>
      <c r="AW34">
        <f t="shared" ca="1" si="12"/>
        <v>1261.9653916081936</v>
      </c>
      <c r="AX34">
        <f t="shared" ca="1" si="12"/>
        <v>1200</v>
      </c>
      <c r="AY34">
        <f t="shared" ca="1" si="12"/>
        <v>1031.7694142523274</v>
      </c>
      <c r="AZ34">
        <f t="shared" ca="1" si="12"/>
        <v>1327.1305413473522</v>
      </c>
      <c r="BA34">
        <f t="shared" ca="1" si="12"/>
        <v>1141.0772510686097</v>
      </c>
      <c r="BB34">
        <f t="shared" ca="1" si="12"/>
        <v>1085.0477440885795</v>
      </c>
      <c r="BC34">
        <f t="shared" ca="1" si="12"/>
        <v>1200</v>
      </c>
      <c r="BD34">
        <f t="shared" ca="1" si="12"/>
        <v>1141.0772510686097</v>
      </c>
      <c r="BE34">
        <f t="shared" ca="1" si="12"/>
        <v>1395.6606777721715</v>
      </c>
      <c r="BF34">
        <f t="shared" ca="1" si="12"/>
        <v>1085.0477440885795</v>
      </c>
      <c r="BG34">
        <f t="shared" ca="1" si="10"/>
        <v>1200</v>
      </c>
      <c r="BH34">
        <f t="shared" ca="1" si="10"/>
        <v>1261.9653916081938</v>
      </c>
      <c r="BI34">
        <f t="shared" ca="1" si="10"/>
        <v>1261.9653916081941</v>
      </c>
      <c r="BJ34">
        <f t="shared" ca="1" si="10"/>
        <v>1031.7694142523274</v>
      </c>
      <c r="BK34">
        <f t="shared" ca="1" si="10"/>
        <v>1200</v>
      </c>
      <c r="BL34">
        <f t="shared" ca="1" si="10"/>
        <v>1031.7694142523274</v>
      </c>
      <c r="BM34">
        <f t="shared" ca="1" si="10"/>
        <v>1200</v>
      </c>
      <c r="BN34">
        <f t="shared" ca="1" si="10"/>
        <v>1327.1305413473522</v>
      </c>
      <c r="BO34">
        <f t="shared" ca="1" si="10"/>
        <v>1141.0772510686097</v>
      </c>
      <c r="BP34">
        <f t="shared" ca="1" si="5"/>
        <v>1327.1305413473522</v>
      </c>
      <c r="BQ34">
        <f t="shared" ca="1" si="5"/>
        <v>1200</v>
      </c>
      <c r="BR34">
        <f t="shared" ca="1" si="5"/>
        <v>1200</v>
      </c>
      <c r="BS34">
        <f t="shared" ca="1" si="5"/>
        <v>1199.9999999999995</v>
      </c>
      <c r="BT34">
        <f t="shared" ca="1" si="5"/>
        <v>1261.9653916081938</v>
      </c>
      <c r="BU34">
        <f t="shared" ca="1" si="5"/>
        <v>1085.0477440885795</v>
      </c>
      <c r="BV34">
        <f t="shared" ca="1" si="5"/>
        <v>1261.9653916081941</v>
      </c>
      <c r="BW34">
        <f t="shared" ca="1" si="5"/>
        <v>1085.0477440885795</v>
      </c>
      <c r="BX34">
        <f t="shared" ca="1" si="5"/>
        <v>1200</v>
      </c>
      <c r="BY34">
        <f t="shared" ca="1" si="5"/>
        <v>1031.7694142523274</v>
      </c>
      <c r="BZ34">
        <f t="shared" ca="1" si="5"/>
        <v>1395.6606777721715</v>
      </c>
      <c r="CA34">
        <f t="shared" ca="1" si="7"/>
        <v>1327.1305413473522</v>
      </c>
      <c r="CB34">
        <f t="shared" ca="1" si="7"/>
        <v>1085.0477440885791</v>
      </c>
      <c r="CC34">
        <f t="shared" ca="1" si="7"/>
        <v>1395.6606777721715</v>
      </c>
      <c r="CD34">
        <f t="shared" ca="1" si="7"/>
        <v>1141.0772510686097</v>
      </c>
      <c r="CE34">
        <f t="shared" ca="1" si="7"/>
        <v>1395.6606777721713</v>
      </c>
      <c r="CF34">
        <f t="shared" ref="CF34:CY46" ca="1" si="13">CF33*(IF(RAND()&lt;$B$11,$B$9,$B$10))</f>
        <v>1085.0477440885795</v>
      </c>
      <c r="CG34">
        <f t="shared" ca="1" si="13"/>
        <v>1085.0477440885795</v>
      </c>
      <c r="CH34">
        <f t="shared" ca="1" si="13"/>
        <v>1543.5199256908284</v>
      </c>
      <c r="CI34">
        <f t="shared" ca="1" si="13"/>
        <v>1141.0772510686097</v>
      </c>
      <c r="CJ34">
        <f t="shared" ca="1" si="13"/>
        <v>1141.0772510686099</v>
      </c>
      <c r="CK34">
        <f t="shared" ca="1" si="13"/>
        <v>1327.1305413473522</v>
      </c>
      <c r="CL34">
        <f t="shared" ca="1" si="13"/>
        <v>1031.7694142523274</v>
      </c>
      <c r="CM34">
        <f t="shared" ca="1" si="13"/>
        <v>1199.9999999999998</v>
      </c>
      <c r="CN34">
        <f t="shared" ca="1" si="13"/>
        <v>1395.6606777721715</v>
      </c>
      <c r="CO34">
        <f t="shared" ca="1" si="13"/>
        <v>1327.1305413473522</v>
      </c>
      <c r="CP34">
        <f t="shared" ca="1" si="13"/>
        <v>1395.6606777721715</v>
      </c>
      <c r="CQ34">
        <f t="shared" ca="1" si="13"/>
        <v>1327.1305413473522</v>
      </c>
      <c r="CR34">
        <f t="shared" ca="1" si="13"/>
        <v>1395.6606777721711</v>
      </c>
      <c r="CS34">
        <f t="shared" ca="1" si="13"/>
        <v>1031.7694142523274</v>
      </c>
      <c r="CT34">
        <f t="shared" ca="1" si="13"/>
        <v>1467.7295614807631</v>
      </c>
      <c r="CU34">
        <f t="shared" ca="1" si="13"/>
        <v>1199.9999999999995</v>
      </c>
      <c r="CV34">
        <f t="shared" ca="1" si="13"/>
        <v>1141.0772510686097</v>
      </c>
      <c r="CW34">
        <f t="shared" ca="1" si="13"/>
        <v>1200</v>
      </c>
      <c r="CX34">
        <f t="shared" ca="1" si="13"/>
        <v>1141.0772510686097</v>
      </c>
      <c r="CY34">
        <f t="shared" ca="1" si="13"/>
        <v>1199.9999999999995</v>
      </c>
    </row>
    <row r="35" spans="1:103">
      <c r="A35">
        <v>19</v>
      </c>
      <c r="B35">
        <v>19</v>
      </c>
      <c r="C35">
        <v>19</v>
      </c>
      <c r="D35">
        <f t="shared" ca="1" si="11"/>
        <v>1170.167809026693</v>
      </c>
      <c r="E35">
        <f t="shared" ca="1" si="11"/>
        <v>1112.7098890109644</v>
      </c>
      <c r="F35">
        <f t="shared" ca="1" si="11"/>
        <v>1230.5927311380608</v>
      </c>
      <c r="G35">
        <f t="shared" ca="1" si="11"/>
        <v>1360.9643312111432</v>
      </c>
      <c r="H35">
        <f t="shared" ca="1" si="11"/>
        <v>1360.9643312111432</v>
      </c>
      <c r="I35">
        <f t="shared" ca="1" si="11"/>
        <v>1294.1378648840334</v>
      </c>
      <c r="J35">
        <f t="shared" ca="1" si="11"/>
        <v>1505.1477746955679</v>
      </c>
      <c r="K35">
        <f t="shared" ca="1" si="11"/>
        <v>1230.5927311380608</v>
      </c>
      <c r="L35">
        <f t="shared" ca="1" si="11"/>
        <v>1294.1378648840339</v>
      </c>
      <c r="M35">
        <f t="shared" ca="1" si="11"/>
        <v>1230.5927311380608</v>
      </c>
      <c r="N35">
        <f t="shared" ca="1" si="11"/>
        <v>1294.1378648840339</v>
      </c>
      <c r="O35">
        <f t="shared" ca="1" si="11"/>
        <v>1230.592731138061</v>
      </c>
      <c r="P35">
        <f t="shared" ca="1" si="11"/>
        <v>1112.7098890109644</v>
      </c>
      <c r="Q35">
        <f t="shared" ca="1" si="11"/>
        <v>1230.5927311380613</v>
      </c>
      <c r="R35">
        <f t="shared" ca="1" si="11"/>
        <v>1230.5927311380608</v>
      </c>
      <c r="S35">
        <f t="shared" ca="1" si="11"/>
        <v>1230.5927311380613</v>
      </c>
      <c r="T35">
        <f t="shared" ca="1" si="9"/>
        <v>1170.167809026693</v>
      </c>
      <c r="U35">
        <f t="shared" ca="1" si="9"/>
        <v>1360.9643312111432</v>
      </c>
      <c r="V35">
        <f t="shared" ca="1" si="9"/>
        <v>1230.5927311380608</v>
      </c>
      <c r="W35">
        <f t="shared" ca="1" si="9"/>
        <v>1360.9643312111432</v>
      </c>
      <c r="X35">
        <f t="shared" ca="1" si="9"/>
        <v>909.73971081296986</v>
      </c>
      <c r="Y35">
        <f t="shared" ca="1" si="9"/>
        <v>1360.9643312111432</v>
      </c>
      <c r="Z35">
        <f t="shared" ca="1" si="9"/>
        <v>1431.2415710013786</v>
      </c>
      <c r="AA35">
        <f t="shared" ca="1" si="9"/>
        <v>1230.5927311380608</v>
      </c>
      <c r="AB35">
        <f t="shared" ca="1" si="9"/>
        <v>1230.5927311380608</v>
      </c>
      <c r="AC35">
        <f t="shared" ca="1" si="9"/>
        <v>1170.167809026693</v>
      </c>
      <c r="AD35">
        <f t="shared" ca="1" si="9"/>
        <v>1170.1678090266935</v>
      </c>
      <c r="AE35">
        <f t="shared" ca="1" si="9"/>
        <v>1170.167809026693</v>
      </c>
      <c r="AF35">
        <f t="shared" ca="1" si="9"/>
        <v>1360.9643312111432</v>
      </c>
      <c r="AG35">
        <f t="shared" ca="1" si="9"/>
        <v>1170.1678090266935</v>
      </c>
      <c r="AH35">
        <f t="shared" ca="1" si="9"/>
        <v>1006.119462413667</v>
      </c>
      <c r="AI35">
        <f t="shared" ca="1" si="9"/>
        <v>1006.1194624136672</v>
      </c>
      <c r="AJ35">
        <f t="shared" ca="1" si="12"/>
        <v>1058.0732844912411</v>
      </c>
      <c r="AK35">
        <f t="shared" ca="1" si="12"/>
        <v>1058.0732844912411</v>
      </c>
      <c r="AL35">
        <f t="shared" ca="1" si="12"/>
        <v>1112.7098890109644</v>
      </c>
      <c r="AM35">
        <f t="shared" ca="1" si="12"/>
        <v>1230.5927311380608</v>
      </c>
      <c r="AN35">
        <f t="shared" ca="1" si="12"/>
        <v>1294.1378648840339</v>
      </c>
      <c r="AO35">
        <f t="shared" ca="1" si="12"/>
        <v>956.7166920146791</v>
      </c>
      <c r="AP35">
        <f t="shared" ca="1" si="12"/>
        <v>1058.0732844912411</v>
      </c>
      <c r="AQ35">
        <f t="shared" ca="1" si="12"/>
        <v>1170.167809026693</v>
      </c>
      <c r="AR35">
        <f t="shared" ca="1" si="12"/>
        <v>1058.0732844912411</v>
      </c>
      <c r="AS35">
        <f t="shared" ca="1" si="12"/>
        <v>1170.167809026693</v>
      </c>
      <c r="AT35">
        <f t="shared" ca="1" si="12"/>
        <v>1230.5927311380608</v>
      </c>
      <c r="AU35">
        <f t="shared" ca="1" si="12"/>
        <v>1058.0732844912411</v>
      </c>
      <c r="AV35">
        <f t="shared" ca="1" si="12"/>
        <v>1112.7098890109644</v>
      </c>
      <c r="AW35">
        <f t="shared" ca="1" si="12"/>
        <v>1294.1378648840334</v>
      </c>
      <c r="AX35">
        <f t="shared" ca="1" si="12"/>
        <v>1170.1678090266935</v>
      </c>
      <c r="AY35">
        <f t="shared" ca="1" si="12"/>
        <v>1058.0732844912411</v>
      </c>
      <c r="AZ35">
        <f t="shared" ca="1" si="12"/>
        <v>1294.1378648840339</v>
      </c>
      <c r="BA35">
        <f t="shared" ca="1" si="12"/>
        <v>1170.167809026693</v>
      </c>
      <c r="BB35">
        <f t="shared" ca="1" si="12"/>
        <v>1058.0732844912411</v>
      </c>
      <c r="BC35">
        <f t="shared" ca="1" si="12"/>
        <v>1230.5927311380613</v>
      </c>
      <c r="BD35">
        <f t="shared" ca="1" si="12"/>
        <v>1112.7098890109644</v>
      </c>
      <c r="BE35">
        <f t="shared" ca="1" si="12"/>
        <v>1360.9643312111432</v>
      </c>
      <c r="BF35">
        <f t="shared" ca="1" si="12"/>
        <v>1112.7098890109644</v>
      </c>
      <c r="BG35">
        <f t="shared" ca="1" si="10"/>
        <v>1170.1678090266935</v>
      </c>
      <c r="BH35">
        <f t="shared" ca="1" si="10"/>
        <v>1294.1378648840337</v>
      </c>
      <c r="BI35">
        <f t="shared" ca="1" si="10"/>
        <v>1294.1378648840339</v>
      </c>
      <c r="BJ35">
        <f t="shared" ca="1" si="10"/>
        <v>1058.0732844912411</v>
      </c>
      <c r="BK35">
        <f t="shared" ca="1" si="10"/>
        <v>1230.5927311380613</v>
      </c>
      <c r="BL35">
        <f t="shared" ca="1" si="10"/>
        <v>1058.0732844912411</v>
      </c>
      <c r="BM35">
        <f t="shared" ca="1" si="10"/>
        <v>1230.5927311380613</v>
      </c>
      <c r="BN35">
        <f t="shared" ca="1" si="10"/>
        <v>1360.9643312111432</v>
      </c>
      <c r="BO35">
        <f t="shared" ca="1" si="10"/>
        <v>1170.167809026693</v>
      </c>
      <c r="BP35">
        <f t="shared" ca="1" si="5"/>
        <v>1360.9643312111432</v>
      </c>
      <c r="BQ35">
        <f t="shared" ca="1" si="5"/>
        <v>1170.1678090266935</v>
      </c>
      <c r="BR35">
        <f t="shared" ca="1" si="5"/>
        <v>1230.5927311380613</v>
      </c>
      <c r="BS35">
        <f t="shared" ca="1" si="5"/>
        <v>1170.167809026693</v>
      </c>
      <c r="BT35">
        <f t="shared" ca="1" si="5"/>
        <v>1230.592731138061</v>
      </c>
      <c r="BU35">
        <f t="shared" ca="1" si="5"/>
        <v>1058.0732844912411</v>
      </c>
      <c r="BV35">
        <f t="shared" ca="1" si="5"/>
        <v>1294.1378648840339</v>
      </c>
      <c r="BW35">
        <f t="shared" ca="1" si="5"/>
        <v>1058.0732844912411</v>
      </c>
      <c r="BX35">
        <f t="shared" ca="1" si="5"/>
        <v>1170.1678090266935</v>
      </c>
      <c r="BY35">
        <f t="shared" ca="1" si="5"/>
        <v>1006.1194624136672</v>
      </c>
      <c r="BZ35">
        <f t="shared" ca="1" si="5"/>
        <v>1431.2415710013786</v>
      </c>
      <c r="CA35">
        <f t="shared" ca="1" si="5"/>
        <v>1360.9643312111432</v>
      </c>
      <c r="CB35">
        <f t="shared" ca="1" si="5"/>
        <v>1058.0732844912407</v>
      </c>
      <c r="CC35">
        <f t="shared" ca="1" si="5"/>
        <v>1360.9643312111432</v>
      </c>
      <c r="CD35">
        <f t="shared" ca="1" si="5"/>
        <v>1112.7098890109644</v>
      </c>
      <c r="CE35">
        <f t="shared" ca="1" si="5"/>
        <v>1431.2415710013784</v>
      </c>
      <c r="CF35">
        <f t="shared" ca="1" si="13"/>
        <v>1058.0732844912411</v>
      </c>
      <c r="CG35">
        <f t="shared" ca="1" si="13"/>
        <v>1058.0732844912411</v>
      </c>
      <c r="CH35">
        <f t="shared" ca="1" si="13"/>
        <v>1505.1477746955677</v>
      </c>
      <c r="CI35">
        <f t="shared" ca="1" si="13"/>
        <v>1170.167809026693</v>
      </c>
      <c r="CJ35">
        <f t="shared" ca="1" si="13"/>
        <v>1170.1678090266932</v>
      </c>
      <c r="CK35">
        <f t="shared" ca="1" si="13"/>
        <v>1294.1378648840339</v>
      </c>
      <c r="CL35">
        <f t="shared" ca="1" si="13"/>
        <v>1006.1194624136672</v>
      </c>
      <c r="CM35">
        <f t="shared" ca="1" si="13"/>
        <v>1230.592731138061</v>
      </c>
      <c r="CN35">
        <f t="shared" ca="1" si="13"/>
        <v>1431.2415710013786</v>
      </c>
      <c r="CO35">
        <f t="shared" ca="1" si="13"/>
        <v>1360.9643312111432</v>
      </c>
      <c r="CP35">
        <f t="shared" ca="1" si="13"/>
        <v>1360.9643312111432</v>
      </c>
      <c r="CQ35">
        <f t="shared" ca="1" si="13"/>
        <v>1360.9643312111432</v>
      </c>
      <c r="CR35">
        <f t="shared" ca="1" si="13"/>
        <v>1431.2415710013781</v>
      </c>
      <c r="CS35">
        <f t="shared" ca="1" si="13"/>
        <v>1006.1194624136672</v>
      </c>
      <c r="CT35">
        <f t="shared" ca="1" si="13"/>
        <v>1505.1477746955677</v>
      </c>
      <c r="CU35">
        <f t="shared" ca="1" si="13"/>
        <v>1170.167809026693</v>
      </c>
      <c r="CV35">
        <f t="shared" ca="1" si="13"/>
        <v>1170.167809026693</v>
      </c>
      <c r="CW35">
        <f t="shared" ca="1" si="13"/>
        <v>1170.1678090266935</v>
      </c>
      <c r="CX35">
        <f t="shared" ca="1" si="13"/>
        <v>1170.167809026693</v>
      </c>
      <c r="CY35">
        <f t="shared" ca="1" si="13"/>
        <v>1170.167809026693</v>
      </c>
    </row>
    <row r="36" spans="1:103">
      <c r="A36">
        <v>20</v>
      </c>
      <c r="B36">
        <v>20</v>
      </c>
      <c r="C36">
        <v>20</v>
      </c>
      <c r="D36">
        <f t="shared" ca="1" si="11"/>
        <v>1199.9999999999995</v>
      </c>
      <c r="E36">
        <f t="shared" ca="1" si="11"/>
        <v>1141.0772510686097</v>
      </c>
      <c r="F36">
        <f t="shared" ca="1" si="11"/>
        <v>1199.9999999999995</v>
      </c>
      <c r="G36">
        <f t="shared" ca="1" si="11"/>
        <v>1395.6606777721715</v>
      </c>
      <c r="H36">
        <f t="shared" ca="1" si="11"/>
        <v>1395.6606777721715</v>
      </c>
      <c r="I36">
        <f t="shared" ca="1" si="11"/>
        <v>1261.9653916081936</v>
      </c>
      <c r="J36">
        <f t="shared" ca="1" si="11"/>
        <v>1543.5199256908286</v>
      </c>
      <c r="K36">
        <f t="shared" ca="1" si="11"/>
        <v>1199.9999999999995</v>
      </c>
      <c r="L36">
        <f t="shared" ca="1" si="11"/>
        <v>1327.1305413473522</v>
      </c>
      <c r="M36">
        <f t="shared" ca="1" si="11"/>
        <v>1199.9999999999995</v>
      </c>
      <c r="N36">
        <f t="shared" ca="1" si="11"/>
        <v>1327.1305413473522</v>
      </c>
      <c r="O36">
        <f t="shared" ca="1" si="11"/>
        <v>1261.9653916081938</v>
      </c>
      <c r="P36">
        <f t="shared" ca="1" si="11"/>
        <v>1085.0477440885795</v>
      </c>
      <c r="Q36">
        <f t="shared" ca="1" si="11"/>
        <v>1261.9653916081941</v>
      </c>
      <c r="R36">
        <f t="shared" ca="1" si="11"/>
        <v>1199.9999999999995</v>
      </c>
      <c r="S36">
        <f t="shared" ca="1" si="11"/>
        <v>1261.9653916081941</v>
      </c>
      <c r="T36">
        <f t="shared" ca="1" si="9"/>
        <v>1141.0772510686097</v>
      </c>
      <c r="U36">
        <f t="shared" ca="1" si="9"/>
        <v>1327.1305413473522</v>
      </c>
      <c r="V36">
        <f t="shared" ca="1" si="9"/>
        <v>1199.9999999999995</v>
      </c>
      <c r="W36">
        <f t="shared" ca="1" si="9"/>
        <v>1395.6606777721715</v>
      </c>
      <c r="X36">
        <f t="shared" ca="1" si="9"/>
        <v>932.93256279506886</v>
      </c>
      <c r="Y36">
        <f t="shared" ca="1" si="9"/>
        <v>1327.1305413473522</v>
      </c>
      <c r="Z36">
        <f t="shared" ca="1" si="9"/>
        <v>1467.7295614807633</v>
      </c>
      <c r="AA36">
        <f t="shared" ca="1" si="9"/>
        <v>1199.9999999999995</v>
      </c>
      <c r="AB36">
        <f t="shared" ca="1" si="9"/>
        <v>1261.9653916081936</v>
      </c>
      <c r="AC36">
        <f t="shared" ca="1" si="9"/>
        <v>1141.0772510686097</v>
      </c>
      <c r="AD36">
        <f t="shared" ca="1" si="9"/>
        <v>1200</v>
      </c>
      <c r="AE36">
        <f t="shared" ca="1" si="9"/>
        <v>1199.9999999999995</v>
      </c>
      <c r="AF36">
        <f t="shared" ca="1" si="9"/>
        <v>1327.1305413473522</v>
      </c>
      <c r="AG36">
        <f t="shared" ca="1" si="9"/>
        <v>1200</v>
      </c>
      <c r="AH36">
        <f t="shared" ca="1" si="9"/>
        <v>1031.7694142523271</v>
      </c>
      <c r="AI36">
        <f t="shared" ca="1" si="9"/>
        <v>1031.7694142523274</v>
      </c>
      <c r="AJ36">
        <f t="shared" ca="1" si="12"/>
        <v>1031.7694142523274</v>
      </c>
      <c r="AK36">
        <f t="shared" ca="1" si="12"/>
        <v>1085.0477440885795</v>
      </c>
      <c r="AL36">
        <f t="shared" ca="1" si="12"/>
        <v>1085.0477440885795</v>
      </c>
      <c r="AM36">
        <f t="shared" ca="1" si="12"/>
        <v>1261.9653916081936</v>
      </c>
      <c r="AN36">
        <f t="shared" ca="1" si="12"/>
        <v>1327.1305413473522</v>
      </c>
      <c r="AO36">
        <f t="shared" ca="1" si="12"/>
        <v>981.10717245976286</v>
      </c>
      <c r="AP36">
        <f t="shared" ca="1" si="12"/>
        <v>1031.7694142523274</v>
      </c>
      <c r="AQ36">
        <f t="shared" ca="1" si="12"/>
        <v>1141.0772510686097</v>
      </c>
      <c r="AR36">
        <f t="shared" ca="1" si="12"/>
        <v>1085.0477440885795</v>
      </c>
      <c r="AS36">
        <f t="shared" ca="1" si="12"/>
        <v>1199.9999999999995</v>
      </c>
      <c r="AT36">
        <f t="shared" ca="1" si="12"/>
        <v>1261.9653916081936</v>
      </c>
      <c r="AU36">
        <f t="shared" ca="1" si="12"/>
        <v>1085.0477440885795</v>
      </c>
      <c r="AV36">
        <f t="shared" ca="1" si="12"/>
        <v>1141.0772510686097</v>
      </c>
      <c r="AW36">
        <f t="shared" ca="1" si="12"/>
        <v>1327.1305413473517</v>
      </c>
      <c r="AX36">
        <f t="shared" ca="1" si="12"/>
        <v>1141.0772510686099</v>
      </c>
      <c r="AY36">
        <f t="shared" ca="1" si="12"/>
        <v>1031.7694142523274</v>
      </c>
      <c r="AZ36">
        <f t="shared" ca="1" si="12"/>
        <v>1327.1305413473522</v>
      </c>
      <c r="BA36">
        <f t="shared" ca="1" si="12"/>
        <v>1199.9999999999995</v>
      </c>
      <c r="BB36">
        <f t="shared" ca="1" si="12"/>
        <v>1031.7694142523274</v>
      </c>
      <c r="BC36">
        <f t="shared" ca="1" si="12"/>
        <v>1261.9653916081941</v>
      </c>
      <c r="BD36">
        <f t="shared" ca="1" si="12"/>
        <v>1085.0477440885795</v>
      </c>
      <c r="BE36">
        <f t="shared" ca="1" si="12"/>
        <v>1327.1305413473522</v>
      </c>
      <c r="BF36">
        <f t="shared" ca="1" si="12"/>
        <v>1141.0772510686097</v>
      </c>
      <c r="BG36">
        <f t="shared" ca="1" si="10"/>
        <v>1141.0772510686099</v>
      </c>
      <c r="BH36">
        <f t="shared" ca="1" si="10"/>
        <v>1327.1305413473519</v>
      </c>
      <c r="BI36">
        <f t="shared" ca="1" si="10"/>
        <v>1327.1305413473522</v>
      </c>
      <c r="BJ36">
        <f t="shared" ca="1" si="10"/>
        <v>1031.7694142523274</v>
      </c>
      <c r="BK36">
        <f t="shared" ca="1" si="10"/>
        <v>1200</v>
      </c>
      <c r="BL36">
        <f t="shared" ca="1" si="10"/>
        <v>1031.7694142523274</v>
      </c>
      <c r="BM36">
        <f t="shared" ca="1" si="10"/>
        <v>1261.9653916081941</v>
      </c>
      <c r="BN36">
        <f t="shared" ca="1" si="10"/>
        <v>1327.1305413473522</v>
      </c>
      <c r="BO36">
        <f t="shared" ca="1" si="10"/>
        <v>1199.9999999999995</v>
      </c>
      <c r="BP36">
        <f t="shared" ca="1" si="10"/>
        <v>1395.6606777721715</v>
      </c>
      <c r="BQ36">
        <f t="shared" ca="1" si="10"/>
        <v>1200</v>
      </c>
      <c r="BR36">
        <f t="shared" ca="1" si="10"/>
        <v>1200</v>
      </c>
      <c r="BS36">
        <f t="shared" ca="1" si="10"/>
        <v>1141.0772510686097</v>
      </c>
      <c r="BT36">
        <f t="shared" ca="1" si="10"/>
        <v>1199.9999999999998</v>
      </c>
      <c r="BU36">
        <f t="shared" ca="1" si="10"/>
        <v>1085.0477440885795</v>
      </c>
      <c r="BV36">
        <f t="shared" ca="1" si="10"/>
        <v>1327.1305413473522</v>
      </c>
      <c r="BW36">
        <f t="shared" ref="BW36:CL51" ca="1" si="14">BW35*(IF(RAND()&lt;$B$11,$B$9,$B$10))</f>
        <v>1085.0477440885795</v>
      </c>
      <c r="BX36">
        <f t="shared" ca="1" si="14"/>
        <v>1141.0772510686099</v>
      </c>
      <c r="BY36">
        <f t="shared" ca="1" si="14"/>
        <v>1031.7694142523274</v>
      </c>
      <c r="BZ36">
        <f t="shared" ca="1" si="14"/>
        <v>1467.7295614807633</v>
      </c>
      <c r="CA36">
        <f t="shared" ca="1" si="14"/>
        <v>1395.6606777721715</v>
      </c>
      <c r="CB36">
        <f t="shared" ca="1" si="14"/>
        <v>1085.0477440885791</v>
      </c>
      <c r="CC36">
        <f t="shared" ca="1" si="14"/>
        <v>1395.6606777721715</v>
      </c>
      <c r="CD36">
        <f t="shared" ca="1" si="14"/>
        <v>1141.0772510686097</v>
      </c>
      <c r="CE36">
        <f t="shared" ca="1" si="14"/>
        <v>1467.7295614807631</v>
      </c>
      <c r="CF36">
        <f t="shared" ca="1" si="13"/>
        <v>1031.7694142523274</v>
      </c>
      <c r="CG36">
        <f t="shared" ca="1" si="13"/>
        <v>1031.7694142523274</v>
      </c>
      <c r="CH36">
        <f t="shared" ca="1" si="13"/>
        <v>1543.5199256908284</v>
      </c>
      <c r="CI36">
        <f t="shared" ca="1" si="13"/>
        <v>1199.9999999999995</v>
      </c>
      <c r="CJ36">
        <f t="shared" ca="1" si="13"/>
        <v>1199.9999999999998</v>
      </c>
      <c r="CK36">
        <f t="shared" ca="1" si="13"/>
        <v>1327.1305413473522</v>
      </c>
      <c r="CL36">
        <f t="shared" ca="1" si="13"/>
        <v>1031.7694142523274</v>
      </c>
      <c r="CM36">
        <f t="shared" ca="1" si="13"/>
        <v>1261.9653916081938</v>
      </c>
      <c r="CN36">
        <f t="shared" ca="1" si="13"/>
        <v>1395.6606777721715</v>
      </c>
      <c r="CO36">
        <f t="shared" ca="1" si="13"/>
        <v>1327.1305413473522</v>
      </c>
      <c r="CP36">
        <f t="shared" ca="1" si="13"/>
        <v>1395.6606777721715</v>
      </c>
      <c r="CQ36">
        <f t="shared" ca="1" si="13"/>
        <v>1327.1305413473522</v>
      </c>
      <c r="CR36">
        <f t="shared" ca="1" si="13"/>
        <v>1467.7295614807629</v>
      </c>
      <c r="CS36">
        <f t="shared" ca="1" si="13"/>
        <v>1031.7694142523274</v>
      </c>
      <c r="CT36">
        <f t="shared" ca="1" si="13"/>
        <v>1467.7295614807629</v>
      </c>
      <c r="CU36">
        <f t="shared" ca="1" si="13"/>
        <v>1199.9999999999995</v>
      </c>
      <c r="CV36">
        <f t="shared" ca="1" si="13"/>
        <v>1199.9999999999995</v>
      </c>
      <c r="CW36">
        <f t="shared" ca="1" si="13"/>
        <v>1141.0772510686099</v>
      </c>
      <c r="CX36">
        <f t="shared" ca="1" si="13"/>
        <v>1199.9999999999995</v>
      </c>
      <c r="CY36">
        <f t="shared" ca="1" si="13"/>
        <v>1199.9999999999995</v>
      </c>
    </row>
    <row r="37" spans="1:103">
      <c r="A37">
        <v>21</v>
      </c>
      <c r="B37">
        <v>21</v>
      </c>
      <c r="C37">
        <v>21</v>
      </c>
      <c r="D37">
        <f t="shared" ca="1" si="11"/>
        <v>1170.167809026693</v>
      </c>
      <c r="E37">
        <f t="shared" ca="1" si="11"/>
        <v>1112.7098890109644</v>
      </c>
      <c r="F37">
        <f t="shared" ca="1" si="11"/>
        <v>1170.167809026693</v>
      </c>
      <c r="G37">
        <f t="shared" ca="1" si="11"/>
        <v>1431.2415710013786</v>
      </c>
      <c r="H37">
        <f t="shared" ca="1" si="11"/>
        <v>1360.9643312111432</v>
      </c>
      <c r="I37">
        <f t="shared" ca="1" si="11"/>
        <v>1294.1378648840334</v>
      </c>
      <c r="J37">
        <f t="shared" ca="1" si="11"/>
        <v>1582.8703341015785</v>
      </c>
      <c r="K37">
        <f t="shared" ca="1" si="11"/>
        <v>1230.5927311380608</v>
      </c>
      <c r="L37">
        <f t="shared" ca="1" si="11"/>
        <v>1360.9643312111432</v>
      </c>
      <c r="M37">
        <f t="shared" ca="1" si="11"/>
        <v>1230.5927311380608</v>
      </c>
      <c r="N37">
        <f t="shared" ca="1" si="11"/>
        <v>1360.9643312111432</v>
      </c>
      <c r="O37">
        <f t="shared" ca="1" si="11"/>
        <v>1230.592731138061</v>
      </c>
      <c r="P37">
        <f t="shared" ca="1" si="11"/>
        <v>1112.7098890109644</v>
      </c>
      <c r="Q37">
        <f t="shared" ca="1" si="11"/>
        <v>1294.1378648840339</v>
      </c>
      <c r="R37">
        <f t="shared" ca="1" si="11"/>
        <v>1170.167809026693</v>
      </c>
      <c r="S37">
        <f t="shared" ca="1" si="11"/>
        <v>1294.1378648840339</v>
      </c>
      <c r="T37">
        <f t="shared" ca="1" si="9"/>
        <v>1112.7098890109644</v>
      </c>
      <c r="U37">
        <f t="shared" ca="1" si="9"/>
        <v>1360.9643312111432</v>
      </c>
      <c r="V37">
        <f t="shared" ca="1" si="9"/>
        <v>1230.5927311380608</v>
      </c>
      <c r="W37">
        <f t="shared" ca="1" si="9"/>
        <v>1431.2415710013786</v>
      </c>
      <c r="X37">
        <f t="shared" ca="1" si="9"/>
        <v>956.71669201467887</v>
      </c>
      <c r="Y37">
        <f t="shared" ca="1" si="9"/>
        <v>1294.1378648840339</v>
      </c>
      <c r="Z37">
        <f t="shared" ca="1" si="9"/>
        <v>1431.2415710013786</v>
      </c>
      <c r="AA37">
        <f t="shared" ca="1" si="9"/>
        <v>1230.5927311380608</v>
      </c>
      <c r="AB37">
        <f t="shared" ca="1" si="9"/>
        <v>1230.5927311380608</v>
      </c>
      <c r="AC37">
        <f t="shared" ca="1" si="9"/>
        <v>1170.167809026693</v>
      </c>
      <c r="AD37">
        <f t="shared" ca="1" si="9"/>
        <v>1230.5927311380613</v>
      </c>
      <c r="AE37">
        <f t="shared" ca="1" si="9"/>
        <v>1170.167809026693</v>
      </c>
      <c r="AF37">
        <f t="shared" ca="1" si="9"/>
        <v>1360.9643312111432</v>
      </c>
      <c r="AG37">
        <f t="shared" ca="1" si="9"/>
        <v>1230.5927311380613</v>
      </c>
      <c r="AH37">
        <f t="shared" ca="1" si="9"/>
        <v>1058.0732844912409</v>
      </c>
      <c r="AI37">
        <f t="shared" ca="1" si="9"/>
        <v>1058.0732844912411</v>
      </c>
      <c r="AJ37">
        <f t="shared" ca="1" si="12"/>
        <v>1058.0732844912411</v>
      </c>
      <c r="AK37">
        <f t="shared" ca="1" si="12"/>
        <v>1112.7098890109644</v>
      </c>
      <c r="AL37">
        <f t="shared" ca="1" si="12"/>
        <v>1112.7098890109644</v>
      </c>
      <c r="AM37">
        <f t="shared" ca="1" si="12"/>
        <v>1230.5927311380608</v>
      </c>
      <c r="AN37">
        <f t="shared" ca="1" si="12"/>
        <v>1360.9643312111432</v>
      </c>
      <c r="AO37">
        <f t="shared" ca="1" si="12"/>
        <v>1006.1194624136671</v>
      </c>
      <c r="AP37">
        <f t="shared" ca="1" si="12"/>
        <v>1006.1194624136672</v>
      </c>
      <c r="AQ37">
        <f t="shared" ca="1" si="12"/>
        <v>1112.7098890109644</v>
      </c>
      <c r="AR37">
        <f t="shared" ca="1" si="12"/>
        <v>1112.7098890109644</v>
      </c>
      <c r="AS37">
        <f t="shared" ca="1" si="12"/>
        <v>1230.5927311380608</v>
      </c>
      <c r="AT37">
        <f t="shared" ca="1" si="12"/>
        <v>1294.1378648840334</v>
      </c>
      <c r="AU37">
        <f t="shared" ca="1" si="12"/>
        <v>1112.7098890109644</v>
      </c>
      <c r="AV37">
        <f t="shared" ca="1" si="12"/>
        <v>1112.7098890109644</v>
      </c>
      <c r="AW37">
        <f t="shared" ca="1" si="12"/>
        <v>1360.9643312111427</v>
      </c>
      <c r="AX37">
        <f t="shared" ca="1" si="12"/>
        <v>1170.1678090266932</v>
      </c>
      <c r="AY37">
        <f t="shared" ca="1" si="12"/>
        <v>1058.0732844912411</v>
      </c>
      <c r="AZ37">
        <f t="shared" ca="1" si="12"/>
        <v>1294.1378648840339</v>
      </c>
      <c r="BA37">
        <f t="shared" ca="1" si="12"/>
        <v>1170.167809026693</v>
      </c>
      <c r="BB37">
        <f t="shared" ca="1" si="12"/>
        <v>1006.1194624136672</v>
      </c>
      <c r="BC37">
        <f t="shared" ca="1" si="12"/>
        <v>1230.5927311380613</v>
      </c>
      <c r="BD37">
        <f t="shared" ca="1" si="12"/>
        <v>1058.0732844912411</v>
      </c>
      <c r="BE37">
        <f t="shared" ca="1" si="12"/>
        <v>1360.9643312111432</v>
      </c>
      <c r="BF37">
        <f t="shared" ca="1" si="12"/>
        <v>1170.167809026693</v>
      </c>
      <c r="BG37">
        <f t="shared" ca="1" si="10"/>
        <v>1170.1678090266932</v>
      </c>
      <c r="BH37">
        <f t="shared" ca="1" si="10"/>
        <v>1360.964331211143</v>
      </c>
      <c r="BI37">
        <f t="shared" ca="1" si="10"/>
        <v>1294.1378648840339</v>
      </c>
      <c r="BJ37">
        <f t="shared" ca="1" si="10"/>
        <v>1006.1194624136672</v>
      </c>
      <c r="BK37">
        <f t="shared" ca="1" si="10"/>
        <v>1230.5927311380613</v>
      </c>
      <c r="BL37">
        <f t="shared" ca="1" si="10"/>
        <v>1006.1194624136672</v>
      </c>
      <c r="BM37">
        <f t="shared" ca="1" si="10"/>
        <v>1230.5927311380613</v>
      </c>
      <c r="BN37">
        <f t="shared" ca="1" si="10"/>
        <v>1360.9643312111432</v>
      </c>
      <c r="BO37">
        <f t="shared" ca="1" si="10"/>
        <v>1170.167809026693</v>
      </c>
      <c r="BP37">
        <f t="shared" ca="1" si="10"/>
        <v>1431.2415710013786</v>
      </c>
      <c r="BQ37">
        <f t="shared" ca="1" si="10"/>
        <v>1170.1678090266935</v>
      </c>
      <c r="BR37">
        <f t="shared" ca="1" si="10"/>
        <v>1230.5927311380613</v>
      </c>
      <c r="BS37">
        <f t="shared" ca="1" si="10"/>
        <v>1170.167809026693</v>
      </c>
      <c r="BT37">
        <f t="shared" ca="1" si="10"/>
        <v>1230.592731138061</v>
      </c>
      <c r="BU37">
        <f t="shared" ca="1" si="10"/>
        <v>1058.0732844912411</v>
      </c>
      <c r="BV37">
        <f t="shared" ca="1" si="10"/>
        <v>1294.1378648840339</v>
      </c>
      <c r="BW37">
        <f t="shared" ca="1" si="14"/>
        <v>1058.0732844912411</v>
      </c>
      <c r="BX37">
        <f t="shared" ca="1" si="14"/>
        <v>1112.7098890109644</v>
      </c>
      <c r="BY37">
        <f t="shared" ca="1" si="14"/>
        <v>1006.1194624136672</v>
      </c>
      <c r="BZ37">
        <f t="shared" ca="1" si="14"/>
        <v>1505.1477746955679</v>
      </c>
      <c r="CA37">
        <f t="shared" ca="1" si="14"/>
        <v>1360.9643312111432</v>
      </c>
      <c r="CB37">
        <f t="shared" ca="1" si="14"/>
        <v>1112.7098890109639</v>
      </c>
      <c r="CC37">
        <f t="shared" ca="1" si="14"/>
        <v>1360.9643312111432</v>
      </c>
      <c r="CD37">
        <f t="shared" ca="1" si="14"/>
        <v>1170.167809026693</v>
      </c>
      <c r="CE37">
        <f t="shared" ca="1" si="14"/>
        <v>1505.1477746955677</v>
      </c>
      <c r="CF37">
        <f t="shared" ca="1" si="13"/>
        <v>1058.0732844912411</v>
      </c>
      <c r="CG37">
        <f t="shared" ca="1" si="13"/>
        <v>1058.0732844912411</v>
      </c>
      <c r="CH37">
        <f t="shared" ca="1" si="13"/>
        <v>1505.1477746955677</v>
      </c>
      <c r="CI37">
        <f t="shared" ca="1" si="13"/>
        <v>1230.5927311380608</v>
      </c>
      <c r="CJ37">
        <f t="shared" ca="1" si="13"/>
        <v>1170.1678090266932</v>
      </c>
      <c r="CK37">
        <f t="shared" ca="1" si="13"/>
        <v>1294.1378648840339</v>
      </c>
      <c r="CL37">
        <f t="shared" ca="1" si="13"/>
        <v>1058.0732844912411</v>
      </c>
      <c r="CM37">
        <f t="shared" ca="1" si="13"/>
        <v>1230.592731138061</v>
      </c>
      <c r="CN37">
        <f t="shared" ca="1" si="13"/>
        <v>1360.9643312111432</v>
      </c>
      <c r="CO37">
        <f t="shared" ca="1" si="13"/>
        <v>1294.1378648840339</v>
      </c>
      <c r="CP37">
        <f t="shared" ca="1" si="13"/>
        <v>1360.9643312111432</v>
      </c>
      <c r="CQ37">
        <f t="shared" ca="1" si="13"/>
        <v>1294.1378648840339</v>
      </c>
      <c r="CR37">
        <f t="shared" ca="1" si="13"/>
        <v>1431.2415710013781</v>
      </c>
      <c r="CS37">
        <f t="shared" ca="1" si="13"/>
        <v>1006.1194624136672</v>
      </c>
      <c r="CT37">
        <f t="shared" ca="1" si="13"/>
        <v>1431.2415710013781</v>
      </c>
      <c r="CU37">
        <f t="shared" ca="1" si="13"/>
        <v>1230.5927311380608</v>
      </c>
      <c r="CV37">
        <f t="shared" ca="1" si="13"/>
        <v>1230.5927311380608</v>
      </c>
      <c r="CW37">
        <f t="shared" ca="1" si="13"/>
        <v>1170.1678090266932</v>
      </c>
      <c r="CX37">
        <f t="shared" ca="1" si="13"/>
        <v>1170.167809026693</v>
      </c>
      <c r="CY37">
        <f t="shared" ca="1" si="13"/>
        <v>1170.167809026693</v>
      </c>
    </row>
    <row r="38" spans="1:103">
      <c r="A38">
        <v>22</v>
      </c>
      <c r="B38">
        <v>22</v>
      </c>
      <c r="C38">
        <v>22</v>
      </c>
      <c r="D38">
        <f t="shared" ca="1" si="11"/>
        <v>1141.0772510686097</v>
      </c>
      <c r="E38">
        <f t="shared" ca="1" si="11"/>
        <v>1141.0772510686097</v>
      </c>
      <c r="F38">
        <f t="shared" ca="1" si="11"/>
        <v>1199.9999999999995</v>
      </c>
      <c r="G38">
        <f t="shared" ca="1" si="11"/>
        <v>1467.7295614807633</v>
      </c>
      <c r="H38">
        <f t="shared" ca="1" si="11"/>
        <v>1395.6606777721715</v>
      </c>
      <c r="I38">
        <f t="shared" ca="1" si="11"/>
        <v>1327.1305413473517</v>
      </c>
      <c r="J38">
        <f t="shared" ca="1" si="11"/>
        <v>1623.2239395662309</v>
      </c>
      <c r="K38">
        <f t="shared" ca="1" si="11"/>
        <v>1261.9653916081936</v>
      </c>
      <c r="L38">
        <f t="shared" ca="1" si="11"/>
        <v>1327.1305413473522</v>
      </c>
      <c r="M38">
        <f t="shared" ca="1" si="11"/>
        <v>1261.9653916081936</v>
      </c>
      <c r="N38">
        <f t="shared" ca="1" si="11"/>
        <v>1327.1305413473522</v>
      </c>
      <c r="O38">
        <f t="shared" ca="1" si="11"/>
        <v>1199.9999999999998</v>
      </c>
      <c r="P38">
        <f t="shared" ca="1" si="11"/>
        <v>1085.0477440885795</v>
      </c>
      <c r="Q38">
        <f t="shared" ca="1" si="11"/>
        <v>1327.1305413473522</v>
      </c>
      <c r="R38">
        <f t="shared" ca="1" si="11"/>
        <v>1199.9999999999995</v>
      </c>
      <c r="S38">
        <f t="shared" ca="1" si="11"/>
        <v>1261.9653916081941</v>
      </c>
      <c r="T38">
        <f t="shared" ca="1" si="9"/>
        <v>1141.0772510686097</v>
      </c>
      <c r="U38">
        <f t="shared" ca="1" si="9"/>
        <v>1395.6606777721715</v>
      </c>
      <c r="V38">
        <f t="shared" ca="1" si="9"/>
        <v>1261.9653916081936</v>
      </c>
      <c r="W38">
        <f t="shared" ca="1" si="9"/>
        <v>1467.7295614807633</v>
      </c>
      <c r="X38">
        <f t="shared" ca="1" si="9"/>
        <v>981.10717245976264</v>
      </c>
      <c r="Y38">
        <f t="shared" ca="1" si="9"/>
        <v>1261.9653916081941</v>
      </c>
      <c r="Z38">
        <f t="shared" ca="1" si="9"/>
        <v>1395.6606777721715</v>
      </c>
      <c r="AA38">
        <f t="shared" ca="1" si="9"/>
        <v>1261.9653916081936</v>
      </c>
      <c r="AB38">
        <f t="shared" ca="1" si="9"/>
        <v>1199.9999999999995</v>
      </c>
      <c r="AC38">
        <f t="shared" ca="1" si="9"/>
        <v>1141.0772510686097</v>
      </c>
      <c r="AD38">
        <f t="shared" ca="1" si="9"/>
        <v>1261.9653916081941</v>
      </c>
      <c r="AE38">
        <f t="shared" ca="1" si="9"/>
        <v>1141.0772510686097</v>
      </c>
      <c r="AF38">
        <f t="shared" ca="1" si="9"/>
        <v>1327.1305413473522</v>
      </c>
      <c r="AG38">
        <f t="shared" ca="1" si="9"/>
        <v>1261.9653916081941</v>
      </c>
      <c r="AH38">
        <f t="shared" ca="1" si="9"/>
        <v>1031.7694142523271</v>
      </c>
      <c r="AI38">
        <f t="shared" ca="1" si="9"/>
        <v>1031.7694142523274</v>
      </c>
      <c r="AJ38">
        <f t="shared" ca="1" si="12"/>
        <v>1031.7694142523274</v>
      </c>
      <c r="AK38">
        <f t="shared" ca="1" si="12"/>
        <v>1141.0772510686097</v>
      </c>
      <c r="AL38">
        <f t="shared" ca="1" si="12"/>
        <v>1141.0772510686097</v>
      </c>
      <c r="AM38">
        <f t="shared" ca="1" si="12"/>
        <v>1261.9653916081936</v>
      </c>
      <c r="AN38">
        <f t="shared" ca="1" si="12"/>
        <v>1395.6606777721715</v>
      </c>
      <c r="AO38">
        <f t="shared" ca="1" si="12"/>
        <v>981.10717245976275</v>
      </c>
      <c r="AP38">
        <f t="shared" ca="1" si="12"/>
        <v>1031.7694142523274</v>
      </c>
      <c r="AQ38">
        <f t="shared" ca="1" si="12"/>
        <v>1085.0477440885795</v>
      </c>
      <c r="AR38">
        <f t="shared" ca="1" si="12"/>
        <v>1085.0477440885795</v>
      </c>
      <c r="AS38">
        <f t="shared" ca="1" si="12"/>
        <v>1261.9653916081936</v>
      </c>
      <c r="AT38">
        <f t="shared" ca="1" si="12"/>
        <v>1261.9653916081936</v>
      </c>
      <c r="AU38">
        <f t="shared" ca="1" si="12"/>
        <v>1085.0477440885795</v>
      </c>
      <c r="AV38">
        <f t="shared" ca="1" si="12"/>
        <v>1141.0772510686097</v>
      </c>
      <c r="AW38">
        <f t="shared" ca="1" si="12"/>
        <v>1395.6606777721711</v>
      </c>
      <c r="AX38">
        <f t="shared" ca="1" si="12"/>
        <v>1141.0772510686097</v>
      </c>
      <c r="AY38">
        <f t="shared" ca="1" si="12"/>
        <v>1031.7694142523274</v>
      </c>
      <c r="AZ38">
        <f t="shared" ca="1" si="12"/>
        <v>1261.9653916081941</v>
      </c>
      <c r="BA38">
        <f t="shared" ca="1" si="12"/>
        <v>1199.9999999999995</v>
      </c>
      <c r="BB38">
        <f t="shared" ca="1" si="12"/>
        <v>1031.7694142523274</v>
      </c>
      <c r="BC38">
        <f t="shared" ca="1" si="12"/>
        <v>1200</v>
      </c>
      <c r="BD38">
        <f t="shared" ca="1" si="12"/>
        <v>1031.7694142523274</v>
      </c>
      <c r="BE38">
        <f t="shared" ca="1" si="12"/>
        <v>1395.6606777721715</v>
      </c>
      <c r="BF38">
        <f t="shared" ca="1" si="12"/>
        <v>1141.0772510686097</v>
      </c>
      <c r="BG38">
        <f t="shared" ca="1" si="10"/>
        <v>1141.0772510686097</v>
      </c>
      <c r="BH38">
        <f t="shared" ca="1" si="10"/>
        <v>1395.6606777721713</v>
      </c>
      <c r="BI38">
        <f t="shared" ca="1" si="10"/>
        <v>1327.1305413473522</v>
      </c>
      <c r="BJ38">
        <f t="shared" ca="1" si="10"/>
        <v>1031.7694142523274</v>
      </c>
      <c r="BK38">
        <f t="shared" ca="1" si="10"/>
        <v>1261.9653916081941</v>
      </c>
      <c r="BL38">
        <f t="shared" ca="1" si="10"/>
        <v>981.10717245976286</v>
      </c>
      <c r="BM38">
        <f t="shared" ca="1" si="10"/>
        <v>1200</v>
      </c>
      <c r="BN38">
        <f t="shared" ca="1" si="10"/>
        <v>1327.1305413473522</v>
      </c>
      <c r="BO38">
        <f t="shared" ca="1" si="10"/>
        <v>1199.9999999999995</v>
      </c>
      <c r="BP38">
        <f t="shared" ca="1" si="10"/>
        <v>1467.7295614807633</v>
      </c>
      <c r="BQ38">
        <f t="shared" ca="1" si="10"/>
        <v>1200</v>
      </c>
      <c r="BR38">
        <f t="shared" ca="1" si="10"/>
        <v>1200</v>
      </c>
      <c r="BS38">
        <f t="shared" ca="1" si="10"/>
        <v>1199.9999999999995</v>
      </c>
      <c r="BT38">
        <f t="shared" ca="1" si="10"/>
        <v>1199.9999999999998</v>
      </c>
      <c r="BU38">
        <f t="shared" ca="1" si="10"/>
        <v>1031.7694142523274</v>
      </c>
      <c r="BV38">
        <f t="shared" ca="1" si="10"/>
        <v>1327.1305413473522</v>
      </c>
      <c r="BW38">
        <f t="shared" ca="1" si="14"/>
        <v>1031.7694142523274</v>
      </c>
      <c r="BX38">
        <f t="shared" ca="1" si="14"/>
        <v>1141.0772510686097</v>
      </c>
      <c r="BY38">
        <f t="shared" ca="1" si="14"/>
        <v>1031.7694142523274</v>
      </c>
      <c r="BZ38">
        <f t="shared" ca="1" si="14"/>
        <v>1543.5199256908286</v>
      </c>
      <c r="CA38">
        <f t="shared" ca="1" si="14"/>
        <v>1327.1305413473522</v>
      </c>
      <c r="CB38">
        <f t="shared" ca="1" si="14"/>
        <v>1141.0772510686093</v>
      </c>
      <c r="CC38">
        <f t="shared" ca="1" si="14"/>
        <v>1327.1305413473522</v>
      </c>
      <c r="CD38">
        <f t="shared" ca="1" si="14"/>
        <v>1199.9999999999995</v>
      </c>
      <c r="CE38">
        <f t="shared" ca="1" si="14"/>
        <v>1467.7295614807629</v>
      </c>
      <c r="CF38">
        <f t="shared" ca="1" si="13"/>
        <v>1085.0477440885795</v>
      </c>
      <c r="CG38">
        <f t="shared" ca="1" si="13"/>
        <v>1085.0477440885795</v>
      </c>
      <c r="CH38">
        <f t="shared" ca="1" si="13"/>
        <v>1467.7295614807629</v>
      </c>
      <c r="CI38">
        <f t="shared" ca="1" si="13"/>
        <v>1199.9999999999995</v>
      </c>
      <c r="CJ38">
        <f t="shared" ca="1" si="13"/>
        <v>1199.9999999999998</v>
      </c>
      <c r="CK38">
        <f t="shared" ca="1" si="13"/>
        <v>1327.1305413473522</v>
      </c>
      <c r="CL38">
        <f t="shared" ca="1" si="13"/>
        <v>1031.7694142523274</v>
      </c>
      <c r="CM38">
        <f t="shared" ca="1" si="13"/>
        <v>1199.9999999999998</v>
      </c>
      <c r="CN38">
        <f t="shared" ca="1" si="13"/>
        <v>1395.6606777721715</v>
      </c>
      <c r="CO38">
        <f t="shared" ca="1" si="13"/>
        <v>1327.1305413473522</v>
      </c>
      <c r="CP38">
        <f t="shared" ca="1" si="13"/>
        <v>1395.6606777721715</v>
      </c>
      <c r="CQ38">
        <f t="shared" ca="1" si="13"/>
        <v>1261.9653916081941</v>
      </c>
      <c r="CR38">
        <f t="shared" ca="1" si="13"/>
        <v>1395.6606777721711</v>
      </c>
      <c r="CS38">
        <f t="shared" ca="1" si="13"/>
        <v>981.10717245976286</v>
      </c>
      <c r="CT38">
        <f t="shared" ca="1" si="13"/>
        <v>1467.7295614807629</v>
      </c>
      <c r="CU38">
        <f t="shared" ca="1" si="13"/>
        <v>1199.9999999999995</v>
      </c>
      <c r="CV38">
        <f t="shared" ca="1" si="13"/>
        <v>1199.9999999999995</v>
      </c>
      <c r="CW38">
        <f t="shared" ca="1" si="13"/>
        <v>1141.0772510686097</v>
      </c>
      <c r="CX38">
        <f t="shared" ca="1" si="13"/>
        <v>1141.0772510686097</v>
      </c>
      <c r="CY38">
        <f t="shared" ca="1" si="13"/>
        <v>1141.0772510686097</v>
      </c>
    </row>
    <row r="39" spans="1:103">
      <c r="A39">
        <v>23</v>
      </c>
      <c r="B39">
        <v>23</v>
      </c>
      <c r="C39">
        <v>23</v>
      </c>
      <c r="D39">
        <f t="shared" ca="1" si="11"/>
        <v>1112.7098890109644</v>
      </c>
      <c r="E39">
        <f t="shared" ca="1" si="11"/>
        <v>1112.7098890109644</v>
      </c>
      <c r="F39">
        <f t="shared" ca="1" si="11"/>
        <v>1170.167809026693</v>
      </c>
      <c r="G39">
        <f t="shared" ca="1" si="11"/>
        <v>1505.1477746955679</v>
      </c>
      <c r="H39">
        <f t="shared" ca="1" si="11"/>
        <v>1360.9643312111432</v>
      </c>
      <c r="I39">
        <f t="shared" ca="1" si="11"/>
        <v>1360.9643312111427</v>
      </c>
      <c r="J39">
        <f t="shared" ca="1" si="11"/>
        <v>1582.8703341015785</v>
      </c>
      <c r="K39">
        <f t="shared" ca="1" si="11"/>
        <v>1294.1378648840334</v>
      </c>
      <c r="L39">
        <f t="shared" ca="1" si="11"/>
        <v>1360.9643312111432</v>
      </c>
      <c r="M39">
        <f t="shared" ca="1" si="11"/>
        <v>1230.5927311380608</v>
      </c>
      <c r="N39">
        <f t="shared" ca="1" si="11"/>
        <v>1294.1378648840339</v>
      </c>
      <c r="O39">
        <f t="shared" ca="1" si="11"/>
        <v>1170.1678090266932</v>
      </c>
      <c r="P39">
        <f t="shared" ca="1" si="11"/>
        <v>1112.7098890109644</v>
      </c>
      <c r="Q39">
        <f t="shared" ca="1" si="11"/>
        <v>1360.9643312111432</v>
      </c>
      <c r="R39">
        <f t="shared" ca="1" si="11"/>
        <v>1230.5927311380608</v>
      </c>
      <c r="S39">
        <f t="shared" ca="1" si="11"/>
        <v>1230.5927311380613</v>
      </c>
      <c r="T39">
        <f t="shared" ca="1" si="9"/>
        <v>1112.7098890109644</v>
      </c>
      <c r="U39">
        <f t="shared" ca="1" si="9"/>
        <v>1360.9643312111432</v>
      </c>
      <c r="V39">
        <f t="shared" ca="1" si="9"/>
        <v>1294.1378648840334</v>
      </c>
      <c r="W39">
        <f t="shared" ca="1" si="9"/>
        <v>1431.2415710013786</v>
      </c>
      <c r="X39">
        <f t="shared" ca="1" si="9"/>
        <v>956.71669201467887</v>
      </c>
      <c r="Y39">
        <f t="shared" ca="1" si="9"/>
        <v>1230.5927311380613</v>
      </c>
      <c r="Z39">
        <f t="shared" ca="1" si="9"/>
        <v>1360.9643312111432</v>
      </c>
      <c r="AA39">
        <f t="shared" ca="1" si="9"/>
        <v>1294.1378648840334</v>
      </c>
      <c r="AB39">
        <f t="shared" ca="1" si="9"/>
        <v>1170.167809026693</v>
      </c>
      <c r="AC39">
        <f t="shared" ca="1" si="9"/>
        <v>1170.167809026693</v>
      </c>
      <c r="AD39">
        <f t="shared" ca="1" si="9"/>
        <v>1294.1378648840339</v>
      </c>
      <c r="AE39">
        <f t="shared" ca="1" si="9"/>
        <v>1170.167809026693</v>
      </c>
      <c r="AF39">
        <f t="shared" ca="1" si="9"/>
        <v>1360.9643312111432</v>
      </c>
      <c r="AG39">
        <f t="shared" ca="1" si="9"/>
        <v>1230.5927311380613</v>
      </c>
      <c r="AH39">
        <f t="shared" ca="1" si="9"/>
        <v>1006.119462413667</v>
      </c>
      <c r="AI39">
        <f t="shared" ca="1" si="9"/>
        <v>1058.0732844912411</v>
      </c>
      <c r="AJ39">
        <f t="shared" ca="1" si="12"/>
        <v>1058.0732844912411</v>
      </c>
      <c r="AK39">
        <f t="shared" ca="1" si="12"/>
        <v>1170.167809026693</v>
      </c>
      <c r="AL39">
        <f t="shared" ca="1" si="12"/>
        <v>1170.167809026693</v>
      </c>
      <c r="AM39">
        <f t="shared" ca="1" si="12"/>
        <v>1230.5927311380608</v>
      </c>
      <c r="AN39">
        <f t="shared" ca="1" si="12"/>
        <v>1360.9643312111432</v>
      </c>
      <c r="AO39">
        <f t="shared" ca="1" si="12"/>
        <v>956.71669201467898</v>
      </c>
      <c r="AP39">
        <f t="shared" ca="1" si="12"/>
        <v>1006.1194624136672</v>
      </c>
      <c r="AQ39">
        <f t="shared" ca="1" si="12"/>
        <v>1058.0732844912411</v>
      </c>
      <c r="AR39">
        <f t="shared" ca="1" si="12"/>
        <v>1058.0732844912411</v>
      </c>
      <c r="AS39">
        <f t="shared" ca="1" si="12"/>
        <v>1294.1378648840334</v>
      </c>
      <c r="AT39">
        <f t="shared" ca="1" si="12"/>
        <v>1294.1378648840334</v>
      </c>
      <c r="AU39">
        <f t="shared" ca="1" si="12"/>
        <v>1058.0732844912411</v>
      </c>
      <c r="AV39">
        <f t="shared" ca="1" si="12"/>
        <v>1112.7098890109644</v>
      </c>
      <c r="AW39">
        <f t="shared" ca="1" si="12"/>
        <v>1360.9643312111427</v>
      </c>
      <c r="AX39">
        <f t="shared" ca="1" si="12"/>
        <v>1112.7098890109644</v>
      </c>
      <c r="AY39">
        <f t="shared" ca="1" si="12"/>
        <v>1006.1194624136672</v>
      </c>
      <c r="AZ39">
        <f t="shared" ca="1" si="12"/>
        <v>1230.5927311380613</v>
      </c>
      <c r="BA39">
        <f t="shared" ca="1" si="12"/>
        <v>1230.5927311380608</v>
      </c>
      <c r="BB39">
        <f t="shared" ca="1" si="12"/>
        <v>1006.1194624136672</v>
      </c>
      <c r="BC39">
        <f t="shared" ca="1" si="12"/>
        <v>1230.5927311380613</v>
      </c>
      <c r="BD39">
        <f t="shared" ca="1" si="12"/>
        <v>1058.0732844912411</v>
      </c>
      <c r="BE39">
        <f t="shared" ca="1" si="12"/>
        <v>1431.2415710013786</v>
      </c>
      <c r="BF39">
        <f t="shared" ca="1" si="12"/>
        <v>1170.167809026693</v>
      </c>
      <c r="BG39">
        <f t="shared" ca="1" si="10"/>
        <v>1112.7098890109644</v>
      </c>
      <c r="BH39">
        <f t="shared" ca="1" si="10"/>
        <v>1360.964331211143</v>
      </c>
      <c r="BI39">
        <f t="shared" ca="1" si="10"/>
        <v>1360.9643312111432</v>
      </c>
      <c r="BJ39">
        <f t="shared" ca="1" si="10"/>
        <v>1006.1194624136672</v>
      </c>
      <c r="BK39">
        <f t="shared" ca="1" si="10"/>
        <v>1230.5927311380613</v>
      </c>
      <c r="BL39">
        <f t="shared" ca="1" si="10"/>
        <v>1006.1194624136671</v>
      </c>
      <c r="BM39">
        <f t="shared" ca="1" si="10"/>
        <v>1170.1678090266935</v>
      </c>
      <c r="BN39">
        <f t="shared" ca="1" si="10"/>
        <v>1360.9643312111432</v>
      </c>
      <c r="BO39">
        <f t="shared" ca="1" si="10"/>
        <v>1230.5927311380608</v>
      </c>
      <c r="BP39">
        <f t="shared" ca="1" si="10"/>
        <v>1505.1477746955679</v>
      </c>
      <c r="BQ39">
        <f t="shared" ca="1" si="10"/>
        <v>1170.1678090266935</v>
      </c>
      <c r="BR39">
        <f t="shared" ca="1" si="10"/>
        <v>1230.5927311380613</v>
      </c>
      <c r="BS39">
        <f t="shared" ca="1" si="10"/>
        <v>1170.167809026693</v>
      </c>
      <c r="BT39">
        <f t="shared" ca="1" si="10"/>
        <v>1230.592731138061</v>
      </c>
      <c r="BU39">
        <f t="shared" ca="1" si="10"/>
        <v>1006.1194624136672</v>
      </c>
      <c r="BV39">
        <f t="shared" ca="1" si="10"/>
        <v>1294.1378648840339</v>
      </c>
      <c r="BW39">
        <f t="shared" ca="1" si="14"/>
        <v>1058.0732844912411</v>
      </c>
      <c r="BX39">
        <f t="shared" ca="1" si="14"/>
        <v>1112.7098890109644</v>
      </c>
      <c r="BY39">
        <f t="shared" ca="1" si="14"/>
        <v>1058.0732844912411</v>
      </c>
      <c r="BZ39">
        <f t="shared" ca="1" si="14"/>
        <v>1505.1477746955679</v>
      </c>
      <c r="CA39">
        <f t="shared" ca="1" si="14"/>
        <v>1294.1378648840339</v>
      </c>
      <c r="CB39">
        <f t="shared" ca="1" si="14"/>
        <v>1170.1678090266926</v>
      </c>
      <c r="CC39">
        <f t="shared" ca="1" si="14"/>
        <v>1294.1378648840339</v>
      </c>
      <c r="CD39">
        <f t="shared" ca="1" si="14"/>
        <v>1170.167809026693</v>
      </c>
      <c r="CE39">
        <f t="shared" ca="1" si="14"/>
        <v>1505.1477746955675</v>
      </c>
      <c r="CF39">
        <f t="shared" ca="1" si="13"/>
        <v>1112.7098890109644</v>
      </c>
      <c r="CG39">
        <f t="shared" ca="1" si="13"/>
        <v>1112.7098890109644</v>
      </c>
      <c r="CH39">
        <f t="shared" ca="1" si="13"/>
        <v>1431.2415710013781</v>
      </c>
      <c r="CI39">
        <f t="shared" ca="1" si="13"/>
        <v>1170.167809026693</v>
      </c>
      <c r="CJ39">
        <f t="shared" ca="1" si="13"/>
        <v>1230.592731138061</v>
      </c>
      <c r="CK39">
        <f t="shared" ca="1" si="13"/>
        <v>1360.9643312111432</v>
      </c>
      <c r="CL39">
        <f t="shared" ca="1" si="13"/>
        <v>1058.0732844912411</v>
      </c>
      <c r="CM39">
        <f t="shared" ca="1" si="13"/>
        <v>1230.592731138061</v>
      </c>
      <c r="CN39">
        <f t="shared" ca="1" si="13"/>
        <v>1431.2415710013786</v>
      </c>
      <c r="CO39">
        <f t="shared" ca="1" si="13"/>
        <v>1294.1378648840339</v>
      </c>
      <c r="CP39">
        <f t="shared" ca="1" si="13"/>
        <v>1360.9643312111432</v>
      </c>
      <c r="CQ39">
        <f t="shared" ca="1" si="13"/>
        <v>1294.1378648840339</v>
      </c>
      <c r="CR39">
        <f t="shared" ca="1" si="13"/>
        <v>1431.2415710013781</v>
      </c>
      <c r="CS39">
        <f t="shared" ca="1" si="13"/>
        <v>1006.1194624136671</v>
      </c>
      <c r="CT39">
        <f t="shared" ca="1" si="13"/>
        <v>1431.2415710013781</v>
      </c>
      <c r="CU39">
        <f t="shared" ca="1" si="13"/>
        <v>1170.167809026693</v>
      </c>
      <c r="CV39">
        <f t="shared" ca="1" si="13"/>
        <v>1230.5927311380608</v>
      </c>
      <c r="CW39">
        <f t="shared" ca="1" si="13"/>
        <v>1170.167809026693</v>
      </c>
      <c r="CX39">
        <f t="shared" ca="1" si="13"/>
        <v>1170.167809026693</v>
      </c>
      <c r="CY39">
        <f t="shared" ca="1" si="13"/>
        <v>1112.7098890109644</v>
      </c>
    </row>
    <row r="40" spans="1:103">
      <c r="A40">
        <v>24</v>
      </c>
      <c r="B40">
        <v>24</v>
      </c>
      <c r="C40">
        <v>24</v>
      </c>
      <c r="D40">
        <f t="shared" ca="1" si="11"/>
        <v>1085.0477440885795</v>
      </c>
      <c r="E40">
        <f t="shared" ca="1" si="11"/>
        <v>1085.0477440885795</v>
      </c>
      <c r="F40">
        <f t="shared" ca="1" si="11"/>
        <v>1199.9999999999995</v>
      </c>
      <c r="G40">
        <f t="shared" ca="1" si="11"/>
        <v>1467.7295614807631</v>
      </c>
      <c r="H40">
        <f t="shared" ca="1" si="11"/>
        <v>1327.1305413473522</v>
      </c>
      <c r="I40">
        <f t="shared" ca="1" si="11"/>
        <v>1395.6606777721711</v>
      </c>
      <c r="J40">
        <f t="shared" ca="1" si="11"/>
        <v>1543.5199256908286</v>
      </c>
      <c r="K40">
        <f t="shared" ca="1" si="11"/>
        <v>1327.1305413473517</v>
      </c>
      <c r="L40">
        <f t="shared" ca="1" si="11"/>
        <v>1395.6606777721715</v>
      </c>
      <c r="M40">
        <f t="shared" ca="1" si="11"/>
        <v>1199.9999999999995</v>
      </c>
      <c r="N40">
        <f t="shared" ca="1" si="11"/>
        <v>1261.9653916081941</v>
      </c>
      <c r="O40">
        <f t="shared" ca="1" si="11"/>
        <v>1141.0772510686097</v>
      </c>
      <c r="P40">
        <f t="shared" ca="1" si="11"/>
        <v>1085.0477440885795</v>
      </c>
      <c r="Q40">
        <f t="shared" ca="1" si="11"/>
        <v>1327.1305413473522</v>
      </c>
      <c r="R40">
        <f t="shared" ca="1" si="11"/>
        <v>1261.9653916081936</v>
      </c>
      <c r="S40">
        <f t="shared" ca="1" si="11"/>
        <v>1261.9653916081941</v>
      </c>
      <c r="T40">
        <f t="shared" ca="1" si="9"/>
        <v>1085.0477440885795</v>
      </c>
      <c r="U40">
        <f t="shared" ca="1" si="9"/>
        <v>1327.1305413473522</v>
      </c>
      <c r="V40">
        <f t="shared" ca="1" si="9"/>
        <v>1261.9653916081936</v>
      </c>
      <c r="W40">
        <f t="shared" ca="1" si="9"/>
        <v>1395.6606777721715</v>
      </c>
      <c r="X40">
        <f t="shared" ca="1" si="9"/>
        <v>981.10717245976264</v>
      </c>
      <c r="Y40">
        <f t="shared" ca="1" si="9"/>
        <v>1261.9653916081941</v>
      </c>
      <c r="Z40">
        <f t="shared" ca="1" si="9"/>
        <v>1395.6606777721715</v>
      </c>
      <c r="AA40">
        <f t="shared" ca="1" si="9"/>
        <v>1327.1305413473517</v>
      </c>
      <c r="AB40">
        <f t="shared" ca="1" si="9"/>
        <v>1199.9999999999995</v>
      </c>
      <c r="AC40">
        <f t="shared" ca="1" si="9"/>
        <v>1199.9999999999995</v>
      </c>
      <c r="AD40">
        <f t="shared" ca="1" si="9"/>
        <v>1327.1305413473522</v>
      </c>
      <c r="AE40">
        <f t="shared" ca="1" si="9"/>
        <v>1141.0772510686097</v>
      </c>
      <c r="AF40">
        <f t="shared" ca="1" si="9"/>
        <v>1327.1305413473522</v>
      </c>
      <c r="AG40">
        <f t="shared" ca="1" si="9"/>
        <v>1261.9653916081941</v>
      </c>
      <c r="AH40">
        <f t="shared" ca="1" si="9"/>
        <v>981.10717245976264</v>
      </c>
      <c r="AI40">
        <f t="shared" ca="1" si="9"/>
        <v>1031.7694142523274</v>
      </c>
      <c r="AJ40">
        <f t="shared" ca="1" si="12"/>
        <v>1031.7694142523274</v>
      </c>
      <c r="AK40">
        <f t="shared" ca="1" si="12"/>
        <v>1141.0772510686097</v>
      </c>
      <c r="AL40">
        <f t="shared" ca="1" si="12"/>
        <v>1141.0772510686097</v>
      </c>
      <c r="AM40">
        <f t="shared" ca="1" si="12"/>
        <v>1261.9653916081936</v>
      </c>
      <c r="AN40">
        <f t="shared" ca="1" si="12"/>
        <v>1327.1305413473522</v>
      </c>
      <c r="AO40">
        <f t="shared" ca="1" si="12"/>
        <v>981.10717245976275</v>
      </c>
      <c r="AP40">
        <f t="shared" ca="1" si="12"/>
        <v>981.10717245976286</v>
      </c>
      <c r="AQ40">
        <f t="shared" ca="1" si="12"/>
        <v>1085.0477440885795</v>
      </c>
      <c r="AR40">
        <f t="shared" ca="1" si="12"/>
        <v>1085.0477440885795</v>
      </c>
      <c r="AS40">
        <f t="shared" ca="1" si="12"/>
        <v>1261.9653916081936</v>
      </c>
      <c r="AT40">
        <f t="shared" ca="1" si="12"/>
        <v>1261.9653916081936</v>
      </c>
      <c r="AU40">
        <f t="shared" ca="1" si="12"/>
        <v>1085.0477440885795</v>
      </c>
      <c r="AV40">
        <f t="shared" ca="1" si="12"/>
        <v>1141.0772510686097</v>
      </c>
      <c r="AW40">
        <f t="shared" ca="1" si="12"/>
        <v>1395.6606777721711</v>
      </c>
      <c r="AX40">
        <f t="shared" ca="1" si="12"/>
        <v>1085.0477440885795</v>
      </c>
      <c r="AY40">
        <f t="shared" ca="1" si="12"/>
        <v>981.10717245976286</v>
      </c>
      <c r="AZ40">
        <f t="shared" ca="1" si="12"/>
        <v>1261.9653916081941</v>
      </c>
      <c r="BA40">
        <f t="shared" ca="1" si="12"/>
        <v>1199.9999999999995</v>
      </c>
      <c r="BB40">
        <f t="shared" ca="1" si="12"/>
        <v>1031.7694142523274</v>
      </c>
      <c r="BC40">
        <f t="shared" ca="1" si="12"/>
        <v>1200</v>
      </c>
      <c r="BD40">
        <f t="shared" ca="1" si="12"/>
        <v>1031.7694142523274</v>
      </c>
      <c r="BE40">
        <f t="shared" ca="1" si="12"/>
        <v>1467.7295614807633</v>
      </c>
      <c r="BF40">
        <f t="shared" ca="1" si="12"/>
        <v>1141.0772510686097</v>
      </c>
      <c r="BG40">
        <f t="shared" ca="1" si="10"/>
        <v>1085.0477440885795</v>
      </c>
      <c r="BH40">
        <f t="shared" ca="1" si="10"/>
        <v>1395.6606777721713</v>
      </c>
      <c r="BI40">
        <f t="shared" ca="1" si="10"/>
        <v>1395.6606777721715</v>
      </c>
      <c r="BJ40">
        <f t="shared" ca="1" si="10"/>
        <v>981.10717245976286</v>
      </c>
      <c r="BK40">
        <f t="shared" ca="1" si="10"/>
        <v>1200</v>
      </c>
      <c r="BL40">
        <f t="shared" ca="1" si="10"/>
        <v>1031.7694142523271</v>
      </c>
      <c r="BM40">
        <f t="shared" ca="1" si="10"/>
        <v>1141.0772510686099</v>
      </c>
      <c r="BN40">
        <f t="shared" ca="1" si="10"/>
        <v>1327.1305413473522</v>
      </c>
      <c r="BO40">
        <f t="shared" ca="1" si="10"/>
        <v>1199.9999999999995</v>
      </c>
      <c r="BP40">
        <f t="shared" ca="1" si="10"/>
        <v>1467.7295614807631</v>
      </c>
      <c r="BQ40">
        <f t="shared" ca="1" si="10"/>
        <v>1141.0772510686099</v>
      </c>
      <c r="BR40">
        <f t="shared" ca="1" si="10"/>
        <v>1261.9653916081941</v>
      </c>
      <c r="BS40">
        <f t="shared" ca="1" si="10"/>
        <v>1141.0772510686097</v>
      </c>
      <c r="BT40">
        <f t="shared" ca="1" si="10"/>
        <v>1199.9999999999998</v>
      </c>
      <c r="BU40">
        <f t="shared" ca="1" si="10"/>
        <v>1031.7694142523274</v>
      </c>
      <c r="BV40">
        <f t="shared" ca="1" si="10"/>
        <v>1261.9653916081941</v>
      </c>
      <c r="BW40">
        <f t="shared" ca="1" si="14"/>
        <v>1031.7694142523274</v>
      </c>
      <c r="BX40">
        <f t="shared" ca="1" si="14"/>
        <v>1085.0477440885795</v>
      </c>
      <c r="BY40">
        <f t="shared" ca="1" si="14"/>
        <v>1085.0477440885795</v>
      </c>
      <c r="BZ40">
        <f t="shared" ca="1" si="14"/>
        <v>1543.5199256908286</v>
      </c>
      <c r="CA40">
        <f t="shared" ca="1" si="14"/>
        <v>1327.1305413473522</v>
      </c>
      <c r="CB40">
        <f t="shared" ca="1" si="14"/>
        <v>1199.9999999999991</v>
      </c>
      <c r="CC40">
        <f t="shared" ca="1" si="14"/>
        <v>1327.1305413473522</v>
      </c>
      <c r="CD40">
        <f t="shared" ca="1" si="14"/>
        <v>1141.0772510686097</v>
      </c>
      <c r="CE40">
        <f t="shared" ca="1" si="14"/>
        <v>1467.7295614807629</v>
      </c>
      <c r="CF40">
        <f t="shared" ca="1" si="13"/>
        <v>1085.0477440885795</v>
      </c>
      <c r="CG40">
        <f t="shared" ca="1" si="13"/>
        <v>1085.0477440885795</v>
      </c>
      <c r="CH40">
        <f t="shared" ca="1" si="13"/>
        <v>1467.7295614807629</v>
      </c>
      <c r="CI40">
        <f t="shared" ca="1" si="13"/>
        <v>1199.9999999999995</v>
      </c>
      <c r="CJ40">
        <f t="shared" ca="1" si="13"/>
        <v>1261.9653916081938</v>
      </c>
      <c r="CK40">
        <f t="shared" ca="1" si="13"/>
        <v>1327.1305413473522</v>
      </c>
      <c r="CL40">
        <f t="shared" ca="1" si="13"/>
        <v>1085.0477440885795</v>
      </c>
      <c r="CM40">
        <f t="shared" ca="1" si="13"/>
        <v>1199.9999999999998</v>
      </c>
      <c r="CN40">
        <f t="shared" ca="1" si="13"/>
        <v>1395.6606777721715</v>
      </c>
      <c r="CO40">
        <f t="shared" ca="1" si="13"/>
        <v>1327.1305413473522</v>
      </c>
      <c r="CP40">
        <f t="shared" ca="1" si="13"/>
        <v>1327.1305413473522</v>
      </c>
      <c r="CQ40">
        <f t="shared" ca="1" si="13"/>
        <v>1261.9653916081941</v>
      </c>
      <c r="CR40">
        <f t="shared" ca="1" si="13"/>
        <v>1467.7295614807629</v>
      </c>
      <c r="CS40">
        <f t="shared" ca="1" si="13"/>
        <v>981.10717245976275</v>
      </c>
      <c r="CT40">
        <f t="shared" ca="1" si="13"/>
        <v>1395.6606777721711</v>
      </c>
      <c r="CU40">
        <f t="shared" ca="1" si="13"/>
        <v>1199.9999999999995</v>
      </c>
      <c r="CV40">
        <f t="shared" ca="1" si="13"/>
        <v>1199.9999999999995</v>
      </c>
      <c r="CW40">
        <f t="shared" ca="1" si="13"/>
        <v>1141.0772510686097</v>
      </c>
      <c r="CX40">
        <f t="shared" ca="1" si="13"/>
        <v>1141.0772510686097</v>
      </c>
      <c r="CY40">
        <f t="shared" ca="1" si="13"/>
        <v>1085.0477440885795</v>
      </c>
    </row>
    <row r="41" spans="1:103">
      <c r="A41">
        <v>25</v>
      </c>
      <c r="B41">
        <v>25</v>
      </c>
      <c r="C41">
        <v>25</v>
      </c>
      <c r="D41">
        <f t="shared" ca="1" si="11"/>
        <v>1112.7098890109644</v>
      </c>
      <c r="E41">
        <f t="shared" ca="1" si="11"/>
        <v>1058.0732844912411</v>
      </c>
      <c r="F41">
        <f t="shared" ca="1" si="11"/>
        <v>1230.5927311380608</v>
      </c>
      <c r="G41">
        <f t="shared" ca="1" si="11"/>
        <v>1431.2415710013784</v>
      </c>
      <c r="H41">
        <f t="shared" ca="1" si="11"/>
        <v>1360.9643312111432</v>
      </c>
      <c r="I41">
        <f t="shared" ca="1" si="11"/>
        <v>1360.9643312111427</v>
      </c>
      <c r="J41">
        <f t="shared" ca="1" si="11"/>
        <v>1582.8703341015785</v>
      </c>
      <c r="K41">
        <f t="shared" ca="1" si="11"/>
        <v>1360.9643312111427</v>
      </c>
      <c r="L41">
        <f t="shared" ca="1" si="11"/>
        <v>1431.2415710013786</v>
      </c>
      <c r="M41">
        <f t="shared" ca="1" si="11"/>
        <v>1230.5927311380608</v>
      </c>
      <c r="N41">
        <f t="shared" ca="1" si="11"/>
        <v>1230.5927311380613</v>
      </c>
      <c r="O41">
        <f t="shared" ca="1" si="11"/>
        <v>1112.7098890109644</v>
      </c>
      <c r="P41">
        <f t="shared" ca="1" si="11"/>
        <v>1058.0732844912411</v>
      </c>
      <c r="Q41">
        <f t="shared" ca="1" si="11"/>
        <v>1294.1378648840339</v>
      </c>
      <c r="R41">
        <f t="shared" ca="1" si="11"/>
        <v>1294.1378648840334</v>
      </c>
      <c r="S41">
        <f t="shared" ca="1" si="11"/>
        <v>1294.1378648840339</v>
      </c>
      <c r="T41">
        <f t="shared" ca="1" si="9"/>
        <v>1112.7098890109644</v>
      </c>
      <c r="U41">
        <f t="shared" ca="1" si="9"/>
        <v>1294.1378648840339</v>
      </c>
      <c r="V41">
        <f t="shared" ca="1" si="9"/>
        <v>1294.1378648840334</v>
      </c>
      <c r="W41">
        <f t="shared" ca="1" si="9"/>
        <v>1360.9643312111432</v>
      </c>
      <c r="X41">
        <f t="shared" ca="1" si="9"/>
        <v>956.71669201467887</v>
      </c>
      <c r="Y41">
        <f t="shared" ca="1" si="9"/>
        <v>1230.5927311380613</v>
      </c>
      <c r="Z41">
        <f t="shared" ca="1" si="9"/>
        <v>1431.2415710013786</v>
      </c>
      <c r="AA41">
        <f t="shared" ca="1" si="9"/>
        <v>1294.1378648840334</v>
      </c>
      <c r="AB41">
        <f t="shared" ca="1" si="9"/>
        <v>1170.167809026693</v>
      </c>
      <c r="AC41">
        <f t="shared" ca="1" si="9"/>
        <v>1170.167809026693</v>
      </c>
      <c r="AD41">
        <f t="shared" ca="1" si="9"/>
        <v>1360.9643312111432</v>
      </c>
      <c r="AE41">
        <f t="shared" ca="1" si="9"/>
        <v>1170.167809026693</v>
      </c>
      <c r="AF41">
        <f t="shared" ca="1" si="9"/>
        <v>1294.1378648840339</v>
      </c>
      <c r="AG41">
        <f t="shared" ca="1" si="9"/>
        <v>1230.5927311380613</v>
      </c>
      <c r="AH41">
        <f t="shared" ca="1" si="9"/>
        <v>1006.1194624136668</v>
      </c>
      <c r="AI41">
        <f t="shared" ca="1" si="9"/>
        <v>1058.0732844912411</v>
      </c>
      <c r="AJ41">
        <f t="shared" ca="1" si="12"/>
        <v>1006.1194624136672</v>
      </c>
      <c r="AK41">
        <f t="shared" ca="1" si="12"/>
        <v>1170.167809026693</v>
      </c>
      <c r="AL41">
        <f t="shared" ca="1" si="12"/>
        <v>1170.167809026693</v>
      </c>
      <c r="AM41">
        <f t="shared" ca="1" si="12"/>
        <v>1230.5927311380608</v>
      </c>
      <c r="AN41">
        <f t="shared" ca="1" si="12"/>
        <v>1294.1378648840339</v>
      </c>
      <c r="AO41">
        <f t="shared" ca="1" si="12"/>
        <v>1006.119462413667</v>
      </c>
      <c r="AP41">
        <f t="shared" ca="1" si="12"/>
        <v>1006.1194624136671</v>
      </c>
      <c r="AQ41">
        <f t="shared" ca="1" si="12"/>
        <v>1112.7098890109644</v>
      </c>
      <c r="AR41">
        <f t="shared" ca="1" si="12"/>
        <v>1058.0732844912411</v>
      </c>
      <c r="AS41">
        <f t="shared" ca="1" si="12"/>
        <v>1230.5927311380608</v>
      </c>
      <c r="AT41">
        <f t="shared" ca="1" si="12"/>
        <v>1230.5927311380608</v>
      </c>
      <c r="AU41">
        <f t="shared" ca="1" si="12"/>
        <v>1058.0732844912411</v>
      </c>
      <c r="AV41">
        <f t="shared" ca="1" si="12"/>
        <v>1170.167809026693</v>
      </c>
      <c r="AW41">
        <f t="shared" ca="1" si="12"/>
        <v>1360.9643312111427</v>
      </c>
      <c r="AX41">
        <f t="shared" ca="1" si="12"/>
        <v>1112.7098890109644</v>
      </c>
      <c r="AY41">
        <f t="shared" ca="1" si="12"/>
        <v>1006.1194624136671</v>
      </c>
      <c r="AZ41">
        <f t="shared" ca="1" si="12"/>
        <v>1294.1378648840339</v>
      </c>
      <c r="BA41">
        <f t="shared" ca="1" si="12"/>
        <v>1230.5927311380608</v>
      </c>
      <c r="BB41">
        <f t="shared" ca="1" si="12"/>
        <v>1058.0732844912411</v>
      </c>
      <c r="BC41">
        <f t="shared" ca="1" si="12"/>
        <v>1230.5927311380613</v>
      </c>
      <c r="BD41">
        <f t="shared" ca="1" si="12"/>
        <v>1058.0732844912411</v>
      </c>
      <c r="BE41">
        <f t="shared" ca="1" si="12"/>
        <v>1505.1477746955679</v>
      </c>
      <c r="BF41">
        <f t="shared" ca="1" si="12"/>
        <v>1170.167809026693</v>
      </c>
      <c r="BG41">
        <f t="shared" ca="1" si="10"/>
        <v>1058.0732844912411</v>
      </c>
      <c r="BH41">
        <f t="shared" ca="1" si="10"/>
        <v>1360.964331211143</v>
      </c>
      <c r="BI41">
        <f t="shared" ca="1" si="10"/>
        <v>1360.9643312111432</v>
      </c>
      <c r="BJ41">
        <f t="shared" ca="1" si="10"/>
        <v>956.7166920146791</v>
      </c>
      <c r="BK41">
        <f t="shared" ca="1" si="10"/>
        <v>1170.1678090266935</v>
      </c>
      <c r="BL41">
        <f t="shared" ca="1" si="10"/>
        <v>1058.0732844912409</v>
      </c>
      <c r="BM41">
        <f t="shared" ca="1" si="10"/>
        <v>1170.1678090266932</v>
      </c>
      <c r="BN41">
        <f t="shared" ca="1" si="10"/>
        <v>1294.1378648840339</v>
      </c>
      <c r="BO41">
        <f t="shared" ca="1" si="10"/>
        <v>1170.167809026693</v>
      </c>
      <c r="BP41">
        <f t="shared" ca="1" si="10"/>
        <v>1505.1477746955677</v>
      </c>
      <c r="BQ41">
        <f t="shared" ca="1" si="10"/>
        <v>1112.7098890109644</v>
      </c>
      <c r="BR41">
        <f t="shared" ca="1" si="10"/>
        <v>1294.1378648840339</v>
      </c>
      <c r="BS41">
        <f t="shared" ca="1" si="10"/>
        <v>1112.7098890109644</v>
      </c>
      <c r="BT41">
        <f t="shared" ca="1" si="10"/>
        <v>1230.592731138061</v>
      </c>
      <c r="BU41">
        <f t="shared" ca="1" si="10"/>
        <v>1058.0732844912411</v>
      </c>
      <c r="BV41">
        <f t="shared" ca="1" si="10"/>
        <v>1294.1378648840339</v>
      </c>
      <c r="BW41">
        <f t="shared" ca="1" si="14"/>
        <v>1058.0732844912411</v>
      </c>
      <c r="BX41">
        <f t="shared" ca="1" si="14"/>
        <v>1112.7098890109644</v>
      </c>
      <c r="BY41">
        <f t="shared" ca="1" si="14"/>
        <v>1058.0732844912411</v>
      </c>
      <c r="BZ41">
        <f t="shared" ca="1" si="14"/>
        <v>1505.1477746955679</v>
      </c>
      <c r="CA41">
        <f t="shared" ca="1" si="14"/>
        <v>1360.9643312111432</v>
      </c>
      <c r="CB41">
        <f t="shared" ca="1" si="14"/>
        <v>1230.5927311380603</v>
      </c>
      <c r="CC41">
        <f t="shared" ca="1" si="14"/>
        <v>1360.9643312111432</v>
      </c>
      <c r="CD41">
        <f t="shared" ca="1" si="14"/>
        <v>1170.167809026693</v>
      </c>
      <c r="CE41">
        <f t="shared" ca="1" si="14"/>
        <v>1505.1477746955675</v>
      </c>
      <c r="CF41">
        <f t="shared" ca="1" si="13"/>
        <v>1058.0732844912411</v>
      </c>
      <c r="CG41">
        <f t="shared" ca="1" si="13"/>
        <v>1112.7098890109644</v>
      </c>
      <c r="CH41">
        <f t="shared" ca="1" si="13"/>
        <v>1431.2415710013781</v>
      </c>
      <c r="CI41">
        <f t="shared" ca="1" si="13"/>
        <v>1170.167809026693</v>
      </c>
      <c r="CJ41">
        <f t="shared" ca="1" si="13"/>
        <v>1294.1378648840337</v>
      </c>
      <c r="CK41">
        <f t="shared" ca="1" si="13"/>
        <v>1294.1378648840339</v>
      </c>
      <c r="CL41">
        <f t="shared" ca="1" si="13"/>
        <v>1112.7098890109644</v>
      </c>
      <c r="CM41">
        <f t="shared" ca="1" si="13"/>
        <v>1230.592731138061</v>
      </c>
      <c r="CN41">
        <f t="shared" ca="1" si="13"/>
        <v>1431.2415710013786</v>
      </c>
      <c r="CO41">
        <f t="shared" ca="1" si="13"/>
        <v>1360.9643312111432</v>
      </c>
      <c r="CP41">
        <f t="shared" ca="1" si="13"/>
        <v>1294.1378648840339</v>
      </c>
      <c r="CQ41">
        <f t="shared" ca="1" si="13"/>
        <v>1230.5927311380613</v>
      </c>
      <c r="CR41">
        <f t="shared" ca="1" si="13"/>
        <v>1431.2415710013781</v>
      </c>
      <c r="CS41">
        <f t="shared" ca="1" si="13"/>
        <v>956.71669201467898</v>
      </c>
      <c r="CT41">
        <f t="shared" ca="1" si="13"/>
        <v>1360.9643312111427</v>
      </c>
      <c r="CU41">
        <f t="shared" ca="1" si="13"/>
        <v>1170.167809026693</v>
      </c>
      <c r="CV41">
        <f t="shared" ca="1" si="13"/>
        <v>1170.167809026693</v>
      </c>
      <c r="CW41">
        <f t="shared" ca="1" si="13"/>
        <v>1112.7098890109644</v>
      </c>
      <c r="CX41">
        <f t="shared" ca="1" si="13"/>
        <v>1170.167809026693</v>
      </c>
      <c r="CY41">
        <f t="shared" ca="1" si="13"/>
        <v>1112.7098890109644</v>
      </c>
    </row>
    <row r="42" spans="1:103">
      <c r="A42">
        <v>26</v>
      </c>
      <c r="B42">
        <v>26</v>
      </c>
      <c r="C42">
        <v>26</v>
      </c>
      <c r="D42">
        <f t="shared" ca="1" si="11"/>
        <v>1085.0477440885795</v>
      </c>
      <c r="E42">
        <f t="shared" ca="1" si="11"/>
        <v>1085.0477440885795</v>
      </c>
      <c r="F42">
        <f t="shared" ca="1" si="11"/>
        <v>1261.9653916081936</v>
      </c>
      <c r="G42">
        <f t="shared" ca="1" si="11"/>
        <v>1395.6606777721713</v>
      </c>
      <c r="H42">
        <f t="shared" ca="1" si="11"/>
        <v>1395.6606777721715</v>
      </c>
      <c r="I42">
        <f t="shared" ca="1" si="11"/>
        <v>1395.6606777721711</v>
      </c>
      <c r="J42">
        <f t="shared" ca="1" si="11"/>
        <v>1543.5199256908286</v>
      </c>
      <c r="K42">
        <f t="shared" ca="1" si="11"/>
        <v>1395.6606777721711</v>
      </c>
      <c r="L42">
        <f t="shared" ca="1" si="11"/>
        <v>1395.6606777721715</v>
      </c>
      <c r="M42">
        <f t="shared" ca="1" si="11"/>
        <v>1199.9999999999995</v>
      </c>
      <c r="N42">
        <f t="shared" ca="1" si="11"/>
        <v>1261.9653916081941</v>
      </c>
      <c r="O42">
        <f t="shared" ca="1" si="11"/>
        <v>1085.0477440885795</v>
      </c>
      <c r="P42">
        <f t="shared" ca="1" si="11"/>
        <v>1085.0477440885795</v>
      </c>
      <c r="Q42">
        <f t="shared" ca="1" si="11"/>
        <v>1327.1305413473522</v>
      </c>
      <c r="R42">
        <f t="shared" ca="1" si="11"/>
        <v>1327.1305413473517</v>
      </c>
      <c r="S42">
        <f t="shared" ca="1" si="11"/>
        <v>1261.9653916081941</v>
      </c>
      <c r="T42">
        <f t="shared" ca="1" si="9"/>
        <v>1085.0477440885795</v>
      </c>
      <c r="U42">
        <f t="shared" ca="1" si="9"/>
        <v>1261.9653916081941</v>
      </c>
      <c r="V42">
        <f t="shared" ca="1" si="9"/>
        <v>1261.9653916081936</v>
      </c>
      <c r="W42">
        <f t="shared" ca="1" si="9"/>
        <v>1327.1305413473522</v>
      </c>
      <c r="X42">
        <f t="shared" ca="1" si="9"/>
        <v>981.10717245976264</v>
      </c>
      <c r="Y42">
        <f t="shared" ca="1" si="9"/>
        <v>1261.9653916081941</v>
      </c>
      <c r="Z42">
        <f t="shared" ca="1" si="9"/>
        <v>1467.7295614807633</v>
      </c>
      <c r="AA42">
        <f t="shared" ca="1" si="9"/>
        <v>1327.1305413473517</v>
      </c>
      <c r="AB42">
        <f t="shared" ca="1" si="9"/>
        <v>1199.9999999999995</v>
      </c>
      <c r="AC42">
        <f t="shared" ca="1" si="9"/>
        <v>1141.0772510686097</v>
      </c>
      <c r="AD42">
        <f t="shared" ca="1" si="9"/>
        <v>1395.6606777721715</v>
      </c>
      <c r="AE42">
        <f t="shared" ca="1" si="9"/>
        <v>1141.0772510686097</v>
      </c>
      <c r="AF42">
        <f t="shared" ca="1" si="9"/>
        <v>1261.9653916081941</v>
      </c>
      <c r="AG42">
        <f t="shared" ca="1" si="9"/>
        <v>1200</v>
      </c>
      <c r="AH42">
        <f t="shared" ca="1" si="9"/>
        <v>981.10717245976264</v>
      </c>
      <c r="AI42">
        <f t="shared" ca="1" si="9"/>
        <v>1031.7694142523274</v>
      </c>
      <c r="AJ42">
        <f t="shared" ca="1" si="12"/>
        <v>981.10717245976286</v>
      </c>
      <c r="AK42">
        <f t="shared" ca="1" si="12"/>
        <v>1199.9999999999995</v>
      </c>
      <c r="AL42">
        <f t="shared" ca="1" si="12"/>
        <v>1141.0772510686097</v>
      </c>
      <c r="AM42">
        <f t="shared" ca="1" si="12"/>
        <v>1199.9999999999995</v>
      </c>
      <c r="AN42">
        <f t="shared" ca="1" si="12"/>
        <v>1261.9653916081941</v>
      </c>
      <c r="AO42">
        <f t="shared" ca="1" si="12"/>
        <v>981.10717245976264</v>
      </c>
      <c r="AP42">
        <f t="shared" ca="1" si="12"/>
        <v>1031.7694142523271</v>
      </c>
      <c r="AQ42">
        <f t="shared" ca="1" si="12"/>
        <v>1141.0772510686097</v>
      </c>
      <c r="AR42">
        <f t="shared" ca="1" si="12"/>
        <v>1085.0477440885795</v>
      </c>
      <c r="AS42">
        <f t="shared" ca="1" si="12"/>
        <v>1199.9999999999995</v>
      </c>
      <c r="AT42">
        <f t="shared" ca="1" si="12"/>
        <v>1199.9999999999995</v>
      </c>
      <c r="AU42">
        <f t="shared" ca="1" si="12"/>
        <v>1031.7694142523274</v>
      </c>
      <c r="AV42">
        <f t="shared" ca="1" si="12"/>
        <v>1199.9999999999995</v>
      </c>
      <c r="AW42">
        <f t="shared" ca="1" si="12"/>
        <v>1327.1305413473517</v>
      </c>
      <c r="AX42">
        <f t="shared" ca="1" si="12"/>
        <v>1141.0772510686097</v>
      </c>
      <c r="AY42">
        <f t="shared" ca="1" si="12"/>
        <v>981.10717245976275</v>
      </c>
      <c r="AZ42">
        <f t="shared" ca="1" si="12"/>
        <v>1261.9653916081941</v>
      </c>
      <c r="BA42">
        <f t="shared" ca="1" si="12"/>
        <v>1199.9999999999995</v>
      </c>
      <c r="BB42">
        <f t="shared" ca="1" si="12"/>
        <v>1031.7694142523274</v>
      </c>
      <c r="BC42">
        <f t="shared" ca="1" si="12"/>
        <v>1261.9653916081941</v>
      </c>
      <c r="BD42">
        <f t="shared" ca="1" si="12"/>
        <v>1085.0477440885795</v>
      </c>
      <c r="BE42">
        <f t="shared" ca="1" si="12"/>
        <v>1543.5199256908286</v>
      </c>
      <c r="BF42">
        <f t="shared" ca="1" si="12"/>
        <v>1141.0772510686097</v>
      </c>
      <c r="BG42">
        <f t="shared" ca="1" si="10"/>
        <v>1031.7694142523274</v>
      </c>
      <c r="BH42">
        <f t="shared" ca="1" si="10"/>
        <v>1395.6606777721713</v>
      </c>
      <c r="BI42">
        <f t="shared" ca="1" si="10"/>
        <v>1327.1305413473522</v>
      </c>
      <c r="BJ42">
        <f t="shared" ca="1" si="10"/>
        <v>981.10717245976286</v>
      </c>
      <c r="BK42">
        <f t="shared" ca="1" si="10"/>
        <v>1141.0772510686099</v>
      </c>
      <c r="BL42">
        <f t="shared" ca="1" si="10"/>
        <v>1085.0477440885793</v>
      </c>
      <c r="BM42">
        <f t="shared" ca="1" si="10"/>
        <v>1199.9999999999998</v>
      </c>
      <c r="BN42">
        <f t="shared" ca="1" si="10"/>
        <v>1261.9653916081941</v>
      </c>
      <c r="BO42">
        <f t="shared" ca="1" si="10"/>
        <v>1141.0772510686097</v>
      </c>
      <c r="BP42">
        <f t="shared" ca="1" si="10"/>
        <v>1467.7295614807629</v>
      </c>
      <c r="BQ42">
        <f t="shared" ca="1" si="10"/>
        <v>1141.0772510686097</v>
      </c>
      <c r="BR42">
        <f t="shared" ca="1" si="10"/>
        <v>1327.1305413473522</v>
      </c>
      <c r="BS42">
        <f t="shared" ca="1" si="10"/>
        <v>1085.0477440885795</v>
      </c>
      <c r="BT42">
        <f t="shared" ca="1" si="10"/>
        <v>1199.9999999999998</v>
      </c>
      <c r="BU42">
        <f t="shared" ca="1" si="10"/>
        <v>1031.7694142523274</v>
      </c>
      <c r="BV42">
        <f t="shared" ca="1" si="10"/>
        <v>1327.1305413473522</v>
      </c>
      <c r="BW42">
        <f t="shared" ca="1" si="14"/>
        <v>1085.0477440885795</v>
      </c>
      <c r="BX42">
        <f t="shared" ca="1" si="14"/>
        <v>1141.0772510686097</v>
      </c>
      <c r="BY42">
        <f t="shared" ca="1" si="14"/>
        <v>1031.7694142523274</v>
      </c>
      <c r="BZ42">
        <f t="shared" ca="1" si="14"/>
        <v>1467.7295614807631</v>
      </c>
      <c r="CA42">
        <f t="shared" ca="1" si="14"/>
        <v>1327.1305413473522</v>
      </c>
      <c r="CB42">
        <f t="shared" ca="1" si="14"/>
        <v>1199.9999999999991</v>
      </c>
      <c r="CC42">
        <f t="shared" ca="1" si="14"/>
        <v>1395.6606777721715</v>
      </c>
      <c r="CD42">
        <f t="shared" ca="1" si="14"/>
        <v>1199.9999999999995</v>
      </c>
      <c r="CE42">
        <f t="shared" ca="1" si="14"/>
        <v>1543.5199256908281</v>
      </c>
      <c r="CF42">
        <f t="shared" ca="1" si="13"/>
        <v>1085.0477440885795</v>
      </c>
      <c r="CG42">
        <f t="shared" ca="1" si="13"/>
        <v>1085.0477440885795</v>
      </c>
      <c r="CH42">
        <f t="shared" ca="1" si="13"/>
        <v>1395.6606777721711</v>
      </c>
      <c r="CI42">
        <f t="shared" ca="1" si="13"/>
        <v>1141.0772510686097</v>
      </c>
      <c r="CJ42">
        <f t="shared" ca="1" si="13"/>
        <v>1261.9653916081938</v>
      </c>
      <c r="CK42">
        <f t="shared" ca="1" si="13"/>
        <v>1327.1305413473522</v>
      </c>
      <c r="CL42">
        <f t="shared" ca="1" si="13"/>
        <v>1085.0477440885795</v>
      </c>
      <c r="CM42">
        <f t="shared" ca="1" si="13"/>
        <v>1199.9999999999998</v>
      </c>
      <c r="CN42">
        <f t="shared" ca="1" si="13"/>
        <v>1395.6606777721715</v>
      </c>
      <c r="CO42">
        <f t="shared" ca="1" si="13"/>
        <v>1395.6606777721715</v>
      </c>
      <c r="CP42">
        <f t="shared" ca="1" si="13"/>
        <v>1261.9653916081941</v>
      </c>
      <c r="CQ42">
        <f t="shared" ca="1" si="13"/>
        <v>1200</v>
      </c>
      <c r="CR42">
        <f t="shared" ca="1" si="13"/>
        <v>1395.6606777721711</v>
      </c>
      <c r="CS42">
        <f t="shared" ca="1" si="13"/>
        <v>932.93256279506886</v>
      </c>
      <c r="CT42">
        <f t="shared" ca="1" si="13"/>
        <v>1327.1305413473517</v>
      </c>
      <c r="CU42">
        <f t="shared" ca="1" si="13"/>
        <v>1141.0772510686097</v>
      </c>
      <c r="CV42">
        <f t="shared" ca="1" si="13"/>
        <v>1199.9999999999995</v>
      </c>
      <c r="CW42">
        <f t="shared" ca="1" si="13"/>
        <v>1141.0772510686097</v>
      </c>
      <c r="CX42">
        <f t="shared" ca="1" si="13"/>
        <v>1199.9999999999995</v>
      </c>
      <c r="CY42">
        <f t="shared" ca="1" si="13"/>
        <v>1141.0772510686097</v>
      </c>
    </row>
    <row r="43" spans="1:103">
      <c r="A43">
        <v>27</v>
      </c>
      <c r="B43">
        <v>27</v>
      </c>
      <c r="C43">
        <v>27</v>
      </c>
      <c r="D43">
        <f t="shared" ca="1" si="11"/>
        <v>1112.7098890109644</v>
      </c>
      <c r="E43">
        <f t="shared" ca="1" si="11"/>
        <v>1112.7098890109644</v>
      </c>
      <c r="F43">
        <f t="shared" ca="1" si="11"/>
        <v>1230.5927311380608</v>
      </c>
      <c r="G43">
        <f t="shared" ca="1" si="11"/>
        <v>1360.964331211143</v>
      </c>
      <c r="H43">
        <f t="shared" ca="1" si="11"/>
        <v>1431.2415710013786</v>
      </c>
      <c r="I43">
        <f t="shared" ca="1" si="11"/>
        <v>1431.2415710013781</v>
      </c>
      <c r="J43">
        <f t="shared" ca="1" si="11"/>
        <v>1505.1477746955679</v>
      </c>
      <c r="K43">
        <f t="shared" ca="1" si="11"/>
        <v>1431.2415710013781</v>
      </c>
      <c r="L43">
        <f t="shared" ca="1" si="11"/>
        <v>1360.9643312111432</v>
      </c>
      <c r="M43">
        <f t="shared" ca="1" si="11"/>
        <v>1230.5927311380608</v>
      </c>
      <c r="N43">
        <f t="shared" ca="1" si="11"/>
        <v>1294.1378648840339</v>
      </c>
      <c r="O43">
        <f t="shared" ca="1" si="11"/>
        <v>1112.7098890109644</v>
      </c>
      <c r="P43">
        <f t="shared" ca="1" si="11"/>
        <v>1112.7098890109644</v>
      </c>
      <c r="Q43">
        <f t="shared" ca="1" si="11"/>
        <v>1294.1378648840339</v>
      </c>
      <c r="R43">
        <f t="shared" ca="1" si="11"/>
        <v>1360.9643312111427</v>
      </c>
      <c r="S43">
        <f t="shared" ca="1" si="11"/>
        <v>1294.1378648840339</v>
      </c>
      <c r="T43">
        <f t="shared" ref="T43:AI58" ca="1" si="15">T42*(IF(RAND()&lt;$B$11,$B$9,$B$10))</f>
        <v>1112.7098890109644</v>
      </c>
      <c r="U43">
        <f t="shared" ca="1" si="15"/>
        <v>1294.1378648840339</v>
      </c>
      <c r="V43">
        <f t="shared" ca="1" si="15"/>
        <v>1230.5927311380608</v>
      </c>
      <c r="W43">
        <f t="shared" ca="1" si="15"/>
        <v>1360.9643312111432</v>
      </c>
      <c r="X43">
        <f t="shared" ca="1" si="15"/>
        <v>1006.1194624136668</v>
      </c>
      <c r="Y43">
        <f t="shared" ca="1" si="15"/>
        <v>1230.5927311380613</v>
      </c>
      <c r="Z43">
        <f t="shared" ca="1" si="15"/>
        <v>1505.1477746955679</v>
      </c>
      <c r="AA43">
        <f t="shared" ca="1" si="15"/>
        <v>1294.1378648840334</v>
      </c>
      <c r="AB43">
        <f t="shared" ca="1" si="15"/>
        <v>1170.167809026693</v>
      </c>
      <c r="AC43">
        <f t="shared" ca="1" si="15"/>
        <v>1170.167809026693</v>
      </c>
      <c r="AD43">
        <f t="shared" ca="1" si="15"/>
        <v>1431.2415710013786</v>
      </c>
      <c r="AE43">
        <f t="shared" ca="1" si="15"/>
        <v>1112.7098890109644</v>
      </c>
      <c r="AF43">
        <f t="shared" ca="1" si="15"/>
        <v>1294.1378648840339</v>
      </c>
      <c r="AG43">
        <f t="shared" ca="1" si="15"/>
        <v>1230.5927311380613</v>
      </c>
      <c r="AH43">
        <f t="shared" ca="1" si="15"/>
        <v>956.71669201467887</v>
      </c>
      <c r="AI43">
        <f t="shared" ca="1" si="15"/>
        <v>1058.0732844912411</v>
      </c>
      <c r="AJ43">
        <f t="shared" ca="1" si="12"/>
        <v>956.7166920146791</v>
      </c>
      <c r="AK43">
        <f t="shared" ca="1" si="12"/>
        <v>1170.167809026693</v>
      </c>
      <c r="AL43">
        <f t="shared" ca="1" si="12"/>
        <v>1112.7098890109644</v>
      </c>
      <c r="AM43">
        <f t="shared" ca="1" si="12"/>
        <v>1230.5927311380608</v>
      </c>
      <c r="AN43">
        <f t="shared" ca="1" si="12"/>
        <v>1230.5927311380613</v>
      </c>
      <c r="AO43">
        <f t="shared" ca="1" si="12"/>
        <v>1006.1194624136668</v>
      </c>
      <c r="AP43">
        <f t="shared" ca="1" si="12"/>
        <v>1006.119462413667</v>
      </c>
      <c r="AQ43">
        <f t="shared" ca="1" si="12"/>
        <v>1170.167809026693</v>
      </c>
      <c r="AR43">
        <f t="shared" ca="1" si="12"/>
        <v>1112.7098890109644</v>
      </c>
      <c r="AS43">
        <f t="shared" ca="1" si="12"/>
        <v>1230.5927311380608</v>
      </c>
      <c r="AT43">
        <f t="shared" ca="1" si="12"/>
        <v>1230.5927311380608</v>
      </c>
      <c r="AU43">
        <f t="shared" ca="1" si="12"/>
        <v>1058.0732844912411</v>
      </c>
      <c r="AV43">
        <f t="shared" ca="1" si="12"/>
        <v>1170.167809026693</v>
      </c>
      <c r="AW43">
        <f t="shared" ca="1" si="12"/>
        <v>1294.1378648840334</v>
      </c>
      <c r="AX43">
        <f t="shared" ca="1" si="12"/>
        <v>1112.7098890109644</v>
      </c>
      <c r="AY43">
        <f t="shared" ca="1" si="12"/>
        <v>1006.119462413667</v>
      </c>
      <c r="AZ43">
        <f t="shared" ca="1" si="12"/>
        <v>1230.5927311380613</v>
      </c>
      <c r="BA43">
        <f t="shared" ca="1" si="12"/>
        <v>1170.167809026693</v>
      </c>
      <c r="BB43">
        <f t="shared" ca="1" si="12"/>
        <v>1006.1194624136672</v>
      </c>
      <c r="BC43">
        <f t="shared" ca="1" si="12"/>
        <v>1230.5927311380613</v>
      </c>
      <c r="BD43">
        <f t="shared" ca="1" si="12"/>
        <v>1112.7098890109644</v>
      </c>
      <c r="BE43">
        <f t="shared" ca="1" si="12"/>
        <v>1582.8703341015785</v>
      </c>
      <c r="BF43">
        <f t="shared" ca="1" si="12"/>
        <v>1112.7098890109644</v>
      </c>
      <c r="BG43">
        <f t="shared" ca="1" si="10"/>
        <v>1006.1194624136672</v>
      </c>
      <c r="BH43">
        <f t="shared" ca="1" si="10"/>
        <v>1360.964331211143</v>
      </c>
      <c r="BI43">
        <f t="shared" ca="1" si="10"/>
        <v>1360.9643312111432</v>
      </c>
      <c r="BJ43">
        <f t="shared" ca="1" si="10"/>
        <v>956.7166920146791</v>
      </c>
      <c r="BK43">
        <f t="shared" ca="1" si="10"/>
        <v>1112.7098890109644</v>
      </c>
      <c r="BL43">
        <f t="shared" ca="1" si="10"/>
        <v>1112.7098890109642</v>
      </c>
      <c r="BM43">
        <f t="shared" ca="1" si="10"/>
        <v>1170.1678090266932</v>
      </c>
      <c r="BN43">
        <f t="shared" ca="1" si="10"/>
        <v>1230.5927311380613</v>
      </c>
      <c r="BO43">
        <f t="shared" ca="1" si="10"/>
        <v>1170.167809026693</v>
      </c>
      <c r="BP43">
        <f t="shared" ca="1" si="10"/>
        <v>1505.1477746955675</v>
      </c>
      <c r="BQ43">
        <f t="shared" ca="1" si="10"/>
        <v>1170.167809026693</v>
      </c>
      <c r="BR43">
        <f t="shared" ca="1" si="10"/>
        <v>1360.9643312111432</v>
      </c>
      <c r="BS43">
        <f t="shared" ca="1" si="10"/>
        <v>1112.7098890109644</v>
      </c>
      <c r="BT43">
        <f t="shared" ca="1" si="10"/>
        <v>1170.1678090266932</v>
      </c>
      <c r="BU43">
        <f t="shared" ca="1" si="10"/>
        <v>1006.1194624136672</v>
      </c>
      <c r="BV43">
        <f t="shared" ca="1" si="10"/>
        <v>1360.9643312111432</v>
      </c>
      <c r="BW43">
        <f t="shared" ca="1" si="14"/>
        <v>1112.7098890109644</v>
      </c>
      <c r="BX43">
        <f t="shared" ca="1" si="14"/>
        <v>1112.7098890109644</v>
      </c>
      <c r="BY43">
        <f t="shared" ca="1" si="14"/>
        <v>1006.1194624136672</v>
      </c>
      <c r="BZ43">
        <f t="shared" ca="1" si="14"/>
        <v>1431.2415710013784</v>
      </c>
      <c r="CA43">
        <f t="shared" ca="1" si="14"/>
        <v>1360.9643312111432</v>
      </c>
      <c r="CB43">
        <f t="shared" ca="1" si="14"/>
        <v>1230.5927311380603</v>
      </c>
      <c r="CC43">
        <f t="shared" ca="1" si="14"/>
        <v>1431.2415710013786</v>
      </c>
      <c r="CD43">
        <f t="shared" ca="1" si="14"/>
        <v>1170.167809026693</v>
      </c>
      <c r="CE43">
        <f t="shared" ca="1" si="14"/>
        <v>1505.1477746955675</v>
      </c>
      <c r="CF43">
        <f t="shared" ca="1" si="13"/>
        <v>1058.0732844912411</v>
      </c>
      <c r="CG43">
        <f t="shared" ca="1" si="13"/>
        <v>1112.7098890109644</v>
      </c>
      <c r="CH43">
        <f t="shared" ca="1" si="13"/>
        <v>1360.9643312111427</v>
      </c>
      <c r="CI43">
        <f t="shared" ca="1" si="13"/>
        <v>1170.167809026693</v>
      </c>
      <c r="CJ43">
        <f t="shared" ca="1" si="13"/>
        <v>1294.1378648840337</v>
      </c>
      <c r="CK43">
        <f t="shared" ca="1" si="13"/>
        <v>1360.9643312111432</v>
      </c>
      <c r="CL43">
        <f t="shared" ca="1" si="13"/>
        <v>1112.7098890109644</v>
      </c>
      <c r="CM43">
        <f t="shared" ca="1" si="13"/>
        <v>1230.592731138061</v>
      </c>
      <c r="CN43">
        <f t="shared" ca="1" si="13"/>
        <v>1360.9643312111432</v>
      </c>
      <c r="CO43">
        <f t="shared" ca="1" si="13"/>
        <v>1431.2415710013786</v>
      </c>
      <c r="CP43">
        <f t="shared" ca="1" si="13"/>
        <v>1294.1378648840339</v>
      </c>
      <c r="CQ43">
        <f t="shared" ca="1" si="13"/>
        <v>1230.5927311380613</v>
      </c>
      <c r="CR43">
        <f t="shared" ca="1" si="13"/>
        <v>1360.9643312111427</v>
      </c>
      <c r="CS43">
        <f t="shared" ca="1" si="13"/>
        <v>956.71669201467887</v>
      </c>
      <c r="CT43">
        <f t="shared" ca="1" si="13"/>
        <v>1360.9643312111427</v>
      </c>
      <c r="CU43">
        <f t="shared" ca="1" si="13"/>
        <v>1170.167809026693</v>
      </c>
      <c r="CV43">
        <f t="shared" ca="1" si="13"/>
        <v>1230.5927311380608</v>
      </c>
      <c r="CW43">
        <f t="shared" ca="1" si="13"/>
        <v>1112.7098890109644</v>
      </c>
      <c r="CX43">
        <f t="shared" ca="1" si="13"/>
        <v>1230.5927311380608</v>
      </c>
      <c r="CY43">
        <f t="shared" ca="1" si="13"/>
        <v>1170.167809026693</v>
      </c>
    </row>
    <row r="44" spans="1:103">
      <c r="A44">
        <v>28</v>
      </c>
      <c r="B44">
        <v>28</v>
      </c>
      <c r="C44">
        <v>28</v>
      </c>
      <c r="D44">
        <f t="shared" ca="1" si="11"/>
        <v>1141.0772510686097</v>
      </c>
      <c r="E44">
        <f t="shared" ca="1" si="11"/>
        <v>1141.0772510686097</v>
      </c>
      <c r="F44">
        <f t="shared" ca="1" si="11"/>
        <v>1199.9999999999995</v>
      </c>
      <c r="G44">
        <f t="shared" ca="1" si="11"/>
        <v>1327.1305413473519</v>
      </c>
      <c r="H44">
        <f t="shared" ca="1" si="11"/>
        <v>1467.7295614807633</v>
      </c>
      <c r="I44">
        <f t="shared" ca="1" si="11"/>
        <v>1395.6606777721711</v>
      </c>
      <c r="J44">
        <f t="shared" ca="1" si="11"/>
        <v>1543.5199256908286</v>
      </c>
      <c r="K44">
        <f t="shared" ca="1" si="11"/>
        <v>1467.7295614807629</v>
      </c>
      <c r="L44">
        <f t="shared" ca="1" si="11"/>
        <v>1327.1305413473522</v>
      </c>
      <c r="M44">
        <f t="shared" ca="1" si="11"/>
        <v>1199.9999999999995</v>
      </c>
      <c r="N44">
        <f t="shared" ca="1" si="11"/>
        <v>1327.1305413473522</v>
      </c>
      <c r="O44">
        <f t="shared" ca="1" si="11"/>
        <v>1085.0477440885795</v>
      </c>
      <c r="P44">
        <f t="shared" ca="1" si="11"/>
        <v>1085.0477440885795</v>
      </c>
      <c r="Q44">
        <f t="shared" ca="1" si="11"/>
        <v>1327.1305413473522</v>
      </c>
      <c r="R44">
        <f t="shared" ca="1" si="11"/>
        <v>1327.1305413473517</v>
      </c>
      <c r="S44">
        <f t="shared" ca="1" si="11"/>
        <v>1261.9653916081941</v>
      </c>
      <c r="T44">
        <f t="shared" ca="1" si="15"/>
        <v>1085.0477440885795</v>
      </c>
      <c r="U44">
        <f t="shared" ca="1" si="15"/>
        <v>1327.1305413473522</v>
      </c>
      <c r="V44">
        <f t="shared" ca="1" si="15"/>
        <v>1261.9653916081936</v>
      </c>
      <c r="W44">
        <f t="shared" ca="1" si="15"/>
        <v>1327.1305413473522</v>
      </c>
      <c r="X44">
        <f t="shared" ca="1" si="15"/>
        <v>981.10717245976264</v>
      </c>
      <c r="Y44">
        <f t="shared" ca="1" si="15"/>
        <v>1261.9653916081941</v>
      </c>
      <c r="Z44">
        <f t="shared" ca="1" si="15"/>
        <v>1543.5199256908286</v>
      </c>
      <c r="AA44">
        <f t="shared" ca="1" si="15"/>
        <v>1261.9653916081936</v>
      </c>
      <c r="AB44">
        <f t="shared" ca="1" si="15"/>
        <v>1199.9999999999995</v>
      </c>
      <c r="AC44">
        <f t="shared" ca="1" si="15"/>
        <v>1141.0772510686097</v>
      </c>
      <c r="AD44">
        <f t="shared" ca="1" si="15"/>
        <v>1395.6606777721715</v>
      </c>
      <c r="AE44">
        <f t="shared" ca="1" si="15"/>
        <v>1085.0477440885795</v>
      </c>
      <c r="AF44">
        <f t="shared" ca="1" si="15"/>
        <v>1327.1305413473522</v>
      </c>
      <c r="AG44">
        <f t="shared" ca="1" si="15"/>
        <v>1200</v>
      </c>
      <c r="AH44">
        <f t="shared" ca="1" si="15"/>
        <v>932.93256279506875</v>
      </c>
      <c r="AI44">
        <f t="shared" ca="1" si="15"/>
        <v>1085.0477440885795</v>
      </c>
      <c r="AJ44">
        <f t="shared" ca="1" si="12"/>
        <v>981.10717245976286</v>
      </c>
      <c r="AK44">
        <f t="shared" ca="1" si="12"/>
        <v>1199.9999999999995</v>
      </c>
      <c r="AL44">
        <f t="shared" ca="1" si="12"/>
        <v>1141.0772510686097</v>
      </c>
      <c r="AM44">
        <f t="shared" ca="1" si="12"/>
        <v>1199.9999999999995</v>
      </c>
      <c r="AN44">
        <f t="shared" ca="1" si="12"/>
        <v>1261.9653916081941</v>
      </c>
      <c r="AO44">
        <f t="shared" ca="1" si="12"/>
        <v>1031.7694142523269</v>
      </c>
      <c r="AP44">
        <f t="shared" ca="1" si="12"/>
        <v>981.10717245976264</v>
      </c>
      <c r="AQ44">
        <f t="shared" ca="1" si="12"/>
        <v>1199.9999999999995</v>
      </c>
      <c r="AR44">
        <f t="shared" ca="1" si="12"/>
        <v>1141.0772510686097</v>
      </c>
      <c r="AS44">
        <f t="shared" ca="1" si="12"/>
        <v>1199.9999999999995</v>
      </c>
      <c r="AT44">
        <f t="shared" ca="1" si="12"/>
        <v>1261.9653916081936</v>
      </c>
      <c r="AU44">
        <f t="shared" ca="1" si="12"/>
        <v>1031.7694142523274</v>
      </c>
      <c r="AV44">
        <f t="shared" ca="1" si="12"/>
        <v>1199.9999999999995</v>
      </c>
      <c r="AW44">
        <f t="shared" ca="1" si="12"/>
        <v>1327.1305413473517</v>
      </c>
      <c r="AX44">
        <f t="shared" ca="1" si="12"/>
        <v>1085.0477440885795</v>
      </c>
      <c r="AY44">
        <f t="shared" ca="1" si="12"/>
        <v>1031.7694142523271</v>
      </c>
      <c r="AZ44">
        <f t="shared" ca="1" si="12"/>
        <v>1261.9653916081941</v>
      </c>
      <c r="BA44">
        <f t="shared" ca="1" si="12"/>
        <v>1199.9999999999995</v>
      </c>
      <c r="BB44">
        <f t="shared" ca="1" si="12"/>
        <v>981.10717245976286</v>
      </c>
      <c r="BC44">
        <f t="shared" ca="1" si="12"/>
        <v>1261.9653916081941</v>
      </c>
      <c r="BD44">
        <f t="shared" ca="1" si="12"/>
        <v>1085.0477440885795</v>
      </c>
      <c r="BE44">
        <f t="shared" ca="1" si="12"/>
        <v>1623.2239395662309</v>
      </c>
      <c r="BF44">
        <f t="shared" ca="1" si="12"/>
        <v>1085.0477440885795</v>
      </c>
      <c r="BG44">
        <f t="shared" ca="1" si="10"/>
        <v>1031.7694142523274</v>
      </c>
      <c r="BH44">
        <f t="shared" ca="1" si="10"/>
        <v>1395.6606777721713</v>
      </c>
      <c r="BI44">
        <f t="shared" ca="1" si="10"/>
        <v>1327.1305413473522</v>
      </c>
      <c r="BJ44">
        <f t="shared" ca="1" si="10"/>
        <v>981.10717245976286</v>
      </c>
      <c r="BK44">
        <f t="shared" ca="1" si="10"/>
        <v>1085.0477440885795</v>
      </c>
      <c r="BL44">
        <f t="shared" ca="1" si="10"/>
        <v>1141.0772510686095</v>
      </c>
      <c r="BM44">
        <f t="shared" ca="1" si="10"/>
        <v>1199.9999999999998</v>
      </c>
      <c r="BN44">
        <f t="shared" ca="1" si="10"/>
        <v>1200</v>
      </c>
      <c r="BO44">
        <f t="shared" ca="1" si="10"/>
        <v>1141.0772510686097</v>
      </c>
      <c r="BP44">
        <f t="shared" ca="1" si="10"/>
        <v>1467.7295614807629</v>
      </c>
      <c r="BQ44">
        <f t="shared" ca="1" si="10"/>
        <v>1199.9999999999995</v>
      </c>
      <c r="BR44">
        <f t="shared" ca="1" si="10"/>
        <v>1327.1305413473522</v>
      </c>
      <c r="BS44">
        <f t="shared" ca="1" si="10"/>
        <v>1085.0477440885795</v>
      </c>
      <c r="BT44">
        <f t="shared" ca="1" si="10"/>
        <v>1199.9999999999998</v>
      </c>
      <c r="BU44">
        <f t="shared" ca="1" si="10"/>
        <v>1031.7694142523274</v>
      </c>
      <c r="BV44">
        <f t="shared" ca="1" si="10"/>
        <v>1395.6606777721715</v>
      </c>
      <c r="BW44">
        <f t="shared" ca="1" si="14"/>
        <v>1085.0477440885795</v>
      </c>
      <c r="BX44">
        <f t="shared" ca="1" si="14"/>
        <v>1141.0772510686097</v>
      </c>
      <c r="BY44">
        <f t="shared" ca="1" si="14"/>
        <v>1031.7694142523274</v>
      </c>
      <c r="BZ44">
        <f t="shared" ca="1" si="14"/>
        <v>1395.6606777721713</v>
      </c>
      <c r="CA44">
        <f t="shared" ca="1" si="14"/>
        <v>1327.1305413473522</v>
      </c>
      <c r="CB44">
        <f t="shared" ca="1" si="14"/>
        <v>1199.9999999999991</v>
      </c>
      <c r="CC44">
        <f t="shared" ca="1" si="14"/>
        <v>1467.7295614807633</v>
      </c>
      <c r="CD44">
        <f t="shared" ca="1" si="14"/>
        <v>1141.0772510686097</v>
      </c>
      <c r="CE44">
        <f t="shared" ca="1" si="14"/>
        <v>1467.7295614807629</v>
      </c>
      <c r="CF44">
        <f t="shared" ca="1" si="13"/>
        <v>1085.0477440885795</v>
      </c>
      <c r="CG44">
        <f t="shared" ca="1" si="13"/>
        <v>1141.0772510686097</v>
      </c>
      <c r="CH44">
        <f t="shared" ca="1" si="13"/>
        <v>1327.1305413473517</v>
      </c>
      <c r="CI44">
        <f t="shared" ca="1" si="13"/>
        <v>1199.9999999999995</v>
      </c>
      <c r="CJ44">
        <f t="shared" ca="1" si="13"/>
        <v>1327.1305413473519</v>
      </c>
      <c r="CK44">
        <f t="shared" ca="1" si="13"/>
        <v>1327.1305413473522</v>
      </c>
      <c r="CL44">
        <f t="shared" ca="1" si="13"/>
        <v>1085.0477440885795</v>
      </c>
      <c r="CM44">
        <f t="shared" ca="1" si="13"/>
        <v>1261.9653916081938</v>
      </c>
      <c r="CN44">
        <f t="shared" ca="1" si="13"/>
        <v>1395.6606777721715</v>
      </c>
      <c r="CO44">
        <f t="shared" ca="1" si="13"/>
        <v>1395.6606777721715</v>
      </c>
      <c r="CP44">
        <f t="shared" ca="1" si="13"/>
        <v>1261.9653916081941</v>
      </c>
      <c r="CQ44">
        <f t="shared" ca="1" si="13"/>
        <v>1200</v>
      </c>
      <c r="CR44">
        <f t="shared" ca="1" si="13"/>
        <v>1327.1305413473517</v>
      </c>
      <c r="CS44">
        <f t="shared" ca="1" si="13"/>
        <v>932.93256279506875</v>
      </c>
      <c r="CT44">
        <f t="shared" ca="1" si="13"/>
        <v>1395.6606777721711</v>
      </c>
      <c r="CU44">
        <f t="shared" ca="1" si="13"/>
        <v>1199.9999999999995</v>
      </c>
      <c r="CV44">
        <f t="shared" ca="1" si="13"/>
        <v>1261.9653916081936</v>
      </c>
      <c r="CW44">
        <f t="shared" ca="1" si="13"/>
        <v>1141.0772510686097</v>
      </c>
      <c r="CX44">
        <f t="shared" ca="1" si="13"/>
        <v>1199.9999999999995</v>
      </c>
      <c r="CY44">
        <f t="shared" ca="1" si="13"/>
        <v>1141.0772510686097</v>
      </c>
    </row>
    <row r="45" spans="1:103">
      <c r="A45">
        <v>29</v>
      </c>
      <c r="B45">
        <v>29</v>
      </c>
      <c r="C45">
        <v>29</v>
      </c>
      <c r="D45">
        <f t="shared" ca="1" si="11"/>
        <v>1170.167809026693</v>
      </c>
      <c r="E45">
        <f t="shared" ca="1" si="11"/>
        <v>1170.167809026693</v>
      </c>
      <c r="F45">
        <f t="shared" ca="1" si="11"/>
        <v>1230.5927311380608</v>
      </c>
      <c r="G45">
        <f t="shared" ca="1" si="11"/>
        <v>1294.1378648840337</v>
      </c>
      <c r="H45">
        <f t="shared" ca="1" si="11"/>
        <v>1431.2415710013786</v>
      </c>
      <c r="I45">
        <f t="shared" ca="1" si="11"/>
        <v>1360.9643312111427</v>
      </c>
      <c r="J45">
        <f t="shared" ca="1" si="11"/>
        <v>1582.8703341015785</v>
      </c>
      <c r="K45">
        <f t="shared" ca="1" si="11"/>
        <v>1505.1477746955675</v>
      </c>
      <c r="L45">
        <f t="shared" ca="1" si="11"/>
        <v>1360.9643312111432</v>
      </c>
      <c r="M45">
        <f t="shared" ca="1" si="11"/>
        <v>1230.5927311380608</v>
      </c>
      <c r="N45">
        <f t="shared" ca="1" si="11"/>
        <v>1294.1378648840339</v>
      </c>
      <c r="O45">
        <f t="shared" ca="1" si="11"/>
        <v>1058.0732844912411</v>
      </c>
      <c r="P45">
        <f t="shared" ca="1" si="11"/>
        <v>1112.7098890109644</v>
      </c>
      <c r="Q45">
        <f t="shared" ca="1" si="11"/>
        <v>1360.9643312111432</v>
      </c>
      <c r="R45">
        <f t="shared" ca="1" si="11"/>
        <v>1360.9643312111427</v>
      </c>
      <c r="S45">
        <f t="shared" ca="1" si="11"/>
        <v>1230.5927311380613</v>
      </c>
      <c r="T45">
        <f t="shared" ca="1" si="15"/>
        <v>1112.7098890109644</v>
      </c>
      <c r="U45">
        <f t="shared" ca="1" si="15"/>
        <v>1294.1378648840339</v>
      </c>
      <c r="V45">
        <f t="shared" ca="1" si="15"/>
        <v>1230.5927311380608</v>
      </c>
      <c r="W45">
        <f t="shared" ca="1" si="15"/>
        <v>1294.1378648840339</v>
      </c>
      <c r="X45">
        <f t="shared" ca="1" si="15"/>
        <v>956.71669201467887</v>
      </c>
      <c r="Y45">
        <f t="shared" ca="1" si="15"/>
        <v>1230.5927311380613</v>
      </c>
      <c r="Z45">
        <f t="shared" ca="1" si="15"/>
        <v>1582.8703341015785</v>
      </c>
      <c r="AA45">
        <f t="shared" ca="1" si="15"/>
        <v>1294.1378648840334</v>
      </c>
      <c r="AB45">
        <f t="shared" ca="1" si="15"/>
        <v>1230.5927311380608</v>
      </c>
      <c r="AC45">
        <f t="shared" ca="1" si="15"/>
        <v>1170.167809026693</v>
      </c>
      <c r="AD45">
        <f t="shared" ca="1" si="15"/>
        <v>1360.9643312111432</v>
      </c>
      <c r="AE45">
        <f t="shared" ca="1" si="15"/>
        <v>1112.7098890109644</v>
      </c>
      <c r="AF45">
        <f t="shared" ca="1" si="15"/>
        <v>1360.9643312111432</v>
      </c>
      <c r="AG45">
        <f t="shared" ca="1" si="15"/>
        <v>1170.1678090266935</v>
      </c>
      <c r="AH45">
        <f t="shared" ca="1" si="15"/>
        <v>956.71669201467876</v>
      </c>
      <c r="AI45">
        <f t="shared" ca="1" si="15"/>
        <v>1112.7098890109644</v>
      </c>
      <c r="AJ45">
        <f t="shared" ca="1" si="12"/>
        <v>1006.1194624136671</v>
      </c>
      <c r="AK45">
        <f t="shared" ca="1" si="12"/>
        <v>1170.167809026693</v>
      </c>
      <c r="AL45">
        <f t="shared" ref="AL45:BF57" ca="1" si="16">AL44*(IF(RAND()&lt;$B$11,$B$9,$B$10))</f>
        <v>1170.167809026693</v>
      </c>
      <c r="AM45">
        <f t="shared" ca="1" si="16"/>
        <v>1230.5927311380608</v>
      </c>
      <c r="AN45">
        <f t="shared" ca="1" si="16"/>
        <v>1230.5927311380613</v>
      </c>
      <c r="AO45">
        <f t="shared" ca="1" si="16"/>
        <v>1058.0732844912407</v>
      </c>
      <c r="AP45">
        <f t="shared" ca="1" si="16"/>
        <v>1006.1194624136668</v>
      </c>
      <c r="AQ45">
        <f t="shared" ca="1" si="16"/>
        <v>1170.167809026693</v>
      </c>
      <c r="AR45">
        <f t="shared" ca="1" si="16"/>
        <v>1170.167809026693</v>
      </c>
      <c r="AS45">
        <f t="shared" ca="1" si="16"/>
        <v>1230.5927311380608</v>
      </c>
      <c r="AT45">
        <f t="shared" ca="1" si="16"/>
        <v>1230.5927311380608</v>
      </c>
      <c r="AU45">
        <f t="shared" ca="1" si="16"/>
        <v>1006.1194624136672</v>
      </c>
      <c r="AV45">
        <f t="shared" ca="1" si="16"/>
        <v>1170.167809026693</v>
      </c>
      <c r="AW45">
        <f t="shared" ca="1" si="16"/>
        <v>1360.9643312111427</v>
      </c>
      <c r="AX45">
        <f t="shared" ca="1" si="16"/>
        <v>1058.0732844912411</v>
      </c>
      <c r="AY45">
        <f t="shared" ca="1" si="16"/>
        <v>1006.119462413667</v>
      </c>
      <c r="AZ45">
        <f t="shared" ca="1" si="16"/>
        <v>1294.1378648840339</v>
      </c>
      <c r="BA45">
        <f t="shared" ca="1" si="16"/>
        <v>1230.5927311380608</v>
      </c>
      <c r="BB45">
        <f t="shared" ca="1" si="16"/>
        <v>956.7166920146791</v>
      </c>
      <c r="BC45">
        <f t="shared" ca="1" si="16"/>
        <v>1230.5927311380613</v>
      </c>
      <c r="BD45">
        <f t="shared" ca="1" si="16"/>
        <v>1058.0732844912411</v>
      </c>
      <c r="BE45">
        <f t="shared" ca="1" si="16"/>
        <v>1664.6063175329095</v>
      </c>
      <c r="BF45">
        <f t="shared" ca="1" si="16"/>
        <v>1058.0732844912411</v>
      </c>
      <c r="BG45">
        <f t="shared" ca="1" si="10"/>
        <v>1058.0732844912411</v>
      </c>
      <c r="BH45">
        <f t="shared" ca="1" si="10"/>
        <v>1431.2415710013784</v>
      </c>
      <c r="BI45">
        <f t="shared" ca="1" si="10"/>
        <v>1360.9643312111432</v>
      </c>
      <c r="BJ45">
        <f t="shared" ca="1" si="10"/>
        <v>956.7166920146791</v>
      </c>
      <c r="BK45">
        <f t="shared" ca="1" si="10"/>
        <v>1112.7098890109644</v>
      </c>
      <c r="BL45">
        <f t="shared" ca="1" si="10"/>
        <v>1112.7098890109642</v>
      </c>
      <c r="BM45">
        <f t="shared" ca="1" si="10"/>
        <v>1170.1678090266932</v>
      </c>
      <c r="BN45">
        <f t="shared" ca="1" si="10"/>
        <v>1230.5927311380613</v>
      </c>
      <c r="BO45">
        <f t="shared" ca="1" si="10"/>
        <v>1170.167809026693</v>
      </c>
      <c r="BP45">
        <f t="shared" ca="1" si="10"/>
        <v>1431.2415710013781</v>
      </c>
      <c r="BQ45">
        <f t="shared" ca="1" si="10"/>
        <v>1230.5927311380608</v>
      </c>
      <c r="BR45">
        <f t="shared" ca="1" si="10"/>
        <v>1360.9643312111432</v>
      </c>
      <c r="BS45">
        <f t="shared" ca="1" si="10"/>
        <v>1112.7098890109644</v>
      </c>
      <c r="BT45">
        <f t="shared" ca="1" si="10"/>
        <v>1170.1678090266932</v>
      </c>
      <c r="BU45">
        <f t="shared" ca="1" si="10"/>
        <v>1006.1194624136672</v>
      </c>
      <c r="BV45">
        <f t="shared" ca="1" si="10"/>
        <v>1360.9643312111432</v>
      </c>
      <c r="BW45">
        <f t="shared" ca="1" si="14"/>
        <v>1112.7098890109644</v>
      </c>
      <c r="BX45">
        <f t="shared" ca="1" si="14"/>
        <v>1170.167809026693</v>
      </c>
      <c r="BY45">
        <f t="shared" ca="1" si="14"/>
        <v>1058.0732844912411</v>
      </c>
      <c r="BZ45">
        <f t="shared" ca="1" si="14"/>
        <v>1360.964331211143</v>
      </c>
      <c r="CA45">
        <f t="shared" ca="1" si="14"/>
        <v>1360.9643312111432</v>
      </c>
      <c r="CB45">
        <f t="shared" ca="1" si="14"/>
        <v>1230.5927311380603</v>
      </c>
      <c r="CC45">
        <f t="shared" ca="1" si="14"/>
        <v>1431.2415710013786</v>
      </c>
      <c r="CD45">
        <f t="shared" ca="1" si="14"/>
        <v>1112.7098890109644</v>
      </c>
      <c r="CE45">
        <f t="shared" ca="1" si="14"/>
        <v>1505.1477746955675</v>
      </c>
      <c r="CF45">
        <f t="shared" ca="1" si="13"/>
        <v>1058.0732844912411</v>
      </c>
      <c r="CG45">
        <f t="shared" ca="1" si="13"/>
        <v>1170.167809026693</v>
      </c>
      <c r="CH45">
        <f t="shared" ca="1" si="13"/>
        <v>1294.1378648840334</v>
      </c>
      <c r="CI45">
        <f t="shared" ca="1" si="13"/>
        <v>1230.5927311380608</v>
      </c>
      <c r="CJ45">
        <f t="shared" ca="1" si="13"/>
        <v>1294.1378648840337</v>
      </c>
      <c r="CK45">
        <f t="shared" ca="1" si="13"/>
        <v>1360.9643312111432</v>
      </c>
      <c r="CL45">
        <f t="shared" ca="1" si="13"/>
        <v>1112.7098890109644</v>
      </c>
      <c r="CM45">
        <f t="shared" ca="1" si="13"/>
        <v>1230.592731138061</v>
      </c>
      <c r="CN45">
        <f t="shared" ca="1" si="13"/>
        <v>1431.2415710013786</v>
      </c>
      <c r="CO45">
        <f t="shared" ca="1" si="13"/>
        <v>1360.9643312111432</v>
      </c>
      <c r="CP45">
        <f t="shared" ca="1" si="13"/>
        <v>1294.1378648840339</v>
      </c>
      <c r="CQ45">
        <f t="shared" ca="1" si="13"/>
        <v>1230.5927311380613</v>
      </c>
      <c r="CR45">
        <f t="shared" ca="1" si="13"/>
        <v>1360.9643312111427</v>
      </c>
      <c r="CS45">
        <f t="shared" ca="1" si="13"/>
        <v>956.71669201467876</v>
      </c>
      <c r="CT45">
        <f t="shared" ca="1" si="13"/>
        <v>1360.9643312111427</v>
      </c>
      <c r="CU45">
        <f t="shared" ca="1" si="13"/>
        <v>1170.167809026693</v>
      </c>
      <c r="CV45">
        <f t="shared" ca="1" si="13"/>
        <v>1294.1378648840334</v>
      </c>
      <c r="CW45">
        <f t="shared" ca="1" si="13"/>
        <v>1112.7098890109644</v>
      </c>
      <c r="CX45">
        <f t="shared" ca="1" si="13"/>
        <v>1230.5927311380608</v>
      </c>
      <c r="CY45">
        <f t="shared" ca="1" si="13"/>
        <v>1112.7098890109644</v>
      </c>
    </row>
    <row r="46" spans="1:103">
      <c r="A46">
        <v>30</v>
      </c>
      <c r="B46">
        <v>30</v>
      </c>
      <c r="C46">
        <v>30</v>
      </c>
      <c r="D46">
        <f t="shared" ca="1" si="11"/>
        <v>1199.9999999999995</v>
      </c>
      <c r="E46">
        <f t="shared" ca="1" si="11"/>
        <v>1141.0772510686097</v>
      </c>
      <c r="F46">
        <f t="shared" ca="1" si="11"/>
        <v>1199.9999999999995</v>
      </c>
      <c r="G46">
        <f t="shared" ca="1" si="11"/>
        <v>1261.9653916081938</v>
      </c>
      <c r="H46">
        <f t="shared" ca="1" si="11"/>
        <v>1395.6606777721715</v>
      </c>
      <c r="I46">
        <f t="shared" ca="1" si="11"/>
        <v>1395.6606777721711</v>
      </c>
      <c r="J46">
        <f t="shared" ca="1" si="11"/>
        <v>1623.2239395662309</v>
      </c>
      <c r="K46">
        <f t="shared" ca="1" si="11"/>
        <v>1543.5199256908281</v>
      </c>
      <c r="L46">
        <f t="shared" ca="1" si="11"/>
        <v>1327.1305413473522</v>
      </c>
      <c r="M46">
        <f t="shared" ca="1" si="11"/>
        <v>1199.9999999999995</v>
      </c>
      <c r="N46">
        <f t="shared" ca="1" si="11"/>
        <v>1327.1305413473522</v>
      </c>
      <c r="O46">
        <f t="shared" ca="1" si="11"/>
        <v>1031.7694142523274</v>
      </c>
      <c r="P46">
        <f t="shared" ca="1" si="11"/>
        <v>1141.0772510686097</v>
      </c>
      <c r="Q46">
        <f t="shared" ca="1" si="11"/>
        <v>1327.1305413473522</v>
      </c>
      <c r="R46">
        <f t="shared" ca="1" si="11"/>
        <v>1395.6606777721711</v>
      </c>
      <c r="S46">
        <f t="shared" ca="1" si="11"/>
        <v>1261.9653916081941</v>
      </c>
      <c r="T46">
        <f t="shared" ca="1" si="15"/>
        <v>1085.0477440885795</v>
      </c>
      <c r="U46">
        <f t="shared" ca="1" si="15"/>
        <v>1261.9653916081941</v>
      </c>
      <c r="V46">
        <f t="shared" ca="1" si="15"/>
        <v>1261.9653916081936</v>
      </c>
      <c r="W46">
        <f t="shared" ca="1" si="15"/>
        <v>1261.9653916081941</v>
      </c>
      <c r="X46">
        <f t="shared" ca="1" si="15"/>
        <v>981.10717245976264</v>
      </c>
      <c r="Y46">
        <f t="shared" ca="1" si="15"/>
        <v>1200</v>
      </c>
      <c r="Z46">
        <f t="shared" ca="1" si="15"/>
        <v>1543.5199256908286</v>
      </c>
      <c r="AA46">
        <f t="shared" ca="1" si="15"/>
        <v>1261.9653916081936</v>
      </c>
      <c r="AB46">
        <f t="shared" ca="1" si="15"/>
        <v>1261.9653916081936</v>
      </c>
      <c r="AC46">
        <f t="shared" ca="1" si="15"/>
        <v>1199.9999999999995</v>
      </c>
      <c r="AD46">
        <f t="shared" ca="1" si="15"/>
        <v>1327.1305413473522</v>
      </c>
      <c r="AE46">
        <f t="shared" ca="1" si="15"/>
        <v>1085.0477440885795</v>
      </c>
      <c r="AF46">
        <f t="shared" ca="1" si="15"/>
        <v>1327.1305413473522</v>
      </c>
      <c r="AG46">
        <f t="shared" ca="1" si="15"/>
        <v>1200</v>
      </c>
      <c r="AH46">
        <f t="shared" ca="1" si="15"/>
        <v>932.93256279506875</v>
      </c>
      <c r="AI46">
        <f t="shared" ca="1" si="15"/>
        <v>1085.0477440885795</v>
      </c>
      <c r="AJ46">
        <f t="shared" ref="AJ46:AN61" ca="1" si="17">AJ45*(IF(RAND()&lt;$B$11,$B$9,$B$10))</f>
        <v>981.10717245976275</v>
      </c>
      <c r="AK46">
        <f t="shared" ca="1" si="17"/>
        <v>1199.9999999999995</v>
      </c>
      <c r="AL46">
        <f t="shared" ca="1" si="16"/>
        <v>1199.9999999999995</v>
      </c>
      <c r="AM46">
        <f t="shared" ca="1" si="16"/>
        <v>1261.9653916081936</v>
      </c>
      <c r="AN46">
        <f t="shared" ca="1" si="16"/>
        <v>1200</v>
      </c>
      <c r="AO46">
        <f t="shared" ca="1" si="16"/>
        <v>1031.7694142523269</v>
      </c>
      <c r="AP46">
        <f t="shared" ca="1" si="16"/>
        <v>981.10717245976264</v>
      </c>
      <c r="AQ46">
        <f t="shared" ca="1" si="16"/>
        <v>1199.9999999999995</v>
      </c>
      <c r="AR46">
        <f t="shared" ca="1" si="16"/>
        <v>1141.0772510686097</v>
      </c>
      <c r="AS46">
        <f t="shared" ca="1" si="16"/>
        <v>1261.9653916081936</v>
      </c>
      <c r="AT46">
        <f t="shared" ca="1" si="16"/>
        <v>1261.9653916081936</v>
      </c>
      <c r="AU46">
        <f t="shared" ca="1" si="16"/>
        <v>1031.7694142523274</v>
      </c>
      <c r="AV46">
        <f t="shared" ca="1" si="16"/>
        <v>1199.9999999999995</v>
      </c>
      <c r="AW46">
        <f t="shared" ca="1" si="16"/>
        <v>1395.6606777721711</v>
      </c>
      <c r="AX46">
        <f t="shared" ca="1" si="16"/>
        <v>1031.7694142523274</v>
      </c>
      <c r="AY46">
        <f t="shared" ca="1" si="16"/>
        <v>1031.7694142523271</v>
      </c>
      <c r="AZ46">
        <f t="shared" ca="1" si="16"/>
        <v>1327.1305413473522</v>
      </c>
      <c r="BA46">
        <f t="shared" ca="1" si="16"/>
        <v>1261.9653916081936</v>
      </c>
      <c r="BB46">
        <f t="shared" ca="1" si="16"/>
        <v>932.93256279506897</v>
      </c>
      <c r="BC46">
        <f t="shared" ca="1" si="16"/>
        <v>1261.9653916081941</v>
      </c>
      <c r="BD46">
        <f t="shared" ca="1" si="16"/>
        <v>1085.0477440885795</v>
      </c>
      <c r="BE46">
        <f t="shared" ca="1" si="16"/>
        <v>1623.2239395662309</v>
      </c>
      <c r="BF46">
        <f t="shared" ca="1" si="16"/>
        <v>1031.7694142523274</v>
      </c>
      <c r="BG46">
        <f t="shared" ca="1" si="10"/>
        <v>1085.0477440885795</v>
      </c>
      <c r="BH46">
        <f t="shared" ca="1" si="10"/>
        <v>1467.7295614807631</v>
      </c>
      <c r="BI46">
        <f t="shared" ca="1" si="10"/>
        <v>1327.1305413473522</v>
      </c>
      <c r="BJ46">
        <f t="shared" ca="1" si="10"/>
        <v>932.93256279506897</v>
      </c>
      <c r="BK46">
        <f t="shared" ca="1" si="10"/>
        <v>1085.0477440885795</v>
      </c>
      <c r="BL46">
        <f t="shared" ca="1" si="10"/>
        <v>1141.0772510686095</v>
      </c>
      <c r="BM46">
        <f t="shared" ca="1" si="10"/>
        <v>1199.9999999999998</v>
      </c>
      <c r="BN46">
        <f t="shared" ca="1" si="10"/>
        <v>1200</v>
      </c>
      <c r="BO46">
        <f t="shared" ca="1" si="10"/>
        <v>1199.9999999999995</v>
      </c>
      <c r="BP46">
        <f t="shared" ca="1" si="10"/>
        <v>1395.6606777721711</v>
      </c>
      <c r="BQ46">
        <f t="shared" ca="1" si="10"/>
        <v>1261.9653916081936</v>
      </c>
      <c r="BR46">
        <f t="shared" ca="1" si="10"/>
        <v>1395.6606777721715</v>
      </c>
      <c r="BS46">
        <f t="shared" ca="1" si="10"/>
        <v>1085.0477440885795</v>
      </c>
      <c r="BT46">
        <f t="shared" ca="1" si="10"/>
        <v>1141.0772510686097</v>
      </c>
      <c r="BU46">
        <f t="shared" ca="1" si="10"/>
        <v>981.10717245976286</v>
      </c>
      <c r="BV46">
        <f t="shared" ca="1" si="10"/>
        <v>1327.1305413473522</v>
      </c>
      <c r="BW46">
        <f t="shared" ca="1" si="14"/>
        <v>1085.0477440885795</v>
      </c>
      <c r="BX46">
        <f t="shared" ca="1" si="14"/>
        <v>1141.0772510686097</v>
      </c>
      <c r="BY46">
        <f t="shared" ca="1" si="14"/>
        <v>1085.0477440885795</v>
      </c>
      <c r="BZ46">
        <f t="shared" ca="1" si="14"/>
        <v>1395.6606777721713</v>
      </c>
      <c r="CA46">
        <f t="shared" ca="1" si="14"/>
        <v>1395.6606777721715</v>
      </c>
      <c r="CB46">
        <f t="shared" ca="1" si="14"/>
        <v>1261.9653916081932</v>
      </c>
      <c r="CC46">
        <f t="shared" ca="1" si="14"/>
        <v>1467.7295614807633</v>
      </c>
      <c r="CD46">
        <f t="shared" ca="1" si="14"/>
        <v>1085.0477440885795</v>
      </c>
      <c r="CE46">
        <f t="shared" ca="1" si="14"/>
        <v>1467.7295614807629</v>
      </c>
      <c r="CF46">
        <f t="shared" ca="1" si="13"/>
        <v>1085.0477440885795</v>
      </c>
      <c r="CG46">
        <f t="shared" ca="1" si="13"/>
        <v>1141.0772510686097</v>
      </c>
      <c r="CH46">
        <f t="shared" ca="1" si="13"/>
        <v>1261.9653916081936</v>
      </c>
      <c r="CI46">
        <f t="shared" ca="1" si="13"/>
        <v>1261.9653916081936</v>
      </c>
      <c r="CJ46">
        <f t="shared" ca="1" si="13"/>
        <v>1261.9653916081938</v>
      </c>
      <c r="CK46">
        <f t="shared" ca="1" si="13"/>
        <v>1395.6606777721715</v>
      </c>
      <c r="CL46">
        <f t="shared" ca="1" si="13"/>
        <v>1141.0772510686097</v>
      </c>
      <c r="CM46">
        <f t="shared" ca="1" si="13"/>
        <v>1261.9653916081938</v>
      </c>
      <c r="CN46">
        <f t="shared" ca="1" si="13"/>
        <v>1467.7295614807633</v>
      </c>
      <c r="CO46">
        <f t="shared" ca="1" si="13"/>
        <v>1327.1305413473522</v>
      </c>
      <c r="CP46">
        <f t="shared" ca="1" si="13"/>
        <v>1327.1305413473522</v>
      </c>
      <c r="CQ46">
        <f t="shared" ca="1" si="13"/>
        <v>1261.9653916081941</v>
      </c>
      <c r="CR46">
        <f t="shared" ca="1" si="13"/>
        <v>1395.6606777721711</v>
      </c>
      <c r="CS46">
        <f t="shared" ca="1" si="13"/>
        <v>981.10717245976252</v>
      </c>
      <c r="CT46">
        <f t="shared" ca="1" si="13"/>
        <v>1395.6606777721711</v>
      </c>
      <c r="CU46">
        <f t="shared" ref="CU46:CY61" ca="1" si="18">CU45*(IF(RAND()&lt;$B$11,$B$9,$B$10))</f>
        <v>1199.9999999999995</v>
      </c>
      <c r="CV46">
        <f t="shared" ca="1" si="18"/>
        <v>1327.1305413473517</v>
      </c>
      <c r="CW46">
        <f t="shared" ca="1" si="18"/>
        <v>1085.0477440885795</v>
      </c>
      <c r="CX46">
        <f t="shared" ca="1" si="18"/>
        <v>1261.9653916081936</v>
      </c>
      <c r="CY46">
        <f t="shared" ca="1" si="18"/>
        <v>1085.0477440885795</v>
      </c>
    </row>
    <row r="47" spans="1:103">
      <c r="A47">
        <v>31</v>
      </c>
      <c r="B47">
        <v>31</v>
      </c>
      <c r="C47">
        <v>31</v>
      </c>
      <c r="D47">
        <f t="shared" ca="1" si="11"/>
        <v>1170.167809026693</v>
      </c>
      <c r="E47">
        <f t="shared" ca="1" si="11"/>
        <v>1170.167809026693</v>
      </c>
      <c r="F47">
        <f t="shared" ca="1" si="11"/>
        <v>1170.167809026693</v>
      </c>
      <c r="G47">
        <f t="shared" ca="1" si="11"/>
        <v>1294.1378648840337</v>
      </c>
      <c r="H47">
        <f t="shared" ca="1" si="11"/>
        <v>1360.9643312111432</v>
      </c>
      <c r="I47">
        <f t="shared" ca="1" si="11"/>
        <v>1431.2415710013781</v>
      </c>
      <c r="J47">
        <f t="shared" ca="1" si="11"/>
        <v>1582.8703341015785</v>
      </c>
      <c r="K47">
        <f t="shared" ca="1" si="11"/>
        <v>1582.870334101578</v>
      </c>
      <c r="L47">
        <f t="shared" ca="1" si="11"/>
        <v>1294.1378648840339</v>
      </c>
      <c r="M47">
        <f t="shared" ca="1" si="11"/>
        <v>1170.167809026693</v>
      </c>
      <c r="N47">
        <f t="shared" ca="1" si="11"/>
        <v>1360.9643312111432</v>
      </c>
      <c r="O47">
        <f t="shared" ca="1" si="11"/>
        <v>1058.0732844912411</v>
      </c>
      <c r="P47">
        <f t="shared" ca="1" si="11"/>
        <v>1112.7098890109644</v>
      </c>
      <c r="Q47">
        <f t="shared" ca="1" si="11"/>
        <v>1294.1378648840339</v>
      </c>
      <c r="R47">
        <f t="shared" ca="1" si="11"/>
        <v>1360.9643312111427</v>
      </c>
      <c r="S47">
        <f t="shared" ca="1" si="11"/>
        <v>1294.1378648840339</v>
      </c>
      <c r="T47">
        <f t="shared" ca="1" si="15"/>
        <v>1112.7098890109644</v>
      </c>
      <c r="U47">
        <f t="shared" ca="1" si="15"/>
        <v>1294.1378648840339</v>
      </c>
      <c r="V47">
        <f t="shared" ca="1" si="15"/>
        <v>1294.1378648840334</v>
      </c>
      <c r="W47">
        <f t="shared" ca="1" si="15"/>
        <v>1294.1378648840339</v>
      </c>
      <c r="X47">
        <f t="shared" ca="1" si="15"/>
        <v>1006.1194624136668</v>
      </c>
      <c r="Y47">
        <f t="shared" ca="1" si="15"/>
        <v>1170.1678090266935</v>
      </c>
      <c r="Z47">
        <f t="shared" ca="1" si="15"/>
        <v>1582.8703341015785</v>
      </c>
      <c r="AA47">
        <f t="shared" ca="1" si="15"/>
        <v>1294.1378648840334</v>
      </c>
      <c r="AB47">
        <f t="shared" ca="1" si="15"/>
        <v>1230.5927311380608</v>
      </c>
      <c r="AC47">
        <f t="shared" ca="1" si="15"/>
        <v>1170.167809026693</v>
      </c>
      <c r="AD47">
        <f t="shared" ca="1" si="15"/>
        <v>1360.9643312111432</v>
      </c>
      <c r="AE47">
        <f t="shared" ca="1" si="15"/>
        <v>1058.0732844912411</v>
      </c>
      <c r="AF47">
        <f t="shared" ca="1" si="15"/>
        <v>1294.1378648840339</v>
      </c>
      <c r="AG47">
        <f t="shared" ca="1" si="15"/>
        <v>1230.5927311380613</v>
      </c>
      <c r="AH47">
        <f t="shared" ca="1" si="15"/>
        <v>909.73971081296975</v>
      </c>
      <c r="AI47">
        <f t="shared" ca="1" si="15"/>
        <v>1058.0732844912411</v>
      </c>
      <c r="AJ47">
        <f t="shared" ca="1" si="17"/>
        <v>956.71669201467898</v>
      </c>
      <c r="AK47">
        <f t="shared" ca="1" si="17"/>
        <v>1230.5927311380608</v>
      </c>
      <c r="AL47">
        <f t="shared" ca="1" si="16"/>
        <v>1170.167809026693</v>
      </c>
      <c r="AM47">
        <f t="shared" ca="1" si="16"/>
        <v>1230.5927311380608</v>
      </c>
      <c r="AN47">
        <f t="shared" ca="1" si="16"/>
        <v>1170.1678090266935</v>
      </c>
      <c r="AO47">
        <f t="shared" ca="1" si="16"/>
        <v>1006.1194624136668</v>
      </c>
      <c r="AP47">
        <f t="shared" ca="1" si="16"/>
        <v>956.71669201467887</v>
      </c>
      <c r="AQ47">
        <f t="shared" ca="1" si="16"/>
        <v>1230.5927311380608</v>
      </c>
      <c r="AR47">
        <f t="shared" ca="1" si="16"/>
        <v>1170.167809026693</v>
      </c>
      <c r="AS47">
        <f t="shared" ca="1" si="16"/>
        <v>1294.1378648840334</v>
      </c>
      <c r="AT47">
        <f t="shared" ca="1" si="16"/>
        <v>1230.5927311380608</v>
      </c>
      <c r="AU47">
        <f t="shared" ca="1" si="16"/>
        <v>1006.1194624136672</v>
      </c>
      <c r="AV47">
        <f t="shared" ca="1" si="16"/>
        <v>1230.5927311380608</v>
      </c>
      <c r="AW47">
        <f t="shared" ca="1" si="16"/>
        <v>1431.2415710013781</v>
      </c>
      <c r="AX47">
        <f t="shared" ca="1" si="16"/>
        <v>1006.1194624136672</v>
      </c>
      <c r="AY47">
        <f t="shared" ca="1" si="16"/>
        <v>1058.0732844912409</v>
      </c>
      <c r="AZ47">
        <f t="shared" ca="1" si="16"/>
        <v>1294.1378648840339</v>
      </c>
      <c r="BA47">
        <f t="shared" ca="1" si="16"/>
        <v>1230.5927311380608</v>
      </c>
      <c r="BB47">
        <f t="shared" ca="1" si="16"/>
        <v>909.73971081296986</v>
      </c>
      <c r="BC47">
        <f t="shared" ca="1" si="16"/>
        <v>1294.1378648840339</v>
      </c>
      <c r="BD47">
        <f t="shared" ca="1" si="16"/>
        <v>1112.7098890109644</v>
      </c>
      <c r="BE47">
        <f t="shared" ca="1" si="16"/>
        <v>1582.8703341015785</v>
      </c>
      <c r="BF47">
        <f t="shared" ca="1" si="16"/>
        <v>1058.0732844912411</v>
      </c>
      <c r="BG47">
        <f t="shared" ca="1" si="10"/>
        <v>1058.0732844912411</v>
      </c>
      <c r="BH47">
        <f t="shared" ca="1" si="10"/>
        <v>1505.1477746955677</v>
      </c>
      <c r="BI47">
        <f t="shared" ca="1" si="10"/>
        <v>1294.1378648840339</v>
      </c>
      <c r="BJ47">
        <f t="shared" ca="1" si="10"/>
        <v>956.71669201467898</v>
      </c>
      <c r="BK47">
        <f t="shared" ca="1" si="10"/>
        <v>1058.0732844912411</v>
      </c>
      <c r="BL47">
        <f t="shared" ca="1" si="10"/>
        <v>1170.1678090266928</v>
      </c>
      <c r="BM47">
        <f t="shared" ca="1" si="10"/>
        <v>1170.1678090266932</v>
      </c>
      <c r="BN47">
        <f t="shared" ca="1" si="10"/>
        <v>1170.1678090266935</v>
      </c>
      <c r="BO47">
        <f t="shared" ca="1" si="10"/>
        <v>1170.167809026693</v>
      </c>
      <c r="BP47">
        <f t="shared" ca="1" si="10"/>
        <v>1431.2415710013781</v>
      </c>
      <c r="BQ47">
        <f t="shared" ca="1" si="10"/>
        <v>1230.5927311380608</v>
      </c>
      <c r="BR47">
        <f t="shared" ca="1" si="10"/>
        <v>1360.9643312111432</v>
      </c>
      <c r="BS47">
        <f t="shared" ca="1" si="10"/>
        <v>1058.0732844912411</v>
      </c>
      <c r="BT47">
        <f t="shared" ca="1" si="10"/>
        <v>1112.7098890109644</v>
      </c>
      <c r="BU47">
        <f t="shared" ca="1" si="10"/>
        <v>1006.1194624136671</v>
      </c>
      <c r="BV47">
        <f t="shared" ca="1" si="10"/>
        <v>1360.9643312111432</v>
      </c>
      <c r="BW47">
        <f t="shared" ca="1" si="14"/>
        <v>1112.7098890109644</v>
      </c>
      <c r="BX47">
        <f t="shared" ca="1" si="14"/>
        <v>1170.167809026693</v>
      </c>
      <c r="BY47">
        <f t="shared" ca="1" si="14"/>
        <v>1058.0732844912411</v>
      </c>
      <c r="BZ47">
        <f t="shared" ca="1" si="14"/>
        <v>1360.964331211143</v>
      </c>
      <c r="CA47">
        <f t="shared" ca="1" si="14"/>
        <v>1431.2415710013786</v>
      </c>
      <c r="CB47">
        <f t="shared" ca="1" si="14"/>
        <v>1230.5927311380603</v>
      </c>
      <c r="CC47">
        <f t="shared" ca="1" si="14"/>
        <v>1505.1477746955679</v>
      </c>
      <c r="CD47">
        <f t="shared" ca="1" si="14"/>
        <v>1058.0732844912411</v>
      </c>
      <c r="CE47">
        <f t="shared" ca="1" si="14"/>
        <v>1431.2415710013781</v>
      </c>
      <c r="CF47">
        <f t="shared" ca="1" si="14"/>
        <v>1058.0732844912411</v>
      </c>
      <c r="CG47">
        <f t="shared" ca="1" si="14"/>
        <v>1112.7098890109644</v>
      </c>
      <c r="CH47">
        <f t="shared" ca="1" si="14"/>
        <v>1230.5927311380608</v>
      </c>
      <c r="CI47">
        <f t="shared" ca="1" si="14"/>
        <v>1294.1378648840334</v>
      </c>
      <c r="CJ47">
        <f t="shared" ca="1" si="14"/>
        <v>1294.1378648840337</v>
      </c>
      <c r="CK47">
        <f t="shared" ca="1" si="14"/>
        <v>1360.9643312111432</v>
      </c>
      <c r="CL47">
        <f t="shared" ca="1" si="14"/>
        <v>1112.7098890109644</v>
      </c>
      <c r="CM47">
        <f t="shared" ref="CM47:CY62" ca="1" si="19">CM46*(IF(RAND()&lt;$B$11,$B$9,$B$10))</f>
        <v>1230.592731138061</v>
      </c>
      <c r="CN47">
        <f t="shared" ca="1" si="19"/>
        <v>1505.1477746955679</v>
      </c>
      <c r="CO47">
        <f t="shared" ca="1" si="19"/>
        <v>1294.1378648840339</v>
      </c>
      <c r="CP47">
        <f t="shared" ca="1" si="19"/>
        <v>1360.9643312111432</v>
      </c>
      <c r="CQ47">
        <f t="shared" ca="1" si="19"/>
        <v>1294.1378648840339</v>
      </c>
      <c r="CR47">
        <f t="shared" ca="1" si="19"/>
        <v>1431.2415710013781</v>
      </c>
      <c r="CS47">
        <f t="shared" ca="1" si="19"/>
        <v>1006.1194624136667</v>
      </c>
      <c r="CT47">
        <f t="shared" ca="1" si="19"/>
        <v>1431.2415710013781</v>
      </c>
      <c r="CU47">
        <f t="shared" ca="1" si="18"/>
        <v>1230.5927311380608</v>
      </c>
      <c r="CV47">
        <f t="shared" ca="1" si="18"/>
        <v>1294.1378648840334</v>
      </c>
      <c r="CW47">
        <f t="shared" ca="1" si="18"/>
        <v>1112.7098890109644</v>
      </c>
      <c r="CX47">
        <f t="shared" ca="1" si="18"/>
        <v>1230.5927311380608</v>
      </c>
      <c r="CY47">
        <f t="shared" ca="1" si="18"/>
        <v>1058.0732844912411</v>
      </c>
    </row>
    <row r="48" spans="1:103">
      <c r="A48">
        <v>32</v>
      </c>
      <c r="B48">
        <v>32</v>
      </c>
      <c r="C48">
        <v>32</v>
      </c>
      <c r="D48">
        <f t="shared" ca="1" si="11"/>
        <v>1141.0772510686097</v>
      </c>
      <c r="E48">
        <f t="shared" ca="1" si="11"/>
        <v>1141.0772510686097</v>
      </c>
      <c r="F48">
        <f t="shared" ca="1" si="11"/>
        <v>1199.9999999999995</v>
      </c>
      <c r="G48">
        <f t="shared" ca="1" si="11"/>
        <v>1261.9653916081938</v>
      </c>
      <c r="H48">
        <f t="shared" ca="1" si="11"/>
        <v>1395.6606777721715</v>
      </c>
      <c r="I48">
        <f t="shared" ca="1" si="11"/>
        <v>1467.7295614807629</v>
      </c>
      <c r="J48">
        <f t="shared" ca="1" si="11"/>
        <v>1623.2239395662309</v>
      </c>
      <c r="K48">
        <f t="shared" ca="1" si="11"/>
        <v>1623.2239395662305</v>
      </c>
      <c r="L48">
        <f t="shared" ca="1" si="11"/>
        <v>1327.1305413473522</v>
      </c>
      <c r="M48">
        <f t="shared" ca="1" si="11"/>
        <v>1141.0772510686097</v>
      </c>
      <c r="N48">
        <f t="shared" ca="1" si="11"/>
        <v>1327.1305413473522</v>
      </c>
      <c r="O48">
        <f t="shared" ca="1" si="11"/>
        <v>1085.0477440885795</v>
      </c>
      <c r="P48">
        <f t="shared" ca="1" si="11"/>
        <v>1085.0477440885795</v>
      </c>
      <c r="Q48">
        <f t="shared" ca="1" si="11"/>
        <v>1327.1305413473522</v>
      </c>
      <c r="R48">
        <f t="shared" ca="1" si="11"/>
        <v>1327.1305413473517</v>
      </c>
      <c r="S48">
        <f t="shared" ca="1" si="11"/>
        <v>1327.1305413473522</v>
      </c>
      <c r="T48">
        <f t="shared" ca="1" si="15"/>
        <v>1085.0477440885795</v>
      </c>
      <c r="U48">
        <f t="shared" ca="1" si="15"/>
        <v>1261.9653916081941</v>
      </c>
      <c r="V48">
        <f t="shared" ca="1" si="15"/>
        <v>1327.1305413473517</v>
      </c>
      <c r="W48">
        <f t="shared" ca="1" si="15"/>
        <v>1261.9653916081941</v>
      </c>
      <c r="X48">
        <f t="shared" ca="1" si="15"/>
        <v>981.10717245976264</v>
      </c>
      <c r="Y48">
        <f t="shared" ca="1" si="15"/>
        <v>1200</v>
      </c>
      <c r="Z48">
        <f t="shared" ca="1" si="15"/>
        <v>1623.2239395662309</v>
      </c>
      <c r="AA48">
        <f t="shared" ca="1" si="15"/>
        <v>1261.9653916081936</v>
      </c>
      <c r="AB48">
        <f t="shared" ca="1" si="15"/>
        <v>1261.9653916081936</v>
      </c>
      <c r="AC48">
        <f t="shared" ca="1" si="15"/>
        <v>1199.9999999999995</v>
      </c>
      <c r="AD48">
        <f t="shared" ca="1" si="15"/>
        <v>1327.1305413473522</v>
      </c>
      <c r="AE48">
        <f t="shared" ca="1" si="15"/>
        <v>1031.7694142523274</v>
      </c>
      <c r="AF48">
        <f t="shared" ca="1" si="15"/>
        <v>1327.1305413473522</v>
      </c>
      <c r="AG48">
        <f t="shared" ca="1" si="15"/>
        <v>1200</v>
      </c>
      <c r="AH48">
        <f t="shared" ca="1" si="15"/>
        <v>887.12343682215874</v>
      </c>
      <c r="AI48">
        <f t="shared" ca="1" si="15"/>
        <v>1031.7694142523274</v>
      </c>
      <c r="AJ48">
        <f t="shared" ca="1" si="17"/>
        <v>981.10717245976275</v>
      </c>
      <c r="AK48">
        <f t="shared" ca="1" si="17"/>
        <v>1261.9653916081936</v>
      </c>
      <c r="AL48">
        <f t="shared" ca="1" si="16"/>
        <v>1199.9999999999995</v>
      </c>
      <c r="AM48">
        <f t="shared" ca="1" si="16"/>
        <v>1199.9999999999995</v>
      </c>
      <c r="AN48">
        <f t="shared" ca="1" si="16"/>
        <v>1200</v>
      </c>
      <c r="AO48">
        <f t="shared" ca="1" si="16"/>
        <v>1031.7694142523269</v>
      </c>
      <c r="AP48">
        <f t="shared" ca="1" si="16"/>
        <v>981.10717245976264</v>
      </c>
      <c r="AQ48">
        <f t="shared" ca="1" si="16"/>
        <v>1199.9999999999995</v>
      </c>
      <c r="AR48">
        <f t="shared" ca="1" si="16"/>
        <v>1199.9999999999995</v>
      </c>
      <c r="AS48">
        <f t="shared" ca="1" si="16"/>
        <v>1327.1305413473517</v>
      </c>
      <c r="AT48">
        <f t="shared" ca="1" si="16"/>
        <v>1261.9653916081936</v>
      </c>
      <c r="AU48">
        <f t="shared" ca="1" si="16"/>
        <v>1031.7694142523274</v>
      </c>
      <c r="AV48">
        <f t="shared" ca="1" si="16"/>
        <v>1261.9653916081936</v>
      </c>
      <c r="AW48">
        <f t="shared" ca="1" si="16"/>
        <v>1467.7295614807629</v>
      </c>
      <c r="AX48">
        <f t="shared" ca="1" si="16"/>
        <v>1031.7694142523274</v>
      </c>
      <c r="AY48">
        <f t="shared" ca="1" si="16"/>
        <v>1085.0477440885793</v>
      </c>
      <c r="AZ48">
        <f t="shared" ca="1" si="16"/>
        <v>1261.9653916081941</v>
      </c>
      <c r="BA48">
        <f t="shared" ca="1" si="16"/>
        <v>1261.9653916081936</v>
      </c>
      <c r="BB48">
        <f t="shared" ca="1" si="16"/>
        <v>932.93256279506886</v>
      </c>
      <c r="BC48">
        <f t="shared" ca="1" si="16"/>
        <v>1327.1305413473522</v>
      </c>
      <c r="BD48">
        <f t="shared" ca="1" si="16"/>
        <v>1085.0477440885795</v>
      </c>
      <c r="BE48">
        <f t="shared" ca="1" si="16"/>
        <v>1543.5199256908286</v>
      </c>
      <c r="BF48">
        <f t="shared" ca="1" si="16"/>
        <v>1031.7694142523274</v>
      </c>
      <c r="BG48">
        <f t="shared" ca="1" si="10"/>
        <v>1085.0477440885795</v>
      </c>
      <c r="BH48">
        <f t="shared" ca="1" si="10"/>
        <v>1543.5199256908284</v>
      </c>
      <c r="BI48">
        <f t="shared" ca="1" si="10"/>
        <v>1327.1305413473522</v>
      </c>
      <c r="BJ48">
        <f t="shared" ca="1" si="10"/>
        <v>981.10717245976275</v>
      </c>
      <c r="BK48">
        <f t="shared" ca="1" si="10"/>
        <v>1031.7694142523274</v>
      </c>
      <c r="BL48">
        <f t="shared" ca="1" si="10"/>
        <v>1141.0772510686095</v>
      </c>
      <c r="BM48">
        <f t="shared" ca="1" si="10"/>
        <v>1141.0772510686097</v>
      </c>
      <c r="BN48">
        <f t="shared" ca="1" si="10"/>
        <v>1141.0772510686099</v>
      </c>
      <c r="BO48">
        <f t="shared" ca="1" si="10"/>
        <v>1141.0772510686097</v>
      </c>
      <c r="BP48">
        <f t="shared" ca="1" si="10"/>
        <v>1395.6606777721711</v>
      </c>
      <c r="BQ48">
        <f t="shared" ca="1" si="10"/>
        <v>1199.9999999999995</v>
      </c>
      <c r="BR48">
        <f t="shared" ca="1" si="10"/>
        <v>1327.1305413473522</v>
      </c>
      <c r="BS48">
        <f t="shared" ca="1" si="10"/>
        <v>1085.0477440885795</v>
      </c>
      <c r="BT48">
        <f t="shared" ca="1" si="10"/>
        <v>1085.0477440885795</v>
      </c>
      <c r="BU48">
        <f t="shared" ca="1" si="10"/>
        <v>1031.7694142523271</v>
      </c>
      <c r="BV48">
        <f t="shared" ca="1" si="10"/>
        <v>1327.1305413473522</v>
      </c>
      <c r="BW48">
        <f t="shared" ca="1" si="14"/>
        <v>1085.0477440885795</v>
      </c>
      <c r="BX48">
        <f t="shared" ca="1" si="14"/>
        <v>1199.9999999999995</v>
      </c>
      <c r="BY48">
        <f t="shared" ca="1" si="14"/>
        <v>1031.7694142523274</v>
      </c>
      <c r="BZ48">
        <f t="shared" ca="1" si="14"/>
        <v>1395.6606777721713</v>
      </c>
      <c r="CA48">
        <f t="shared" ca="1" si="14"/>
        <v>1395.6606777721715</v>
      </c>
      <c r="CB48">
        <f t="shared" ca="1" si="14"/>
        <v>1199.9999999999991</v>
      </c>
      <c r="CC48">
        <f t="shared" ca="1" si="14"/>
        <v>1467.7295614807631</v>
      </c>
      <c r="CD48">
        <f t="shared" ca="1" si="14"/>
        <v>1031.7694142523274</v>
      </c>
      <c r="CE48">
        <f t="shared" ca="1" si="14"/>
        <v>1395.6606777721711</v>
      </c>
      <c r="CF48">
        <f t="shared" ca="1" si="14"/>
        <v>1085.0477440885795</v>
      </c>
      <c r="CG48">
        <f t="shared" ca="1" si="14"/>
        <v>1141.0772510686097</v>
      </c>
      <c r="CH48">
        <f t="shared" ca="1" si="14"/>
        <v>1199.9999999999995</v>
      </c>
      <c r="CI48">
        <f t="shared" ca="1" si="14"/>
        <v>1327.1305413473517</v>
      </c>
      <c r="CJ48">
        <f t="shared" ca="1" si="14"/>
        <v>1261.9653916081938</v>
      </c>
      <c r="CK48">
        <f t="shared" ca="1" si="14"/>
        <v>1395.6606777721715</v>
      </c>
      <c r="CL48">
        <f t="shared" ca="1" si="14"/>
        <v>1141.0772510686097</v>
      </c>
      <c r="CM48">
        <f t="shared" ca="1" si="19"/>
        <v>1261.9653916081938</v>
      </c>
      <c r="CN48">
        <f t="shared" ca="1" si="19"/>
        <v>1467.7295614807631</v>
      </c>
      <c r="CO48">
        <f t="shared" ca="1" si="19"/>
        <v>1327.1305413473522</v>
      </c>
      <c r="CP48">
        <f t="shared" ca="1" si="19"/>
        <v>1395.6606777721715</v>
      </c>
      <c r="CQ48">
        <f t="shared" ca="1" si="19"/>
        <v>1327.1305413473522</v>
      </c>
      <c r="CR48">
        <f t="shared" ca="1" si="19"/>
        <v>1395.6606777721711</v>
      </c>
      <c r="CS48">
        <f t="shared" ca="1" si="19"/>
        <v>981.10717245976252</v>
      </c>
      <c r="CT48">
        <f t="shared" ca="1" si="19"/>
        <v>1395.6606777721711</v>
      </c>
      <c r="CU48">
        <f t="shared" ca="1" si="18"/>
        <v>1199.9999999999995</v>
      </c>
      <c r="CV48">
        <f t="shared" ca="1" si="18"/>
        <v>1327.1305413473517</v>
      </c>
      <c r="CW48">
        <f t="shared" ca="1" si="18"/>
        <v>1085.0477440885795</v>
      </c>
      <c r="CX48">
        <f t="shared" ca="1" si="18"/>
        <v>1261.9653916081936</v>
      </c>
      <c r="CY48">
        <f t="shared" ca="1" si="18"/>
        <v>1031.7694142523274</v>
      </c>
    </row>
    <row r="49" spans="1:103">
      <c r="A49">
        <v>33</v>
      </c>
      <c r="B49">
        <v>33</v>
      </c>
      <c r="C49">
        <v>33</v>
      </c>
      <c r="D49">
        <f t="shared" ca="1" si="11"/>
        <v>1112.7098890109644</v>
      </c>
      <c r="E49">
        <f t="shared" ca="1" si="11"/>
        <v>1112.7098890109644</v>
      </c>
      <c r="F49">
        <f t="shared" ca="1" si="11"/>
        <v>1170.167809026693</v>
      </c>
      <c r="G49">
        <f t="shared" ca="1" si="11"/>
        <v>1294.1378648840337</v>
      </c>
      <c r="H49">
        <f t="shared" ca="1" si="11"/>
        <v>1360.9643312111432</v>
      </c>
      <c r="I49">
        <f t="shared" ca="1" si="11"/>
        <v>1505.1477746955675</v>
      </c>
      <c r="J49">
        <f t="shared" ca="1" si="11"/>
        <v>1664.6063175329095</v>
      </c>
      <c r="K49">
        <f t="shared" ca="1" si="11"/>
        <v>1582.870334101578</v>
      </c>
      <c r="L49">
        <f t="shared" ca="1" si="11"/>
        <v>1360.9643312111432</v>
      </c>
      <c r="M49">
        <f t="shared" ca="1" si="11"/>
        <v>1112.7098890109644</v>
      </c>
      <c r="N49">
        <f t="shared" ca="1" si="11"/>
        <v>1360.9643312111432</v>
      </c>
      <c r="O49">
        <f t="shared" ca="1" si="11"/>
        <v>1112.7098890109644</v>
      </c>
      <c r="P49">
        <f t="shared" ca="1" si="11"/>
        <v>1058.0732844912411</v>
      </c>
      <c r="Q49">
        <f t="shared" ca="1" si="11"/>
        <v>1294.1378648840339</v>
      </c>
      <c r="R49">
        <f t="shared" ca="1" si="11"/>
        <v>1360.9643312111427</v>
      </c>
      <c r="S49">
        <f t="shared" ref="S49:AH64" ca="1" si="20">S48*(IF(RAND()&lt;$B$11,$B$9,$B$10))</f>
        <v>1360.9643312111432</v>
      </c>
      <c r="T49">
        <f t="shared" ca="1" si="15"/>
        <v>1112.7098890109644</v>
      </c>
      <c r="U49">
        <f t="shared" ca="1" si="15"/>
        <v>1294.1378648840339</v>
      </c>
      <c r="V49">
        <f t="shared" ca="1" si="15"/>
        <v>1294.1378648840334</v>
      </c>
      <c r="W49">
        <f t="shared" ca="1" si="15"/>
        <v>1294.1378648840339</v>
      </c>
      <c r="X49">
        <f t="shared" ca="1" si="15"/>
        <v>1006.1194624136668</v>
      </c>
      <c r="Y49">
        <f t="shared" ca="1" si="15"/>
        <v>1230.5927311380613</v>
      </c>
      <c r="Z49">
        <f t="shared" ca="1" si="15"/>
        <v>1582.8703341015785</v>
      </c>
      <c r="AA49">
        <f t="shared" ca="1" si="15"/>
        <v>1230.5927311380608</v>
      </c>
      <c r="AB49">
        <f t="shared" ca="1" si="15"/>
        <v>1294.1378648840334</v>
      </c>
      <c r="AC49">
        <f t="shared" ca="1" si="15"/>
        <v>1230.5927311380608</v>
      </c>
      <c r="AD49">
        <f t="shared" ca="1" si="15"/>
        <v>1294.1378648840339</v>
      </c>
      <c r="AE49">
        <f t="shared" ca="1" si="15"/>
        <v>1006.1194624136672</v>
      </c>
      <c r="AF49">
        <f t="shared" ca="1" si="15"/>
        <v>1294.1378648840339</v>
      </c>
      <c r="AG49">
        <f t="shared" ca="1" si="15"/>
        <v>1230.5927311380613</v>
      </c>
      <c r="AH49">
        <f t="shared" ca="1" si="15"/>
        <v>909.73971081296975</v>
      </c>
      <c r="AI49">
        <f t="shared" ca="1" si="15"/>
        <v>1006.1194624136672</v>
      </c>
      <c r="AJ49">
        <f t="shared" ca="1" si="17"/>
        <v>1006.119462413667</v>
      </c>
      <c r="AK49">
        <f t="shared" ca="1" si="17"/>
        <v>1230.5927311380608</v>
      </c>
      <c r="AL49">
        <f t="shared" ca="1" si="16"/>
        <v>1230.5927311380608</v>
      </c>
      <c r="AM49">
        <f t="shared" ca="1" si="16"/>
        <v>1230.5927311380608</v>
      </c>
      <c r="AN49">
        <f t="shared" ca="1" si="16"/>
        <v>1170.1678090266935</v>
      </c>
      <c r="AO49">
        <f t="shared" ca="1" si="16"/>
        <v>1058.0732844912407</v>
      </c>
      <c r="AP49">
        <f t="shared" ca="1" si="16"/>
        <v>1006.1194624136668</v>
      </c>
      <c r="AQ49">
        <f t="shared" ca="1" si="16"/>
        <v>1230.5927311380608</v>
      </c>
      <c r="AR49">
        <f t="shared" ca="1" si="16"/>
        <v>1230.5927311380608</v>
      </c>
      <c r="AS49">
        <f t="shared" ca="1" si="16"/>
        <v>1294.1378648840334</v>
      </c>
      <c r="AT49">
        <f t="shared" ca="1" si="16"/>
        <v>1294.1378648840334</v>
      </c>
      <c r="AU49">
        <f t="shared" ca="1" si="16"/>
        <v>1058.0732844912411</v>
      </c>
      <c r="AV49">
        <f t="shared" ca="1" si="16"/>
        <v>1230.5927311380608</v>
      </c>
      <c r="AW49">
        <f t="shared" ca="1" si="16"/>
        <v>1431.2415710013781</v>
      </c>
      <c r="AX49">
        <f t="shared" ca="1" si="16"/>
        <v>1058.0732844912411</v>
      </c>
      <c r="AY49">
        <f t="shared" ca="1" si="16"/>
        <v>1112.7098890109642</v>
      </c>
      <c r="AZ49">
        <f t="shared" ca="1" si="16"/>
        <v>1294.1378648840339</v>
      </c>
      <c r="BA49">
        <f t="shared" ca="1" si="16"/>
        <v>1294.1378648840334</v>
      </c>
      <c r="BB49">
        <f t="shared" ca="1" si="16"/>
        <v>909.73971081296975</v>
      </c>
      <c r="BC49">
        <f t="shared" ca="1" si="16"/>
        <v>1360.9643312111432</v>
      </c>
      <c r="BD49">
        <f t="shared" ca="1" si="16"/>
        <v>1058.0732844912411</v>
      </c>
      <c r="BE49">
        <f t="shared" ca="1" si="16"/>
        <v>1505.1477746955679</v>
      </c>
      <c r="BF49">
        <f t="shared" ca="1" si="16"/>
        <v>1058.0732844912411</v>
      </c>
      <c r="BG49">
        <f t="shared" ref="BG49:BV64" ca="1" si="21">BG48*(IF(RAND()&lt;$B$11,$B$9,$B$10))</f>
        <v>1058.0732844912411</v>
      </c>
      <c r="BH49">
        <f t="shared" ca="1" si="21"/>
        <v>1505.1477746955677</v>
      </c>
      <c r="BI49">
        <f t="shared" ca="1" si="21"/>
        <v>1294.1378648840339</v>
      </c>
      <c r="BJ49">
        <f t="shared" ca="1" si="21"/>
        <v>1006.119462413667</v>
      </c>
      <c r="BK49">
        <f t="shared" ca="1" si="21"/>
        <v>1006.1194624136672</v>
      </c>
      <c r="BL49">
        <f t="shared" ca="1" si="21"/>
        <v>1170.1678090266928</v>
      </c>
      <c r="BM49">
        <f t="shared" ca="1" si="21"/>
        <v>1170.167809026693</v>
      </c>
      <c r="BN49">
        <f t="shared" ca="1" si="21"/>
        <v>1112.7098890109644</v>
      </c>
      <c r="BO49">
        <f t="shared" ca="1" si="21"/>
        <v>1112.7098890109644</v>
      </c>
      <c r="BP49">
        <f t="shared" ca="1" si="21"/>
        <v>1360.9643312111427</v>
      </c>
      <c r="BQ49">
        <f t="shared" ca="1" si="21"/>
        <v>1230.5927311380608</v>
      </c>
      <c r="BR49">
        <f t="shared" ca="1" si="21"/>
        <v>1294.1378648840339</v>
      </c>
      <c r="BS49">
        <f t="shared" ca="1" si="21"/>
        <v>1112.7098890109644</v>
      </c>
      <c r="BT49">
        <f t="shared" ca="1" si="21"/>
        <v>1058.0732844912411</v>
      </c>
      <c r="BU49">
        <f t="shared" ca="1" si="21"/>
        <v>1006.119462413667</v>
      </c>
      <c r="BV49">
        <f t="shared" ca="1" si="21"/>
        <v>1294.1378648840339</v>
      </c>
      <c r="BW49">
        <f t="shared" ca="1" si="14"/>
        <v>1058.0732844912411</v>
      </c>
      <c r="BX49">
        <f t="shared" ca="1" si="14"/>
        <v>1230.5927311380608</v>
      </c>
      <c r="BY49">
        <f t="shared" ca="1" si="14"/>
        <v>1058.0732844912411</v>
      </c>
      <c r="BZ49">
        <f t="shared" ca="1" si="14"/>
        <v>1431.2415710013784</v>
      </c>
      <c r="CA49">
        <f t="shared" ca="1" si="14"/>
        <v>1431.2415710013786</v>
      </c>
      <c r="CB49">
        <f t="shared" ca="1" si="14"/>
        <v>1230.5927311380603</v>
      </c>
      <c r="CC49">
        <f t="shared" ca="1" si="14"/>
        <v>1505.1477746955677</v>
      </c>
      <c r="CD49">
        <f t="shared" ca="1" si="14"/>
        <v>1058.0732844912411</v>
      </c>
      <c r="CE49">
        <f t="shared" ca="1" si="14"/>
        <v>1431.2415710013781</v>
      </c>
      <c r="CF49">
        <f t="shared" ca="1" si="14"/>
        <v>1058.0732844912411</v>
      </c>
      <c r="CG49">
        <f t="shared" ca="1" si="14"/>
        <v>1112.7098890109644</v>
      </c>
      <c r="CH49">
        <f t="shared" ca="1" si="14"/>
        <v>1170.167809026693</v>
      </c>
      <c r="CI49">
        <f t="shared" ca="1" si="14"/>
        <v>1360.9643312111427</v>
      </c>
      <c r="CJ49">
        <f t="shared" ca="1" si="14"/>
        <v>1230.592731138061</v>
      </c>
      <c r="CK49">
        <f t="shared" ca="1" si="14"/>
        <v>1360.9643312111432</v>
      </c>
      <c r="CL49">
        <f t="shared" ca="1" si="14"/>
        <v>1170.167809026693</v>
      </c>
      <c r="CM49">
        <f t="shared" ca="1" si="19"/>
        <v>1230.592731138061</v>
      </c>
      <c r="CN49">
        <f t="shared" ca="1" si="19"/>
        <v>1431.2415710013784</v>
      </c>
      <c r="CO49">
        <f t="shared" ca="1" si="19"/>
        <v>1294.1378648840339</v>
      </c>
      <c r="CP49">
        <f t="shared" ca="1" si="19"/>
        <v>1431.2415710013786</v>
      </c>
      <c r="CQ49">
        <f t="shared" ca="1" si="19"/>
        <v>1360.9643312111432</v>
      </c>
      <c r="CR49">
        <f t="shared" ca="1" si="19"/>
        <v>1431.2415710013781</v>
      </c>
      <c r="CS49">
        <f t="shared" ca="1" si="19"/>
        <v>956.71669201467876</v>
      </c>
      <c r="CT49">
        <f t="shared" ca="1" si="19"/>
        <v>1431.2415710013781</v>
      </c>
      <c r="CU49">
        <f t="shared" ca="1" si="18"/>
        <v>1170.167809026693</v>
      </c>
      <c r="CV49">
        <f t="shared" ca="1" si="18"/>
        <v>1294.1378648840334</v>
      </c>
      <c r="CW49">
        <f t="shared" ca="1" si="18"/>
        <v>1058.0732844912411</v>
      </c>
      <c r="CX49">
        <f t="shared" ca="1" si="18"/>
        <v>1294.1378648840334</v>
      </c>
      <c r="CY49">
        <f t="shared" ca="1" si="18"/>
        <v>1058.0732844912411</v>
      </c>
    </row>
    <row r="50" spans="1:103">
      <c r="A50">
        <v>34</v>
      </c>
      <c r="B50">
        <v>34</v>
      </c>
      <c r="C50">
        <v>34</v>
      </c>
      <c r="D50">
        <f t="shared" ref="D50:S65" ca="1" si="22">D49*(IF(RAND()&lt;$B$11,$B$9,$B$10))</f>
        <v>1141.0772510686097</v>
      </c>
      <c r="E50">
        <f t="shared" ca="1" si="22"/>
        <v>1085.0477440885795</v>
      </c>
      <c r="F50">
        <f t="shared" ca="1" si="22"/>
        <v>1141.0772510686097</v>
      </c>
      <c r="G50">
        <f t="shared" ca="1" si="22"/>
        <v>1327.1305413473519</v>
      </c>
      <c r="H50">
        <f t="shared" ca="1" si="22"/>
        <v>1395.6606777721715</v>
      </c>
      <c r="I50">
        <f t="shared" ca="1" si="22"/>
        <v>1543.5199256908281</v>
      </c>
      <c r="J50">
        <f t="shared" ca="1" si="22"/>
        <v>1707.043695468745</v>
      </c>
      <c r="K50">
        <f t="shared" ca="1" si="22"/>
        <v>1623.2239395662305</v>
      </c>
      <c r="L50">
        <f t="shared" ca="1" si="22"/>
        <v>1327.1305413473522</v>
      </c>
      <c r="M50">
        <f t="shared" ca="1" si="22"/>
        <v>1141.0772510686097</v>
      </c>
      <c r="N50">
        <f t="shared" ca="1" si="22"/>
        <v>1395.6606777721715</v>
      </c>
      <c r="O50">
        <f t="shared" ca="1" si="22"/>
        <v>1085.0477440885795</v>
      </c>
      <c r="P50">
        <f t="shared" ca="1" si="22"/>
        <v>1085.0477440885795</v>
      </c>
      <c r="Q50">
        <f t="shared" ca="1" si="22"/>
        <v>1261.9653916081941</v>
      </c>
      <c r="R50">
        <f t="shared" ca="1" si="22"/>
        <v>1395.6606777721711</v>
      </c>
      <c r="S50">
        <f t="shared" ca="1" si="20"/>
        <v>1395.6606777721715</v>
      </c>
      <c r="T50">
        <f t="shared" ca="1" si="15"/>
        <v>1085.0477440885795</v>
      </c>
      <c r="U50">
        <f t="shared" ca="1" si="15"/>
        <v>1261.9653916081941</v>
      </c>
      <c r="V50">
        <f t="shared" ca="1" si="15"/>
        <v>1327.1305413473517</v>
      </c>
      <c r="W50">
        <f t="shared" ca="1" si="15"/>
        <v>1327.1305413473522</v>
      </c>
      <c r="X50">
        <f t="shared" ca="1" si="15"/>
        <v>981.10717245976264</v>
      </c>
      <c r="Y50">
        <f t="shared" ca="1" si="15"/>
        <v>1200</v>
      </c>
      <c r="Z50">
        <f t="shared" ca="1" si="15"/>
        <v>1543.5199256908286</v>
      </c>
      <c r="AA50">
        <f t="shared" ca="1" si="15"/>
        <v>1261.9653916081936</v>
      </c>
      <c r="AB50">
        <f t="shared" ca="1" si="15"/>
        <v>1327.1305413473517</v>
      </c>
      <c r="AC50">
        <f t="shared" ca="1" si="15"/>
        <v>1261.9653916081936</v>
      </c>
      <c r="AD50">
        <f t="shared" ca="1" si="15"/>
        <v>1261.9653916081941</v>
      </c>
      <c r="AE50">
        <f t="shared" ca="1" si="15"/>
        <v>1031.7694142523274</v>
      </c>
      <c r="AF50">
        <f t="shared" ca="1" si="15"/>
        <v>1261.9653916081941</v>
      </c>
      <c r="AG50">
        <f t="shared" ca="1" si="15"/>
        <v>1261.9653916081941</v>
      </c>
      <c r="AH50">
        <f t="shared" ca="1" si="15"/>
        <v>887.12343682215874</v>
      </c>
      <c r="AI50">
        <f t="shared" ca="1" si="15"/>
        <v>1031.7694142523274</v>
      </c>
      <c r="AJ50">
        <f t="shared" ca="1" si="17"/>
        <v>1031.7694142523271</v>
      </c>
      <c r="AK50">
        <f t="shared" ca="1" si="17"/>
        <v>1261.9653916081936</v>
      </c>
      <c r="AL50">
        <f t="shared" ca="1" si="16"/>
        <v>1261.9653916081936</v>
      </c>
      <c r="AM50">
        <f t="shared" ca="1" si="16"/>
        <v>1199.9999999999995</v>
      </c>
      <c r="AN50">
        <f t="shared" ca="1" si="16"/>
        <v>1141.0772510686099</v>
      </c>
      <c r="AO50">
        <f t="shared" ca="1" si="16"/>
        <v>1085.0477440885791</v>
      </c>
      <c r="AP50">
        <f t="shared" ca="1" si="16"/>
        <v>1031.7694142523269</v>
      </c>
      <c r="AQ50">
        <f t="shared" ca="1" si="16"/>
        <v>1199.9999999999995</v>
      </c>
      <c r="AR50">
        <f t="shared" ca="1" si="16"/>
        <v>1199.9999999999995</v>
      </c>
      <c r="AS50">
        <f t="shared" ca="1" si="16"/>
        <v>1327.1305413473517</v>
      </c>
      <c r="AT50">
        <f t="shared" ca="1" si="16"/>
        <v>1261.9653916081936</v>
      </c>
      <c r="AU50">
        <f t="shared" ca="1" si="16"/>
        <v>1031.7694142523274</v>
      </c>
      <c r="AV50">
        <f t="shared" ca="1" si="16"/>
        <v>1261.9653916081936</v>
      </c>
      <c r="AW50">
        <f t="shared" ca="1" si="16"/>
        <v>1395.6606777721711</v>
      </c>
      <c r="AX50">
        <f t="shared" ca="1" si="16"/>
        <v>1085.0477440885795</v>
      </c>
      <c r="AY50">
        <f t="shared" ca="1" si="16"/>
        <v>1085.0477440885793</v>
      </c>
      <c r="AZ50">
        <f t="shared" ca="1" si="16"/>
        <v>1327.1305413473522</v>
      </c>
      <c r="BA50">
        <f t="shared" ca="1" si="16"/>
        <v>1261.9653916081936</v>
      </c>
      <c r="BB50">
        <f t="shared" ca="1" si="16"/>
        <v>932.93256279506875</v>
      </c>
      <c r="BC50">
        <f t="shared" ca="1" si="16"/>
        <v>1327.1305413473522</v>
      </c>
      <c r="BD50">
        <f t="shared" ca="1" si="16"/>
        <v>1085.0477440885795</v>
      </c>
      <c r="BE50">
        <f t="shared" ca="1" si="16"/>
        <v>1543.5199256908286</v>
      </c>
      <c r="BF50">
        <f t="shared" ca="1" si="16"/>
        <v>1085.0477440885795</v>
      </c>
      <c r="BG50">
        <f t="shared" ca="1" si="21"/>
        <v>1085.0477440885795</v>
      </c>
      <c r="BH50">
        <f t="shared" ca="1" si="21"/>
        <v>1543.5199256908284</v>
      </c>
      <c r="BI50">
        <f t="shared" ca="1" si="21"/>
        <v>1261.9653916081941</v>
      </c>
      <c r="BJ50">
        <f t="shared" ca="1" si="21"/>
        <v>1031.7694142523271</v>
      </c>
      <c r="BK50">
        <f t="shared" ca="1" si="21"/>
        <v>1031.7694142523274</v>
      </c>
      <c r="BL50">
        <f t="shared" ca="1" si="21"/>
        <v>1199.9999999999993</v>
      </c>
      <c r="BM50">
        <f t="shared" ca="1" si="21"/>
        <v>1199.9999999999995</v>
      </c>
      <c r="BN50">
        <f t="shared" ca="1" si="21"/>
        <v>1085.0477440885795</v>
      </c>
      <c r="BO50">
        <f t="shared" ca="1" si="21"/>
        <v>1085.0477440885795</v>
      </c>
      <c r="BP50">
        <f t="shared" ca="1" si="21"/>
        <v>1327.1305413473517</v>
      </c>
      <c r="BQ50">
        <f t="shared" ca="1" si="21"/>
        <v>1261.9653916081936</v>
      </c>
      <c r="BR50">
        <f t="shared" ca="1" si="21"/>
        <v>1261.9653916081941</v>
      </c>
      <c r="BS50">
        <f t="shared" ca="1" si="21"/>
        <v>1141.0772510686097</v>
      </c>
      <c r="BT50">
        <f t="shared" ca="1" si="21"/>
        <v>1085.0477440885795</v>
      </c>
      <c r="BU50">
        <f t="shared" ca="1" si="21"/>
        <v>1031.7694142523271</v>
      </c>
      <c r="BV50">
        <f t="shared" ca="1" si="21"/>
        <v>1261.9653916081941</v>
      </c>
      <c r="BW50">
        <f t="shared" ca="1" si="14"/>
        <v>1031.7694142523274</v>
      </c>
      <c r="BX50">
        <f t="shared" ca="1" si="14"/>
        <v>1199.9999999999995</v>
      </c>
      <c r="BY50">
        <f t="shared" ca="1" si="14"/>
        <v>1031.7694142523274</v>
      </c>
      <c r="BZ50">
        <f t="shared" ca="1" si="14"/>
        <v>1395.6606777721713</v>
      </c>
      <c r="CA50">
        <f t="shared" ca="1" si="14"/>
        <v>1395.6606777721715</v>
      </c>
      <c r="CB50">
        <f t="shared" ca="1" si="14"/>
        <v>1261.9653916081932</v>
      </c>
      <c r="CC50">
        <f t="shared" ca="1" si="14"/>
        <v>1467.7295614807629</v>
      </c>
      <c r="CD50">
        <f t="shared" ca="1" si="14"/>
        <v>1031.7694142523274</v>
      </c>
      <c r="CE50">
        <f t="shared" ca="1" si="14"/>
        <v>1395.6606777721711</v>
      </c>
      <c r="CF50">
        <f t="shared" ca="1" si="14"/>
        <v>1031.7694142523274</v>
      </c>
      <c r="CG50">
        <f t="shared" ca="1" si="14"/>
        <v>1141.0772510686097</v>
      </c>
      <c r="CH50">
        <f t="shared" ca="1" si="14"/>
        <v>1199.9999999999995</v>
      </c>
      <c r="CI50">
        <f t="shared" ca="1" si="14"/>
        <v>1395.6606777721711</v>
      </c>
      <c r="CJ50">
        <f t="shared" ca="1" si="14"/>
        <v>1261.9653916081938</v>
      </c>
      <c r="CK50">
        <f t="shared" ca="1" si="14"/>
        <v>1327.1305413473522</v>
      </c>
      <c r="CL50">
        <f t="shared" ca="1" si="14"/>
        <v>1141.0772510686097</v>
      </c>
      <c r="CM50">
        <f t="shared" ca="1" si="19"/>
        <v>1199.9999999999998</v>
      </c>
      <c r="CN50">
        <f t="shared" ca="1" si="19"/>
        <v>1467.7295614807631</v>
      </c>
      <c r="CO50">
        <f t="shared" ca="1" si="19"/>
        <v>1261.9653916081941</v>
      </c>
      <c r="CP50">
        <f t="shared" ca="1" si="19"/>
        <v>1467.7295614807633</v>
      </c>
      <c r="CQ50">
        <f t="shared" ca="1" si="19"/>
        <v>1327.1305413473522</v>
      </c>
      <c r="CR50">
        <f t="shared" ca="1" si="19"/>
        <v>1467.7295614807629</v>
      </c>
      <c r="CS50">
        <f t="shared" ca="1" si="19"/>
        <v>981.10717245976252</v>
      </c>
      <c r="CT50">
        <f t="shared" ca="1" si="19"/>
        <v>1395.6606777721711</v>
      </c>
      <c r="CU50">
        <f t="shared" ca="1" si="18"/>
        <v>1199.9999999999995</v>
      </c>
      <c r="CV50">
        <f t="shared" ca="1" si="18"/>
        <v>1327.1305413473517</v>
      </c>
      <c r="CW50">
        <f t="shared" ca="1" si="18"/>
        <v>1085.0477440885795</v>
      </c>
      <c r="CX50">
        <f t="shared" ca="1" si="18"/>
        <v>1261.9653916081936</v>
      </c>
      <c r="CY50">
        <f t="shared" ca="1" si="18"/>
        <v>1031.7694142523274</v>
      </c>
    </row>
    <row r="51" spans="1:103">
      <c r="A51">
        <v>35</v>
      </c>
      <c r="B51">
        <v>35</v>
      </c>
      <c r="C51">
        <v>35</v>
      </c>
      <c r="D51">
        <f t="shared" ca="1" si="22"/>
        <v>1112.7098890109644</v>
      </c>
      <c r="E51">
        <f t="shared" ca="1" si="22"/>
        <v>1058.0732844912411</v>
      </c>
      <c r="F51">
        <f t="shared" ca="1" si="22"/>
        <v>1112.7098890109644</v>
      </c>
      <c r="G51">
        <f t="shared" ca="1" si="22"/>
        <v>1360.964331211143</v>
      </c>
      <c r="H51">
        <f t="shared" ca="1" si="22"/>
        <v>1360.9643312111432</v>
      </c>
      <c r="I51">
        <f t="shared" ca="1" si="22"/>
        <v>1582.870334101578</v>
      </c>
      <c r="J51">
        <f t="shared" ca="1" si="22"/>
        <v>1664.6063175329095</v>
      </c>
      <c r="K51">
        <f t="shared" ca="1" si="22"/>
        <v>1582.870334101578</v>
      </c>
      <c r="L51">
        <f t="shared" ca="1" si="22"/>
        <v>1360.9643312111432</v>
      </c>
      <c r="M51">
        <f t="shared" ca="1" si="22"/>
        <v>1170.167809026693</v>
      </c>
      <c r="N51">
        <f t="shared" ca="1" si="22"/>
        <v>1360.9643312111432</v>
      </c>
      <c r="O51">
        <f t="shared" ca="1" si="22"/>
        <v>1112.7098890109644</v>
      </c>
      <c r="P51">
        <f t="shared" ca="1" si="22"/>
        <v>1058.0732844912411</v>
      </c>
      <c r="Q51">
        <f t="shared" ca="1" si="22"/>
        <v>1294.1378648840339</v>
      </c>
      <c r="R51">
        <f t="shared" ca="1" si="22"/>
        <v>1431.2415710013781</v>
      </c>
      <c r="S51">
        <f t="shared" ca="1" si="20"/>
        <v>1431.2415710013786</v>
      </c>
      <c r="T51">
        <f t="shared" ca="1" si="15"/>
        <v>1058.0732844912411</v>
      </c>
      <c r="U51">
        <f t="shared" ca="1" si="15"/>
        <v>1230.5927311380613</v>
      </c>
      <c r="V51">
        <f t="shared" ca="1" si="15"/>
        <v>1294.1378648840334</v>
      </c>
      <c r="W51">
        <f t="shared" ca="1" si="15"/>
        <v>1294.1378648840339</v>
      </c>
      <c r="X51">
        <f t="shared" ca="1" si="15"/>
        <v>956.71669201467887</v>
      </c>
      <c r="Y51">
        <f t="shared" ca="1" si="15"/>
        <v>1170.1678090266935</v>
      </c>
      <c r="Z51">
        <f t="shared" ca="1" si="15"/>
        <v>1582.8703341015785</v>
      </c>
      <c r="AA51">
        <f t="shared" ca="1" si="15"/>
        <v>1230.5927311380608</v>
      </c>
      <c r="AB51">
        <f t="shared" ca="1" si="15"/>
        <v>1294.1378648840334</v>
      </c>
      <c r="AC51">
        <f t="shared" ca="1" si="15"/>
        <v>1294.1378648840334</v>
      </c>
      <c r="AD51">
        <f t="shared" ca="1" si="15"/>
        <v>1294.1378648840339</v>
      </c>
      <c r="AE51">
        <f t="shared" ca="1" si="15"/>
        <v>1006.1194624136672</v>
      </c>
      <c r="AF51">
        <f t="shared" ca="1" si="15"/>
        <v>1294.1378648840339</v>
      </c>
      <c r="AG51">
        <f t="shared" ca="1" si="15"/>
        <v>1230.5927311380613</v>
      </c>
      <c r="AH51">
        <f t="shared" ca="1" si="15"/>
        <v>909.73971081296975</v>
      </c>
      <c r="AI51">
        <f t="shared" ca="1" si="15"/>
        <v>1006.1194624136672</v>
      </c>
      <c r="AJ51">
        <f t="shared" ca="1" si="17"/>
        <v>1058.0732844912409</v>
      </c>
      <c r="AK51">
        <f t="shared" ca="1" si="17"/>
        <v>1230.5927311380608</v>
      </c>
      <c r="AL51">
        <f t="shared" ca="1" si="16"/>
        <v>1230.5927311380608</v>
      </c>
      <c r="AM51">
        <f t="shared" ca="1" si="16"/>
        <v>1170.167809026693</v>
      </c>
      <c r="AN51">
        <f t="shared" ca="1" si="16"/>
        <v>1112.7098890109644</v>
      </c>
      <c r="AO51">
        <f t="shared" ca="1" si="16"/>
        <v>1112.7098890109639</v>
      </c>
      <c r="AP51">
        <f t="shared" ca="1" si="16"/>
        <v>1006.1194624136668</v>
      </c>
      <c r="AQ51">
        <f t="shared" ca="1" si="16"/>
        <v>1170.167809026693</v>
      </c>
      <c r="AR51">
        <f t="shared" ca="1" si="16"/>
        <v>1170.167809026693</v>
      </c>
      <c r="AS51">
        <f t="shared" ca="1" si="16"/>
        <v>1360.9643312111427</v>
      </c>
      <c r="AT51">
        <f t="shared" ca="1" si="16"/>
        <v>1230.5927311380608</v>
      </c>
      <c r="AU51">
        <f t="shared" ca="1" si="16"/>
        <v>1058.0732844912411</v>
      </c>
      <c r="AV51">
        <f t="shared" ca="1" si="16"/>
        <v>1230.5927311380608</v>
      </c>
      <c r="AW51">
        <f t="shared" ca="1" si="16"/>
        <v>1360.9643312111427</v>
      </c>
      <c r="AX51">
        <f t="shared" ca="1" si="16"/>
        <v>1112.7098890109644</v>
      </c>
      <c r="AY51">
        <f t="shared" ca="1" si="16"/>
        <v>1112.7098890109642</v>
      </c>
      <c r="AZ51">
        <f t="shared" ca="1" si="16"/>
        <v>1360.9643312111432</v>
      </c>
      <c r="BA51">
        <f t="shared" ca="1" si="16"/>
        <v>1230.5927311380608</v>
      </c>
      <c r="BB51">
        <f t="shared" ca="1" si="16"/>
        <v>909.73971081296975</v>
      </c>
      <c r="BC51">
        <f t="shared" ca="1" si="16"/>
        <v>1294.1378648840339</v>
      </c>
      <c r="BD51">
        <f t="shared" ca="1" si="16"/>
        <v>1112.7098890109644</v>
      </c>
      <c r="BE51">
        <f t="shared" ca="1" si="16"/>
        <v>1505.1477746955679</v>
      </c>
      <c r="BF51">
        <f t="shared" ca="1" si="16"/>
        <v>1112.7098890109644</v>
      </c>
      <c r="BG51">
        <f t="shared" ca="1" si="21"/>
        <v>1112.7098890109644</v>
      </c>
      <c r="BH51">
        <f t="shared" ca="1" si="21"/>
        <v>1505.1477746955677</v>
      </c>
      <c r="BI51">
        <f t="shared" ca="1" si="21"/>
        <v>1294.1378648840339</v>
      </c>
      <c r="BJ51">
        <f t="shared" ca="1" si="21"/>
        <v>1006.119462413667</v>
      </c>
      <c r="BK51">
        <f t="shared" ca="1" si="21"/>
        <v>1006.1194624136672</v>
      </c>
      <c r="BL51">
        <f t="shared" ca="1" si="21"/>
        <v>1230.5927311380606</v>
      </c>
      <c r="BM51">
        <f t="shared" ca="1" si="21"/>
        <v>1230.5927311380608</v>
      </c>
      <c r="BN51">
        <f t="shared" ca="1" si="21"/>
        <v>1058.0732844912411</v>
      </c>
      <c r="BO51">
        <f t="shared" ca="1" si="21"/>
        <v>1112.7098890109644</v>
      </c>
      <c r="BP51">
        <f t="shared" ca="1" si="21"/>
        <v>1360.9643312111427</v>
      </c>
      <c r="BQ51">
        <f t="shared" ca="1" si="21"/>
        <v>1230.5927311380608</v>
      </c>
      <c r="BR51">
        <f t="shared" ca="1" si="21"/>
        <v>1230.5927311380613</v>
      </c>
      <c r="BS51">
        <f t="shared" ca="1" si="21"/>
        <v>1112.7098890109644</v>
      </c>
      <c r="BT51">
        <f t="shared" ca="1" si="21"/>
        <v>1058.0732844912411</v>
      </c>
      <c r="BU51">
        <f t="shared" ca="1" si="21"/>
        <v>1006.119462413667</v>
      </c>
      <c r="BV51">
        <f t="shared" ca="1" si="21"/>
        <v>1230.5927311380613</v>
      </c>
      <c r="BW51">
        <f t="shared" ca="1" si="14"/>
        <v>1006.1194624136672</v>
      </c>
      <c r="BX51">
        <f t="shared" ca="1" si="14"/>
        <v>1230.5927311380608</v>
      </c>
      <c r="BY51">
        <f t="shared" ca="1" si="14"/>
        <v>1058.0732844912411</v>
      </c>
      <c r="BZ51">
        <f t="shared" ca="1" si="14"/>
        <v>1360.964331211143</v>
      </c>
      <c r="CA51">
        <f t="shared" ca="1" si="14"/>
        <v>1431.2415710013786</v>
      </c>
      <c r="CB51">
        <f t="shared" ca="1" si="14"/>
        <v>1230.5927311380603</v>
      </c>
      <c r="CC51">
        <f t="shared" ca="1" si="14"/>
        <v>1505.1477746955675</v>
      </c>
      <c r="CD51">
        <f t="shared" ca="1" si="14"/>
        <v>1006.1194624136672</v>
      </c>
      <c r="CE51">
        <f t="shared" ca="1" si="14"/>
        <v>1360.9643312111427</v>
      </c>
      <c r="CF51">
        <f t="shared" ca="1" si="14"/>
        <v>1006.1194624136672</v>
      </c>
      <c r="CG51">
        <f t="shared" ca="1" si="14"/>
        <v>1112.7098890109644</v>
      </c>
      <c r="CH51">
        <f t="shared" ca="1" si="14"/>
        <v>1230.5927311380608</v>
      </c>
      <c r="CI51">
        <f t="shared" ca="1" si="14"/>
        <v>1431.2415710013781</v>
      </c>
      <c r="CJ51">
        <f t="shared" ca="1" si="14"/>
        <v>1230.592731138061</v>
      </c>
      <c r="CK51">
        <f t="shared" ca="1" si="14"/>
        <v>1294.1378648840339</v>
      </c>
      <c r="CL51">
        <f t="shared" ca="1" si="14"/>
        <v>1112.7098890109644</v>
      </c>
      <c r="CM51">
        <f t="shared" ca="1" si="19"/>
        <v>1170.1678090266932</v>
      </c>
      <c r="CN51">
        <f t="shared" ca="1" si="19"/>
        <v>1431.2415710013784</v>
      </c>
      <c r="CO51">
        <f t="shared" ca="1" si="19"/>
        <v>1294.1378648840339</v>
      </c>
      <c r="CP51">
        <f t="shared" ca="1" si="19"/>
        <v>1505.1477746955679</v>
      </c>
      <c r="CQ51">
        <f t="shared" ca="1" si="19"/>
        <v>1294.1378648840339</v>
      </c>
      <c r="CR51">
        <f t="shared" ca="1" si="19"/>
        <v>1431.2415710013781</v>
      </c>
      <c r="CS51">
        <f t="shared" ca="1" si="19"/>
        <v>956.71669201467876</v>
      </c>
      <c r="CT51">
        <f t="shared" ca="1" si="19"/>
        <v>1431.2415710013781</v>
      </c>
      <c r="CU51">
        <f t="shared" ca="1" si="18"/>
        <v>1170.167809026693</v>
      </c>
      <c r="CV51">
        <f t="shared" ca="1" si="18"/>
        <v>1294.1378648840334</v>
      </c>
      <c r="CW51">
        <f t="shared" ca="1" si="18"/>
        <v>1058.0732844912411</v>
      </c>
      <c r="CX51">
        <f t="shared" ca="1" si="18"/>
        <v>1230.5927311380608</v>
      </c>
      <c r="CY51">
        <f t="shared" ca="1" si="18"/>
        <v>1058.0732844912411</v>
      </c>
    </row>
    <row r="52" spans="1:103">
      <c r="A52">
        <v>36</v>
      </c>
      <c r="B52">
        <v>36</v>
      </c>
      <c r="C52">
        <v>36</v>
      </c>
      <c r="D52">
        <f t="shared" ca="1" si="22"/>
        <v>1085.0477440885795</v>
      </c>
      <c r="E52">
        <f t="shared" ca="1" si="22"/>
        <v>1031.7694142523274</v>
      </c>
      <c r="F52">
        <f t="shared" ca="1" si="22"/>
        <v>1085.0477440885795</v>
      </c>
      <c r="G52">
        <f t="shared" ca="1" si="22"/>
        <v>1327.1305413473519</v>
      </c>
      <c r="H52">
        <f t="shared" ca="1" si="22"/>
        <v>1395.6606777721715</v>
      </c>
      <c r="I52">
        <f t="shared" ca="1" si="22"/>
        <v>1543.5199256908281</v>
      </c>
      <c r="J52">
        <f t="shared" ca="1" si="22"/>
        <v>1623.2239395662309</v>
      </c>
      <c r="K52">
        <f t="shared" ca="1" si="22"/>
        <v>1623.2239395662305</v>
      </c>
      <c r="L52">
        <f t="shared" ca="1" si="22"/>
        <v>1327.1305413473522</v>
      </c>
      <c r="M52">
        <f t="shared" ca="1" si="22"/>
        <v>1141.0772510686097</v>
      </c>
      <c r="N52">
        <f t="shared" ca="1" si="22"/>
        <v>1395.6606777721715</v>
      </c>
      <c r="O52">
        <f t="shared" ca="1" si="22"/>
        <v>1141.0772510686097</v>
      </c>
      <c r="P52">
        <f t="shared" ca="1" si="22"/>
        <v>1031.7694142523274</v>
      </c>
      <c r="Q52">
        <f t="shared" ca="1" si="22"/>
        <v>1327.1305413473522</v>
      </c>
      <c r="R52">
        <f t="shared" ca="1" si="22"/>
        <v>1467.7295614807629</v>
      </c>
      <c r="S52">
        <f t="shared" ca="1" si="20"/>
        <v>1395.6606777721715</v>
      </c>
      <c r="T52">
        <f t="shared" ca="1" si="15"/>
        <v>1031.7694142523274</v>
      </c>
      <c r="U52">
        <f t="shared" ca="1" si="15"/>
        <v>1261.9653916081941</v>
      </c>
      <c r="V52">
        <f t="shared" ca="1" si="15"/>
        <v>1327.1305413473517</v>
      </c>
      <c r="W52">
        <f t="shared" ca="1" si="15"/>
        <v>1261.9653916081941</v>
      </c>
      <c r="X52">
        <f t="shared" ca="1" si="15"/>
        <v>981.10717245976264</v>
      </c>
      <c r="Y52">
        <f t="shared" ca="1" si="15"/>
        <v>1141.0772510686099</v>
      </c>
      <c r="Z52">
        <f t="shared" ca="1" si="15"/>
        <v>1543.5199256908286</v>
      </c>
      <c r="AA52">
        <f t="shared" ca="1" si="15"/>
        <v>1261.9653916081936</v>
      </c>
      <c r="AB52">
        <f t="shared" ca="1" si="15"/>
        <v>1261.9653916081936</v>
      </c>
      <c r="AC52">
        <f t="shared" ca="1" si="15"/>
        <v>1261.9653916081936</v>
      </c>
      <c r="AD52">
        <f t="shared" ca="1" si="15"/>
        <v>1327.1305413473522</v>
      </c>
      <c r="AE52">
        <f t="shared" ca="1" si="15"/>
        <v>981.10717245976286</v>
      </c>
      <c r="AF52">
        <f t="shared" ca="1" si="15"/>
        <v>1261.9653916081941</v>
      </c>
      <c r="AG52">
        <f t="shared" ca="1" si="15"/>
        <v>1200</v>
      </c>
      <c r="AH52">
        <f t="shared" ca="1" si="15"/>
        <v>932.93256279506875</v>
      </c>
      <c r="AI52">
        <f t="shared" ca="1" si="15"/>
        <v>1031.7694142523274</v>
      </c>
      <c r="AJ52">
        <f t="shared" ca="1" si="17"/>
        <v>1085.0477440885793</v>
      </c>
      <c r="AK52">
        <f t="shared" ca="1" si="17"/>
        <v>1199.9999999999995</v>
      </c>
      <c r="AL52">
        <f t="shared" ca="1" si="16"/>
        <v>1261.9653916081936</v>
      </c>
      <c r="AM52">
        <f t="shared" ca="1" si="16"/>
        <v>1199.9999999999995</v>
      </c>
      <c r="AN52">
        <f t="shared" ca="1" si="16"/>
        <v>1085.0477440885795</v>
      </c>
      <c r="AO52">
        <f t="shared" ca="1" si="16"/>
        <v>1085.0477440885791</v>
      </c>
      <c r="AP52">
        <f t="shared" ca="1" si="16"/>
        <v>981.10717245976264</v>
      </c>
      <c r="AQ52">
        <f t="shared" ca="1" si="16"/>
        <v>1199.9999999999995</v>
      </c>
      <c r="AR52">
        <f t="shared" ca="1" si="16"/>
        <v>1141.0772510686097</v>
      </c>
      <c r="AS52">
        <f t="shared" ca="1" si="16"/>
        <v>1395.6606777721711</v>
      </c>
      <c r="AT52">
        <f t="shared" ca="1" si="16"/>
        <v>1199.9999999999995</v>
      </c>
      <c r="AU52">
        <f t="shared" ca="1" si="16"/>
        <v>1085.0477440885795</v>
      </c>
      <c r="AV52">
        <f t="shared" ca="1" si="16"/>
        <v>1199.9999999999995</v>
      </c>
      <c r="AW52">
        <f t="shared" ca="1" si="16"/>
        <v>1395.6606777721711</v>
      </c>
      <c r="AX52">
        <f t="shared" ca="1" si="16"/>
        <v>1085.0477440885795</v>
      </c>
      <c r="AY52">
        <f t="shared" ca="1" si="16"/>
        <v>1141.0772510686095</v>
      </c>
      <c r="AZ52">
        <f t="shared" ca="1" si="16"/>
        <v>1327.1305413473522</v>
      </c>
      <c r="BA52">
        <f t="shared" ca="1" si="16"/>
        <v>1261.9653916081936</v>
      </c>
      <c r="BB52">
        <f t="shared" ca="1" si="16"/>
        <v>887.12343682215874</v>
      </c>
      <c r="BC52">
        <f t="shared" ca="1" si="16"/>
        <v>1261.9653916081941</v>
      </c>
      <c r="BD52">
        <f t="shared" ca="1" si="16"/>
        <v>1085.0477440885795</v>
      </c>
      <c r="BE52">
        <f t="shared" ca="1" si="16"/>
        <v>1467.7295614807631</v>
      </c>
      <c r="BF52">
        <f t="shared" ca="1" si="16"/>
        <v>1141.0772510686097</v>
      </c>
      <c r="BG52">
        <f t="shared" ca="1" si="21"/>
        <v>1141.0772510686097</v>
      </c>
      <c r="BH52">
        <f t="shared" ca="1" si="21"/>
        <v>1543.5199256908284</v>
      </c>
      <c r="BI52">
        <f t="shared" ca="1" si="21"/>
        <v>1327.1305413473522</v>
      </c>
      <c r="BJ52">
        <f t="shared" ca="1" si="21"/>
        <v>1031.7694142523271</v>
      </c>
      <c r="BK52">
        <f t="shared" ca="1" si="21"/>
        <v>981.10717245976286</v>
      </c>
      <c r="BL52">
        <f t="shared" ca="1" si="21"/>
        <v>1261.9653916081934</v>
      </c>
      <c r="BM52">
        <f t="shared" ca="1" si="21"/>
        <v>1261.9653916081936</v>
      </c>
      <c r="BN52">
        <f t="shared" ca="1" si="21"/>
        <v>1085.0477440885795</v>
      </c>
      <c r="BO52">
        <f t="shared" ca="1" si="21"/>
        <v>1085.0477440885795</v>
      </c>
      <c r="BP52">
        <f t="shared" ca="1" si="21"/>
        <v>1327.1305413473517</v>
      </c>
      <c r="BQ52">
        <f t="shared" ca="1" si="21"/>
        <v>1199.9999999999995</v>
      </c>
      <c r="BR52">
        <f t="shared" ca="1" si="21"/>
        <v>1261.9653916081941</v>
      </c>
      <c r="BS52">
        <f t="shared" ca="1" si="21"/>
        <v>1141.0772510686097</v>
      </c>
      <c r="BT52">
        <f t="shared" ca="1" si="21"/>
        <v>1085.0477440885795</v>
      </c>
      <c r="BU52">
        <f t="shared" ca="1" si="21"/>
        <v>1031.7694142523271</v>
      </c>
      <c r="BV52">
        <f t="shared" ca="1" si="21"/>
        <v>1261.9653916081941</v>
      </c>
      <c r="BW52">
        <f t="shared" ref="BW52:CL67" ca="1" si="23">BW51*(IF(RAND()&lt;$B$11,$B$9,$B$10))</f>
        <v>981.10717245976286</v>
      </c>
      <c r="BX52">
        <f t="shared" ca="1" si="23"/>
        <v>1199.9999999999995</v>
      </c>
      <c r="BY52">
        <f t="shared" ca="1" si="23"/>
        <v>1085.0477440885795</v>
      </c>
      <c r="BZ52">
        <f t="shared" ca="1" si="23"/>
        <v>1327.1305413473519</v>
      </c>
      <c r="CA52">
        <f t="shared" ca="1" si="23"/>
        <v>1467.7295614807633</v>
      </c>
      <c r="CB52">
        <f t="shared" ca="1" si="23"/>
        <v>1199.9999999999991</v>
      </c>
      <c r="CC52">
        <f t="shared" ca="1" si="23"/>
        <v>1543.5199256908281</v>
      </c>
      <c r="CD52">
        <f t="shared" ca="1" si="23"/>
        <v>981.10717245976286</v>
      </c>
      <c r="CE52">
        <f t="shared" ca="1" si="23"/>
        <v>1327.1305413473517</v>
      </c>
      <c r="CF52">
        <f t="shared" ca="1" si="23"/>
        <v>1031.7694142523274</v>
      </c>
      <c r="CG52">
        <f t="shared" ca="1" si="23"/>
        <v>1085.0477440885795</v>
      </c>
      <c r="CH52">
        <f t="shared" ca="1" si="23"/>
        <v>1199.9999999999995</v>
      </c>
      <c r="CI52">
        <f t="shared" ca="1" si="23"/>
        <v>1467.7295614807629</v>
      </c>
      <c r="CJ52">
        <f t="shared" ca="1" si="23"/>
        <v>1261.9653916081938</v>
      </c>
      <c r="CK52">
        <f t="shared" ca="1" si="23"/>
        <v>1327.1305413473522</v>
      </c>
      <c r="CL52">
        <f t="shared" ca="1" si="23"/>
        <v>1141.0772510686097</v>
      </c>
      <c r="CM52">
        <f t="shared" ca="1" si="19"/>
        <v>1199.9999999999998</v>
      </c>
      <c r="CN52">
        <f t="shared" ca="1" si="19"/>
        <v>1467.7295614807631</v>
      </c>
      <c r="CO52">
        <f t="shared" ca="1" si="19"/>
        <v>1261.9653916081941</v>
      </c>
      <c r="CP52">
        <f t="shared" ca="1" si="19"/>
        <v>1467.7295614807631</v>
      </c>
      <c r="CQ52">
        <f t="shared" ca="1" si="19"/>
        <v>1327.1305413473522</v>
      </c>
      <c r="CR52">
        <f t="shared" ca="1" si="19"/>
        <v>1467.7295614807629</v>
      </c>
      <c r="CS52">
        <f t="shared" ca="1" si="19"/>
        <v>932.93256279506875</v>
      </c>
      <c r="CT52">
        <f t="shared" ca="1" si="19"/>
        <v>1467.7295614807629</v>
      </c>
      <c r="CU52">
        <f t="shared" ca="1" si="18"/>
        <v>1141.0772510686097</v>
      </c>
      <c r="CV52">
        <f t="shared" ca="1" si="18"/>
        <v>1327.1305413473517</v>
      </c>
      <c r="CW52">
        <f t="shared" ca="1" si="18"/>
        <v>1085.0477440885795</v>
      </c>
      <c r="CX52">
        <f t="shared" ca="1" si="18"/>
        <v>1199.9999999999995</v>
      </c>
      <c r="CY52">
        <f t="shared" ca="1" si="18"/>
        <v>1031.7694142523274</v>
      </c>
    </row>
    <row r="53" spans="1:103">
      <c r="A53">
        <v>37</v>
      </c>
      <c r="B53">
        <v>37</v>
      </c>
      <c r="C53">
        <v>37</v>
      </c>
      <c r="D53">
        <f t="shared" ca="1" si="22"/>
        <v>1058.0732844912411</v>
      </c>
      <c r="E53">
        <f t="shared" ca="1" si="22"/>
        <v>1006.1194624136672</v>
      </c>
      <c r="F53">
        <f t="shared" ca="1" si="22"/>
        <v>1058.0732844912411</v>
      </c>
      <c r="G53">
        <f t="shared" ca="1" si="22"/>
        <v>1360.964331211143</v>
      </c>
      <c r="H53">
        <f t="shared" ca="1" si="22"/>
        <v>1431.2415710013786</v>
      </c>
      <c r="I53">
        <f t="shared" ca="1" si="22"/>
        <v>1582.870334101578</v>
      </c>
      <c r="J53">
        <f t="shared" ca="1" si="22"/>
        <v>1582.8703341015785</v>
      </c>
      <c r="K53">
        <f t="shared" ca="1" si="22"/>
        <v>1664.6063175329091</v>
      </c>
      <c r="L53">
        <f t="shared" ca="1" si="22"/>
        <v>1360.9643312111432</v>
      </c>
      <c r="M53">
        <f t="shared" ca="1" si="22"/>
        <v>1170.167809026693</v>
      </c>
      <c r="N53">
        <f t="shared" ca="1" si="22"/>
        <v>1360.9643312111432</v>
      </c>
      <c r="O53">
        <f t="shared" ca="1" si="22"/>
        <v>1170.167809026693</v>
      </c>
      <c r="P53">
        <f t="shared" ca="1" si="22"/>
        <v>1058.0732844912411</v>
      </c>
      <c r="Q53">
        <f t="shared" ca="1" si="22"/>
        <v>1294.1378648840339</v>
      </c>
      <c r="R53">
        <f t="shared" ca="1" si="22"/>
        <v>1505.1477746955675</v>
      </c>
      <c r="S53">
        <f t="shared" ca="1" si="20"/>
        <v>1360.9643312111432</v>
      </c>
      <c r="T53">
        <f t="shared" ca="1" si="15"/>
        <v>1058.0732844912411</v>
      </c>
      <c r="U53">
        <f t="shared" ca="1" si="15"/>
        <v>1294.1378648840339</v>
      </c>
      <c r="V53">
        <f t="shared" ca="1" si="15"/>
        <v>1294.1378648840334</v>
      </c>
      <c r="W53">
        <f t="shared" ca="1" si="15"/>
        <v>1230.5927311380613</v>
      </c>
      <c r="X53">
        <f t="shared" ca="1" si="15"/>
        <v>956.71669201467887</v>
      </c>
      <c r="Y53">
        <f t="shared" ca="1" si="15"/>
        <v>1170.1678090266932</v>
      </c>
      <c r="Z53">
        <f t="shared" ca="1" si="15"/>
        <v>1582.8703341015785</v>
      </c>
      <c r="AA53">
        <f t="shared" ca="1" si="15"/>
        <v>1294.1378648840334</v>
      </c>
      <c r="AB53">
        <f t="shared" ca="1" si="15"/>
        <v>1230.5927311380608</v>
      </c>
      <c r="AC53">
        <f t="shared" ca="1" si="15"/>
        <v>1294.1378648840334</v>
      </c>
      <c r="AD53">
        <f t="shared" ca="1" si="15"/>
        <v>1294.1378648840339</v>
      </c>
      <c r="AE53">
        <f t="shared" ca="1" si="15"/>
        <v>956.7166920146791</v>
      </c>
      <c r="AF53">
        <f t="shared" ca="1" si="15"/>
        <v>1230.5927311380613</v>
      </c>
      <c r="AG53">
        <f t="shared" ca="1" si="15"/>
        <v>1230.5927311380613</v>
      </c>
      <c r="AH53">
        <f t="shared" ca="1" si="15"/>
        <v>956.71669201467876</v>
      </c>
      <c r="AI53">
        <f t="shared" ca="1" si="15"/>
        <v>1006.1194624136672</v>
      </c>
      <c r="AJ53">
        <f t="shared" ca="1" si="17"/>
        <v>1058.0732844912409</v>
      </c>
      <c r="AK53">
        <f t="shared" ca="1" si="17"/>
        <v>1230.5927311380608</v>
      </c>
      <c r="AL53">
        <f t="shared" ca="1" si="16"/>
        <v>1294.1378648840334</v>
      </c>
      <c r="AM53">
        <f t="shared" ca="1" si="16"/>
        <v>1170.167809026693</v>
      </c>
      <c r="AN53">
        <f t="shared" ca="1" si="16"/>
        <v>1058.0732844912411</v>
      </c>
      <c r="AO53">
        <f t="shared" ca="1" si="16"/>
        <v>1112.7098890109639</v>
      </c>
      <c r="AP53">
        <f t="shared" ca="1" si="16"/>
        <v>956.71669201467887</v>
      </c>
      <c r="AQ53">
        <f t="shared" ca="1" si="16"/>
        <v>1230.5927311380608</v>
      </c>
      <c r="AR53">
        <f t="shared" ca="1" si="16"/>
        <v>1112.7098890109644</v>
      </c>
      <c r="AS53">
        <f t="shared" ca="1" si="16"/>
        <v>1360.9643312111427</v>
      </c>
      <c r="AT53">
        <f t="shared" ca="1" si="16"/>
        <v>1170.167809026693</v>
      </c>
      <c r="AU53">
        <f t="shared" ca="1" si="16"/>
        <v>1058.0732844912411</v>
      </c>
      <c r="AV53">
        <f t="shared" ca="1" si="16"/>
        <v>1170.167809026693</v>
      </c>
      <c r="AW53">
        <f t="shared" ca="1" si="16"/>
        <v>1431.2415710013781</v>
      </c>
      <c r="AX53">
        <f t="shared" ca="1" si="16"/>
        <v>1058.0732844912411</v>
      </c>
      <c r="AY53">
        <f t="shared" ca="1" si="16"/>
        <v>1170.1678090266928</v>
      </c>
      <c r="AZ53">
        <f t="shared" ca="1" si="16"/>
        <v>1360.9643312111432</v>
      </c>
      <c r="BA53">
        <f t="shared" ca="1" si="16"/>
        <v>1230.5927311380608</v>
      </c>
      <c r="BB53">
        <f t="shared" ca="1" si="16"/>
        <v>865.06940700201312</v>
      </c>
      <c r="BC53">
        <f t="shared" ca="1" si="16"/>
        <v>1230.5927311380613</v>
      </c>
      <c r="BD53">
        <f t="shared" ca="1" si="16"/>
        <v>1058.0732844912411</v>
      </c>
      <c r="BE53">
        <f t="shared" ca="1" si="16"/>
        <v>1505.1477746955677</v>
      </c>
      <c r="BF53">
        <f t="shared" ca="1" si="16"/>
        <v>1170.167809026693</v>
      </c>
      <c r="BG53">
        <f t="shared" ca="1" si="21"/>
        <v>1112.7098890109644</v>
      </c>
      <c r="BH53">
        <f t="shared" ca="1" si="21"/>
        <v>1505.1477746955677</v>
      </c>
      <c r="BI53">
        <f t="shared" ca="1" si="21"/>
        <v>1294.1378648840339</v>
      </c>
      <c r="BJ53">
        <f t="shared" ca="1" si="21"/>
        <v>1058.0732844912409</v>
      </c>
      <c r="BK53">
        <f t="shared" ca="1" si="21"/>
        <v>956.7166920146791</v>
      </c>
      <c r="BL53">
        <f t="shared" ca="1" si="21"/>
        <v>1294.1378648840332</v>
      </c>
      <c r="BM53">
        <f t="shared" ca="1" si="21"/>
        <v>1294.1378648840334</v>
      </c>
      <c r="BN53">
        <f t="shared" ca="1" si="21"/>
        <v>1058.0732844912411</v>
      </c>
      <c r="BO53">
        <f t="shared" ca="1" si="21"/>
        <v>1058.0732844912411</v>
      </c>
      <c r="BP53">
        <f t="shared" ca="1" si="21"/>
        <v>1360.9643312111427</v>
      </c>
      <c r="BQ53">
        <f t="shared" ca="1" si="21"/>
        <v>1170.167809026693</v>
      </c>
      <c r="BR53">
        <f t="shared" ca="1" si="21"/>
        <v>1230.5927311380613</v>
      </c>
      <c r="BS53">
        <f t="shared" ca="1" si="21"/>
        <v>1112.7098890109644</v>
      </c>
      <c r="BT53">
        <f t="shared" ca="1" si="21"/>
        <v>1058.0732844912411</v>
      </c>
      <c r="BU53">
        <f t="shared" ca="1" si="21"/>
        <v>1058.0732844912409</v>
      </c>
      <c r="BV53">
        <f t="shared" ca="1" si="21"/>
        <v>1294.1378648840339</v>
      </c>
      <c r="BW53">
        <f t="shared" ca="1" si="23"/>
        <v>956.7166920146791</v>
      </c>
      <c r="BX53">
        <f t="shared" ca="1" si="23"/>
        <v>1170.167809026693</v>
      </c>
      <c r="BY53">
        <f t="shared" ca="1" si="23"/>
        <v>1112.7098890109644</v>
      </c>
      <c r="BZ53">
        <f t="shared" ca="1" si="23"/>
        <v>1360.964331211143</v>
      </c>
      <c r="CA53">
        <f t="shared" ca="1" si="23"/>
        <v>1505.1477746955679</v>
      </c>
      <c r="CB53">
        <f t="shared" ca="1" si="23"/>
        <v>1230.5927311380603</v>
      </c>
      <c r="CC53">
        <f t="shared" ca="1" si="23"/>
        <v>1505.1477746955675</v>
      </c>
      <c r="CD53">
        <f t="shared" ca="1" si="23"/>
        <v>1006.1194624136671</v>
      </c>
      <c r="CE53">
        <f t="shared" ca="1" si="23"/>
        <v>1360.9643312111427</v>
      </c>
      <c r="CF53">
        <f t="shared" ca="1" si="23"/>
        <v>1058.0732844912411</v>
      </c>
      <c r="CG53">
        <f t="shared" ca="1" si="23"/>
        <v>1112.7098890109644</v>
      </c>
      <c r="CH53">
        <f t="shared" ca="1" si="23"/>
        <v>1170.167809026693</v>
      </c>
      <c r="CI53">
        <f t="shared" ca="1" si="23"/>
        <v>1505.1477746955675</v>
      </c>
      <c r="CJ53">
        <f t="shared" ca="1" si="23"/>
        <v>1294.1378648840337</v>
      </c>
      <c r="CK53">
        <f t="shared" ca="1" si="23"/>
        <v>1360.9643312111432</v>
      </c>
      <c r="CL53">
        <f t="shared" ca="1" si="23"/>
        <v>1112.7098890109644</v>
      </c>
      <c r="CM53">
        <f t="shared" ca="1" si="19"/>
        <v>1230.592731138061</v>
      </c>
      <c r="CN53">
        <f t="shared" ca="1" si="19"/>
        <v>1505.1477746955677</v>
      </c>
      <c r="CO53">
        <f t="shared" ca="1" si="19"/>
        <v>1230.5927311380613</v>
      </c>
      <c r="CP53">
        <f t="shared" ca="1" si="19"/>
        <v>1505.1477746955677</v>
      </c>
      <c r="CQ53">
        <f t="shared" ca="1" si="19"/>
        <v>1294.1378648840339</v>
      </c>
      <c r="CR53">
        <f t="shared" ca="1" si="19"/>
        <v>1505.1477746955675</v>
      </c>
      <c r="CS53">
        <f t="shared" ca="1" si="19"/>
        <v>956.71669201467876</v>
      </c>
      <c r="CT53">
        <f t="shared" ca="1" si="19"/>
        <v>1505.1477746955675</v>
      </c>
      <c r="CU53">
        <f t="shared" ca="1" si="18"/>
        <v>1112.7098890109644</v>
      </c>
      <c r="CV53">
        <f t="shared" ca="1" si="18"/>
        <v>1294.1378648840334</v>
      </c>
      <c r="CW53">
        <f t="shared" ca="1" si="18"/>
        <v>1112.7098890109644</v>
      </c>
      <c r="CX53">
        <f t="shared" ca="1" si="18"/>
        <v>1170.167809026693</v>
      </c>
      <c r="CY53">
        <f t="shared" ca="1" si="18"/>
        <v>1006.1194624136672</v>
      </c>
    </row>
    <row r="54" spans="1:103">
      <c r="A54">
        <v>38</v>
      </c>
      <c r="B54">
        <v>38</v>
      </c>
      <c r="C54">
        <v>38</v>
      </c>
      <c r="D54">
        <f t="shared" ca="1" si="22"/>
        <v>1085.0477440885795</v>
      </c>
      <c r="E54">
        <f t="shared" ca="1" si="22"/>
        <v>1031.7694142523274</v>
      </c>
      <c r="F54">
        <f t="shared" ca="1" si="22"/>
        <v>1031.7694142523274</v>
      </c>
      <c r="G54">
        <f t="shared" ca="1" si="22"/>
        <v>1395.6606777721713</v>
      </c>
      <c r="H54">
        <f t="shared" ca="1" si="22"/>
        <v>1395.6606777721715</v>
      </c>
      <c r="I54">
        <f t="shared" ca="1" si="22"/>
        <v>1623.2239395662305</v>
      </c>
      <c r="J54">
        <f t="shared" ca="1" si="22"/>
        <v>1543.5199256908286</v>
      </c>
      <c r="K54">
        <f t="shared" ca="1" si="22"/>
        <v>1707.0436954687445</v>
      </c>
      <c r="L54">
        <f t="shared" ca="1" si="22"/>
        <v>1327.1305413473522</v>
      </c>
      <c r="M54">
        <f t="shared" ca="1" si="22"/>
        <v>1199.9999999999995</v>
      </c>
      <c r="N54">
        <f t="shared" ca="1" si="22"/>
        <v>1327.1305413473522</v>
      </c>
      <c r="O54">
        <f t="shared" ca="1" si="22"/>
        <v>1141.0772510686097</v>
      </c>
      <c r="P54">
        <f t="shared" ca="1" si="22"/>
        <v>1031.7694142523274</v>
      </c>
      <c r="Q54">
        <f t="shared" ca="1" si="22"/>
        <v>1261.9653916081941</v>
      </c>
      <c r="R54">
        <f t="shared" ca="1" si="22"/>
        <v>1543.5199256908281</v>
      </c>
      <c r="S54">
        <f t="shared" ca="1" si="20"/>
        <v>1327.1305413473522</v>
      </c>
      <c r="T54">
        <f t="shared" ca="1" si="15"/>
        <v>1031.7694142523274</v>
      </c>
      <c r="U54">
        <f t="shared" ca="1" si="15"/>
        <v>1261.9653916081941</v>
      </c>
      <c r="V54">
        <f t="shared" ca="1" si="15"/>
        <v>1327.1305413473517</v>
      </c>
      <c r="W54">
        <f t="shared" ca="1" si="15"/>
        <v>1261.9653916081941</v>
      </c>
      <c r="X54">
        <f t="shared" ca="1" si="15"/>
        <v>932.93256279506875</v>
      </c>
      <c r="Y54">
        <f t="shared" ca="1" si="15"/>
        <v>1199.9999999999998</v>
      </c>
      <c r="Z54">
        <f t="shared" ca="1" si="15"/>
        <v>1543.5199256908286</v>
      </c>
      <c r="AA54">
        <f t="shared" ca="1" si="15"/>
        <v>1261.9653916081936</v>
      </c>
      <c r="AB54">
        <f t="shared" ca="1" si="15"/>
        <v>1261.9653916081936</v>
      </c>
      <c r="AC54">
        <f t="shared" ca="1" si="15"/>
        <v>1327.1305413473517</v>
      </c>
      <c r="AD54">
        <f t="shared" ca="1" si="15"/>
        <v>1261.9653916081941</v>
      </c>
      <c r="AE54">
        <f t="shared" ca="1" si="15"/>
        <v>932.93256279506897</v>
      </c>
      <c r="AF54">
        <f t="shared" ca="1" si="15"/>
        <v>1261.9653916081941</v>
      </c>
      <c r="AG54">
        <f t="shared" ca="1" si="15"/>
        <v>1261.9653916081941</v>
      </c>
      <c r="AH54">
        <f t="shared" ca="1" si="15"/>
        <v>932.93256279506875</v>
      </c>
      <c r="AI54">
        <f t="shared" ca="1" si="15"/>
        <v>1031.7694142523274</v>
      </c>
      <c r="AJ54">
        <f t="shared" ca="1" si="17"/>
        <v>1085.0477440885793</v>
      </c>
      <c r="AK54">
        <f t="shared" ca="1" si="17"/>
        <v>1199.9999999999995</v>
      </c>
      <c r="AL54">
        <f t="shared" ca="1" si="16"/>
        <v>1327.1305413473517</v>
      </c>
      <c r="AM54">
        <f t="shared" ca="1" si="16"/>
        <v>1199.9999999999995</v>
      </c>
      <c r="AN54">
        <f t="shared" ca="1" si="16"/>
        <v>1085.0477440885795</v>
      </c>
      <c r="AO54">
        <f t="shared" ca="1" si="16"/>
        <v>1085.0477440885791</v>
      </c>
      <c r="AP54">
        <f t="shared" ca="1" si="16"/>
        <v>981.10717245976264</v>
      </c>
      <c r="AQ54">
        <f t="shared" ca="1" si="16"/>
        <v>1199.9999999999995</v>
      </c>
      <c r="AR54">
        <f t="shared" ca="1" si="16"/>
        <v>1085.0477440885795</v>
      </c>
      <c r="AS54">
        <f t="shared" ca="1" si="16"/>
        <v>1395.6606777721711</v>
      </c>
      <c r="AT54">
        <f t="shared" ca="1" si="16"/>
        <v>1141.0772510686097</v>
      </c>
      <c r="AU54">
        <f t="shared" ca="1" si="16"/>
        <v>1031.7694142523274</v>
      </c>
      <c r="AV54">
        <f t="shared" ca="1" si="16"/>
        <v>1141.0772510686097</v>
      </c>
      <c r="AW54">
        <f t="shared" ca="1" si="16"/>
        <v>1467.7295614807629</v>
      </c>
      <c r="AX54">
        <f t="shared" ca="1" si="16"/>
        <v>1031.7694142523274</v>
      </c>
      <c r="AY54">
        <f t="shared" ca="1" si="16"/>
        <v>1141.0772510686095</v>
      </c>
      <c r="AZ54">
        <f t="shared" ca="1" si="16"/>
        <v>1327.1305413473522</v>
      </c>
      <c r="BA54">
        <f t="shared" ca="1" si="16"/>
        <v>1199.9999999999995</v>
      </c>
      <c r="BB54">
        <f t="shared" ca="1" si="16"/>
        <v>843.56364387297219</v>
      </c>
      <c r="BC54">
        <f t="shared" ca="1" si="16"/>
        <v>1200</v>
      </c>
      <c r="BD54">
        <f t="shared" ca="1" si="16"/>
        <v>1085.0477440885795</v>
      </c>
      <c r="BE54">
        <f t="shared" ca="1" si="16"/>
        <v>1467.7295614807629</v>
      </c>
      <c r="BF54">
        <f t="shared" ca="1" si="16"/>
        <v>1141.0772510686097</v>
      </c>
      <c r="BG54">
        <f t="shared" ca="1" si="21"/>
        <v>1085.0477440885795</v>
      </c>
      <c r="BH54">
        <f t="shared" ca="1" si="21"/>
        <v>1467.7295614807629</v>
      </c>
      <c r="BI54">
        <f t="shared" ca="1" si="21"/>
        <v>1327.1305413473522</v>
      </c>
      <c r="BJ54">
        <f t="shared" ca="1" si="21"/>
        <v>1031.7694142523271</v>
      </c>
      <c r="BK54">
        <f t="shared" ca="1" si="21"/>
        <v>932.93256279506897</v>
      </c>
      <c r="BL54">
        <f t="shared" ca="1" si="21"/>
        <v>1261.9653916081934</v>
      </c>
      <c r="BM54">
        <f t="shared" ca="1" si="21"/>
        <v>1261.9653916081936</v>
      </c>
      <c r="BN54">
        <f t="shared" ca="1" si="21"/>
        <v>1085.0477440885795</v>
      </c>
      <c r="BO54">
        <f t="shared" ca="1" si="21"/>
        <v>1085.0477440885795</v>
      </c>
      <c r="BP54">
        <f t="shared" ca="1" si="21"/>
        <v>1327.1305413473517</v>
      </c>
      <c r="BQ54">
        <f t="shared" ca="1" si="21"/>
        <v>1141.0772510686097</v>
      </c>
      <c r="BR54">
        <f t="shared" ca="1" si="21"/>
        <v>1200</v>
      </c>
      <c r="BS54">
        <f t="shared" ca="1" si="21"/>
        <v>1141.0772510686097</v>
      </c>
      <c r="BT54">
        <f t="shared" ca="1" si="21"/>
        <v>1085.0477440885795</v>
      </c>
      <c r="BU54">
        <f t="shared" ca="1" si="21"/>
        <v>1031.7694142523271</v>
      </c>
      <c r="BV54">
        <f t="shared" ca="1" si="21"/>
        <v>1327.1305413473522</v>
      </c>
      <c r="BW54">
        <f t="shared" ca="1" si="23"/>
        <v>981.10717245976286</v>
      </c>
      <c r="BX54">
        <f t="shared" ca="1" si="23"/>
        <v>1141.0772510686097</v>
      </c>
      <c r="BY54">
        <f t="shared" ca="1" si="23"/>
        <v>1085.0477440885795</v>
      </c>
      <c r="BZ54">
        <f t="shared" ca="1" si="23"/>
        <v>1327.1305413473519</v>
      </c>
      <c r="CA54">
        <f t="shared" ca="1" si="23"/>
        <v>1467.7295614807631</v>
      </c>
      <c r="CB54">
        <f t="shared" ca="1" si="23"/>
        <v>1261.9653916081932</v>
      </c>
      <c r="CC54">
        <f t="shared" ca="1" si="23"/>
        <v>1467.7295614807629</v>
      </c>
      <c r="CD54">
        <f t="shared" ca="1" si="23"/>
        <v>981.10717245976275</v>
      </c>
      <c r="CE54">
        <f t="shared" ca="1" si="23"/>
        <v>1395.6606777721711</v>
      </c>
      <c r="CF54">
        <f t="shared" ca="1" si="23"/>
        <v>1031.7694142523274</v>
      </c>
      <c r="CG54">
        <f t="shared" ca="1" si="23"/>
        <v>1085.0477440885795</v>
      </c>
      <c r="CH54">
        <f t="shared" ca="1" si="23"/>
        <v>1199.9999999999995</v>
      </c>
      <c r="CI54">
        <f t="shared" ca="1" si="23"/>
        <v>1467.7295614807629</v>
      </c>
      <c r="CJ54">
        <f t="shared" ca="1" si="23"/>
        <v>1261.9653916081938</v>
      </c>
      <c r="CK54">
        <f t="shared" ca="1" si="23"/>
        <v>1327.1305413473522</v>
      </c>
      <c r="CL54">
        <f t="shared" ca="1" si="23"/>
        <v>1085.0477440885795</v>
      </c>
      <c r="CM54">
        <f t="shared" ca="1" si="19"/>
        <v>1199.9999999999998</v>
      </c>
      <c r="CN54">
        <f t="shared" ca="1" si="19"/>
        <v>1543.5199256908284</v>
      </c>
      <c r="CO54">
        <f t="shared" ca="1" si="19"/>
        <v>1261.9653916081941</v>
      </c>
      <c r="CP54">
        <f t="shared" ca="1" si="19"/>
        <v>1467.7295614807629</v>
      </c>
      <c r="CQ54">
        <f t="shared" ca="1" si="19"/>
        <v>1327.1305413473522</v>
      </c>
      <c r="CR54">
        <f t="shared" ca="1" si="19"/>
        <v>1467.7295614807629</v>
      </c>
      <c r="CS54">
        <f t="shared" ca="1" si="19"/>
        <v>981.10717245976252</v>
      </c>
      <c r="CT54">
        <f t="shared" ca="1" si="19"/>
        <v>1467.7295614807629</v>
      </c>
      <c r="CU54">
        <f t="shared" ca="1" si="18"/>
        <v>1085.0477440885795</v>
      </c>
      <c r="CV54">
        <f t="shared" ca="1" si="18"/>
        <v>1261.9653916081936</v>
      </c>
      <c r="CW54">
        <f t="shared" ca="1" si="18"/>
        <v>1085.0477440885795</v>
      </c>
      <c r="CX54">
        <f t="shared" ca="1" si="18"/>
        <v>1141.0772510686097</v>
      </c>
      <c r="CY54">
        <f t="shared" ca="1" si="18"/>
        <v>1031.7694142523274</v>
      </c>
    </row>
    <row r="55" spans="1:103">
      <c r="A55">
        <v>39</v>
      </c>
      <c r="B55">
        <v>39</v>
      </c>
      <c r="C55">
        <v>39</v>
      </c>
      <c r="D55">
        <f t="shared" ca="1" si="22"/>
        <v>1112.7098890109644</v>
      </c>
      <c r="E55">
        <f t="shared" ca="1" si="22"/>
        <v>1006.1194624136672</v>
      </c>
      <c r="F55">
        <f t="shared" ca="1" si="22"/>
        <v>1058.0732844912411</v>
      </c>
      <c r="G55">
        <f t="shared" ca="1" si="22"/>
        <v>1431.2415710013784</v>
      </c>
      <c r="H55">
        <f t="shared" ca="1" si="22"/>
        <v>1360.9643312111432</v>
      </c>
      <c r="I55">
        <f t="shared" ca="1" si="22"/>
        <v>1582.870334101578</v>
      </c>
      <c r="J55">
        <f t="shared" ca="1" si="22"/>
        <v>1582.8703341015785</v>
      </c>
      <c r="K55">
        <f t="shared" ca="1" si="22"/>
        <v>1664.6063175329091</v>
      </c>
      <c r="L55">
        <f t="shared" ca="1" si="22"/>
        <v>1360.9643312111432</v>
      </c>
      <c r="M55">
        <f t="shared" ca="1" si="22"/>
        <v>1230.5927311380608</v>
      </c>
      <c r="N55">
        <f t="shared" ca="1" si="22"/>
        <v>1294.1378648840339</v>
      </c>
      <c r="O55">
        <f t="shared" ca="1" si="22"/>
        <v>1170.167809026693</v>
      </c>
      <c r="P55">
        <f t="shared" ca="1" si="22"/>
        <v>1006.1194624136672</v>
      </c>
      <c r="Q55">
        <f t="shared" ca="1" si="22"/>
        <v>1294.1378648840339</v>
      </c>
      <c r="R55">
        <f t="shared" ca="1" si="22"/>
        <v>1582.870334101578</v>
      </c>
      <c r="S55">
        <f t="shared" ca="1" si="20"/>
        <v>1360.9643312111432</v>
      </c>
      <c r="T55">
        <f t="shared" ca="1" si="15"/>
        <v>1006.1194624136672</v>
      </c>
      <c r="U55">
        <f t="shared" ca="1" si="15"/>
        <v>1294.1378648840339</v>
      </c>
      <c r="V55">
        <f t="shared" ca="1" si="15"/>
        <v>1294.1378648840334</v>
      </c>
      <c r="W55">
        <f t="shared" ca="1" si="15"/>
        <v>1294.1378648840339</v>
      </c>
      <c r="X55">
        <f t="shared" ca="1" si="15"/>
        <v>909.73971081296975</v>
      </c>
      <c r="Y55">
        <f t="shared" ca="1" si="15"/>
        <v>1230.592731138061</v>
      </c>
      <c r="Z55">
        <f t="shared" ca="1" si="15"/>
        <v>1582.8703341015785</v>
      </c>
      <c r="AA55">
        <f t="shared" ca="1" si="15"/>
        <v>1294.1378648840334</v>
      </c>
      <c r="AB55">
        <f t="shared" ca="1" si="15"/>
        <v>1294.1378648840334</v>
      </c>
      <c r="AC55">
        <f t="shared" ca="1" si="15"/>
        <v>1294.1378648840334</v>
      </c>
      <c r="AD55">
        <f t="shared" ca="1" si="15"/>
        <v>1294.1378648840339</v>
      </c>
      <c r="AE55">
        <f t="shared" ca="1" si="15"/>
        <v>956.71669201467898</v>
      </c>
      <c r="AF55">
        <f t="shared" ca="1" si="15"/>
        <v>1230.5927311380613</v>
      </c>
      <c r="AG55">
        <f t="shared" ca="1" si="15"/>
        <v>1294.1378648840339</v>
      </c>
      <c r="AH55">
        <f t="shared" ca="1" si="15"/>
        <v>956.71669201467876</v>
      </c>
      <c r="AI55">
        <f t="shared" ca="1" si="15"/>
        <v>1058.0732844912411</v>
      </c>
      <c r="AJ55">
        <f t="shared" ca="1" si="17"/>
        <v>1058.0732844912409</v>
      </c>
      <c r="AK55">
        <f t="shared" ca="1" si="17"/>
        <v>1230.5927311380608</v>
      </c>
      <c r="AL55">
        <f t="shared" ca="1" si="16"/>
        <v>1360.9643312111427</v>
      </c>
      <c r="AM55">
        <f t="shared" ca="1" si="16"/>
        <v>1230.5927311380608</v>
      </c>
      <c r="AN55">
        <f t="shared" ca="1" si="16"/>
        <v>1112.7098890109644</v>
      </c>
      <c r="AO55">
        <f t="shared" ca="1" si="16"/>
        <v>1112.7098890109639</v>
      </c>
      <c r="AP55">
        <f t="shared" ca="1" si="16"/>
        <v>956.71669201467887</v>
      </c>
      <c r="AQ55">
        <f t="shared" ca="1" si="16"/>
        <v>1170.167809026693</v>
      </c>
      <c r="AR55">
        <f t="shared" ca="1" si="16"/>
        <v>1112.7098890109644</v>
      </c>
      <c r="AS55">
        <f t="shared" ca="1" si="16"/>
        <v>1360.9643312111427</v>
      </c>
      <c r="AT55">
        <f t="shared" ca="1" si="16"/>
        <v>1170.167809026693</v>
      </c>
      <c r="AU55">
        <f t="shared" ca="1" si="16"/>
        <v>1006.1194624136672</v>
      </c>
      <c r="AV55">
        <f t="shared" ca="1" si="16"/>
        <v>1170.167809026693</v>
      </c>
      <c r="AW55">
        <f t="shared" ca="1" si="16"/>
        <v>1431.2415710013781</v>
      </c>
      <c r="AX55">
        <f t="shared" ca="1" si="16"/>
        <v>1058.0732844912411</v>
      </c>
      <c r="AY55">
        <f t="shared" ca="1" si="16"/>
        <v>1112.7098890109642</v>
      </c>
      <c r="AZ55">
        <f t="shared" ca="1" si="16"/>
        <v>1360.9643312111432</v>
      </c>
      <c r="BA55">
        <f t="shared" ca="1" si="16"/>
        <v>1170.167809026693</v>
      </c>
      <c r="BB55">
        <f t="shared" ca="1" si="16"/>
        <v>822.59251743784137</v>
      </c>
      <c r="BC55">
        <f t="shared" ca="1" si="16"/>
        <v>1230.5927311380613</v>
      </c>
      <c r="BD55">
        <f t="shared" ca="1" si="16"/>
        <v>1058.0732844912411</v>
      </c>
      <c r="BE55">
        <f t="shared" ca="1" si="16"/>
        <v>1505.1477746955675</v>
      </c>
      <c r="BF55">
        <f t="shared" ca="1" si="16"/>
        <v>1112.7098890109644</v>
      </c>
      <c r="BG55">
        <f t="shared" ca="1" si="21"/>
        <v>1112.7098890109644</v>
      </c>
      <c r="BH55">
        <f t="shared" ca="1" si="21"/>
        <v>1505.1477746955675</v>
      </c>
      <c r="BI55">
        <f t="shared" ca="1" si="21"/>
        <v>1360.9643312111432</v>
      </c>
      <c r="BJ55">
        <f t="shared" ca="1" si="21"/>
        <v>1058.0732844912409</v>
      </c>
      <c r="BK55">
        <f t="shared" ca="1" si="21"/>
        <v>909.73971081296986</v>
      </c>
      <c r="BL55">
        <f t="shared" ca="1" si="21"/>
        <v>1230.5927311380606</v>
      </c>
      <c r="BM55">
        <f t="shared" ca="1" si="21"/>
        <v>1294.1378648840334</v>
      </c>
      <c r="BN55">
        <f t="shared" ca="1" si="21"/>
        <v>1058.0732844912411</v>
      </c>
      <c r="BO55">
        <f t="shared" ca="1" si="21"/>
        <v>1058.0732844912411</v>
      </c>
      <c r="BP55">
        <f t="shared" ca="1" si="21"/>
        <v>1294.1378648840334</v>
      </c>
      <c r="BQ55">
        <f t="shared" ca="1" si="21"/>
        <v>1170.167809026693</v>
      </c>
      <c r="BR55">
        <f t="shared" ca="1" si="21"/>
        <v>1170.1678090266935</v>
      </c>
      <c r="BS55">
        <f t="shared" ca="1" si="21"/>
        <v>1170.167809026693</v>
      </c>
      <c r="BT55">
        <f t="shared" ca="1" si="21"/>
        <v>1058.0732844912411</v>
      </c>
      <c r="BU55">
        <f t="shared" ca="1" si="21"/>
        <v>1058.0732844912409</v>
      </c>
      <c r="BV55">
        <f t="shared" ca="1" si="21"/>
        <v>1294.1378648840339</v>
      </c>
      <c r="BW55">
        <f t="shared" ca="1" si="23"/>
        <v>1006.1194624136671</v>
      </c>
      <c r="BX55">
        <f t="shared" ca="1" si="23"/>
        <v>1170.167809026693</v>
      </c>
      <c r="BY55">
        <f t="shared" ca="1" si="23"/>
        <v>1058.0732844912411</v>
      </c>
      <c r="BZ55">
        <f t="shared" ca="1" si="23"/>
        <v>1294.1378648840337</v>
      </c>
      <c r="CA55">
        <f t="shared" ca="1" si="23"/>
        <v>1431.2415710013784</v>
      </c>
      <c r="CB55">
        <f t="shared" ca="1" si="23"/>
        <v>1294.137864884033</v>
      </c>
      <c r="CC55">
        <f t="shared" ca="1" si="23"/>
        <v>1431.2415710013781</v>
      </c>
      <c r="CD55">
        <f t="shared" ca="1" si="23"/>
        <v>1006.119462413667</v>
      </c>
      <c r="CE55">
        <f t="shared" ca="1" si="23"/>
        <v>1360.9643312111427</v>
      </c>
      <c r="CF55">
        <f t="shared" ca="1" si="23"/>
        <v>1006.1194624136672</v>
      </c>
      <c r="CG55">
        <f t="shared" ca="1" si="23"/>
        <v>1058.0732844912411</v>
      </c>
      <c r="CH55">
        <f t="shared" ca="1" si="23"/>
        <v>1230.5927311380608</v>
      </c>
      <c r="CI55">
        <f t="shared" ca="1" si="23"/>
        <v>1431.2415710013781</v>
      </c>
      <c r="CJ55">
        <f t="shared" ca="1" si="23"/>
        <v>1230.592731138061</v>
      </c>
      <c r="CK55">
        <f t="shared" ca="1" si="23"/>
        <v>1294.1378648840339</v>
      </c>
      <c r="CL55">
        <f t="shared" ca="1" si="23"/>
        <v>1058.0732844912411</v>
      </c>
      <c r="CM55">
        <f t="shared" ca="1" si="19"/>
        <v>1230.592731138061</v>
      </c>
      <c r="CN55">
        <f t="shared" ca="1" si="19"/>
        <v>1582.8703341015782</v>
      </c>
      <c r="CO55">
        <f t="shared" ca="1" si="19"/>
        <v>1294.1378648840339</v>
      </c>
      <c r="CP55">
        <f t="shared" ca="1" si="19"/>
        <v>1505.1477746955675</v>
      </c>
      <c r="CQ55">
        <f t="shared" ca="1" si="19"/>
        <v>1294.1378648840339</v>
      </c>
      <c r="CR55">
        <f t="shared" ca="1" si="19"/>
        <v>1505.1477746955675</v>
      </c>
      <c r="CS55">
        <f t="shared" ca="1" si="19"/>
        <v>956.71669201467876</v>
      </c>
      <c r="CT55">
        <f t="shared" ca="1" si="19"/>
        <v>1431.2415710013781</v>
      </c>
      <c r="CU55">
        <f t="shared" ca="1" si="18"/>
        <v>1058.0732844912411</v>
      </c>
      <c r="CV55">
        <f t="shared" ca="1" si="18"/>
        <v>1230.5927311380608</v>
      </c>
      <c r="CW55">
        <f t="shared" ca="1" si="18"/>
        <v>1058.0732844912411</v>
      </c>
      <c r="CX55">
        <f t="shared" ca="1" si="18"/>
        <v>1112.7098890109644</v>
      </c>
      <c r="CY55">
        <f t="shared" ca="1" si="18"/>
        <v>1058.0732844912411</v>
      </c>
    </row>
    <row r="56" spans="1:103">
      <c r="A56">
        <v>40</v>
      </c>
      <c r="B56">
        <v>40</v>
      </c>
      <c r="C56">
        <v>40</v>
      </c>
      <c r="D56">
        <f t="shared" ca="1" si="22"/>
        <v>1141.0772510686097</v>
      </c>
      <c r="E56">
        <f t="shared" ca="1" si="22"/>
        <v>981.10717245976286</v>
      </c>
      <c r="F56">
        <f t="shared" ca="1" si="22"/>
        <v>1085.0477440885795</v>
      </c>
      <c r="G56">
        <f t="shared" ca="1" si="22"/>
        <v>1467.7295614807631</v>
      </c>
      <c r="H56">
        <f t="shared" ca="1" si="22"/>
        <v>1327.1305413473522</v>
      </c>
      <c r="I56">
        <f t="shared" ca="1" si="22"/>
        <v>1543.5199256908281</v>
      </c>
      <c r="J56">
        <f t="shared" ca="1" si="22"/>
        <v>1623.2239395662309</v>
      </c>
      <c r="K56">
        <f t="shared" ca="1" si="22"/>
        <v>1623.2239395662305</v>
      </c>
      <c r="L56">
        <f t="shared" ca="1" si="22"/>
        <v>1395.6606777721715</v>
      </c>
      <c r="M56">
        <f t="shared" ca="1" si="22"/>
        <v>1261.9653916081936</v>
      </c>
      <c r="N56">
        <f t="shared" ca="1" si="22"/>
        <v>1261.9653916081941</v>
      </c>
      <c r="O56">
        <f t="shared" ca="1" si="22"/>
        <v>1199.9999999999995</v>
      </c>
      <c r="P56">
        <f t="shared" ca="1" si="22"/>
        <v>1031.7694142523274</v>
      </c>
      <c r="Q56">
        <f t="shared" ca="1" si="22"/>
        <v>1261.9653916081941</v>
      </c>
      <c r="R56">
        <f t="shared" ca="1" si="22"/>
        <v>1623.2239395662305</v>
      </c>
      <c r="S56">
        <f t="shared" ca="1" si="20"/>
        <v>1327.1305413473522</v>
      </c>
      <c r="T56">
        <f t="shared" ca="1" si="15"/>
        <v>1031.7694142523274</v>
      </c>
      <c r="U56">
        <f t="shared" ca="1" si="15"/>
        <v>1327.1305413473522</v>
      </c>
      <c r="V56">
        <f t="shared" ca="1" si="15"/>
        <v>1327.1305413473517</v>
      </c>
      <c r="W56">
        <f t="shared" ca="1" si="15"/>
        <v>1327.1305413473522</v>
      </c>
      <c r="X56">
        <f t="shared" ca="1" si="15"/>
        <v>887.12343682215874</v>
      </c>
      <c r="Y56">
        <f t="shared" ca="1" si="15"/>
        <v>1261.9653916081938</v>
      </c>
      <c r="Z56">
        <f t="shared" ca="1" si="15"/>
        <v>1543.5199256908286</v>
      </c>
      <c r="AA56">
        <f t="shared" ca="1" si="15"/>
        <v>1261.9653916081936</v>
      </c>
      <c r="AB56">
        <f t="shared" ca="1" si="15"/>
        <v>1261.9653916081936</v>
      </c>
      <c r="AC56">
        <f t="shared" ca="1" si="15"/>
        <v>1261.9653916081936</v>
      </c>
      <c r="AD56">
        <f t="shared" ca="1" si="15"/>
        <v>1327.1305413473522</v>
      </c>
      <c r="AE56">
        <f t="shared" ca="1" si="15"/>
        <v>932.93256279506886</v>
      </c>
      <c r="AF56">
        <f t="shared" ca="1" si="15"/>
        <v>1261.9653916081941</v>
      </c>
      <c r="AG56">
        <f t="shared" ca="1" si="15"/>
        <v>1327.1305413473522</v>
      </c>
      <c r="AH56">
        <f t="shared" ca="1" si="15"/>
        <v>932.93256279506875</v>
      </c>
      <c r="AI56">
        <f t="shared" ca="1" si="15"/>
        <v>1085.0477440885795</v>
      </c>
      <c r="AJ56">
        <f t="shared" ca="1" si="17"/>
        <v>1085.0477440885793</v>
      </c>
      <c r="AK56">
        <f t="shared" ca="1" si="17"/>
        <v>1199.9999999999995</v>
      </c>
      <c r="AL56">
        <f t="shared" ca="1" si="16"/>
        <v>1395.6606777721711</v>
      </c>
      <c r="AM56">
        <f t="shared" ca="1" si="16"/>
        <v>1261.9653916081936</v>
      </c>
      <c r="AN56">
        <f t="shared" ca="1" si="16"/>
        <v>1141.0772510686097</v>
      </c>
      <c r="AO56">
        <f t="shared" ca="1" si="16"/>
        <v>1141.0772510686093</v>
      </c>
      <c r="AP56">
        <f t="shared" ca="1" si="16"/>
        <v>932.93256279506875</v>
      </c>
      <c r="AQ56">
        <f t="shared" ca="1" si="16"/>
        <v>1199.9999999999995</v>
      </c>
      <c r="AR56">
        <f t="shared" ca="1" si="16"/>
        <v>1141.0772510686097</v>
      </c>
      <c r="AS56">
        <f t="shared" ca="1" si="16"/>
        <v>1395.6606777721711</v>
      </c>
      <c r="AT56">
        <f t="shared" ca="1" si="16"/>
        <v>1199.9999999999995</v>
      </c>
      <c r="AU56">
        <f t="shared" ca="1" si="16"/>
        <v>981.10717245976286</v>
      </c>
      <c r="AV56">
        <f t="shared" ca="1" si="16"/>
        <v>1141.0772510686097</v>
      </c>
      <c r="AW56">
        <f t="shared" ca="1" si="16"/>
        <v>1467.7295614807629</v>
      </c>
      <c r="AX56">
        <f t="shared" ca="1" si="16"/>
        <v>1031.7694142523274</v>
      </c>
      <c r="AY56">
        <f t="shared" ca="1" si="16"/>
        <v>1085.0477440885793</v>
      </c>
      <c r="AZ56">
        <f t="shared" ca="1" si="16"/>
        <v>1395.6606777721715</v>
      </c>
      <c r="BA56">
        <f t="shared" ca="1" si="16"/>
        <v>1141.0772510686097</v>
      </c>
      <c r="BB56">
        <f t="shared" ca="1" si="16"/>
        <v>843.56364387297208</v>
      </c>
      <c r="BC56">
        <f t="shared" ca="1" si="16"/>
        <v>1261.9653916081941</v>
      </c>
      <c r="BD56">
        <f t="shared" ca="1" si="16"/>
        <v>1031.7694142523274</v>
      </c>
      <c r="BE56">
        <f t="shared" ca="1" si="16"/>
        <v>1467.7295614807629</v>
      </c>
      <c r="BF56">
        <f t="shared" ca="1" si="16"/>
        <v>1085.0477440885795</v>
      </c>
      <c r="BG56">
        <f t="shared" ca="1" si="21"/>
        <v>1085.0477440885795</v>
      </c>
      <c r="BH56">
        <f t="shared" ca="1" si="21"/>
        <v>1467.7295614807629</v>
      </c>
      <c r="BI56">
        <f t="shared" ca="1" si="21"/>
        <v>1327.1305413473522</v>
      </c>
      <c r="BJ56">
        <f t="shared" ca="1" si="21"/>
        <v>1031.7694142523271</v>
      </c>
      <c r="BK56">
        <f t="shared" ca="1" si="21"/>
        <v>887.12343682215885</v>
      </c>
      <c r="BL56">
        <f t="shared" ca="1" si="21"/>
        <v>1261.9653916081934</v>
      </c>
      <c r="BM56">
        <f t="shared" ca="1" si="21"/>
        <v>1327.1305413473517</v>
      </c>
      <c r="BN56">
        <f t="shared" ca="1" si="21"/>
        <v>1031.7694142523274</v>
      </c>
      <c r="BO56">
        <f t="shared" ca="1" si="21"/>
        <v>1085.0477440885795</v>
      </c>
      <c r="BP56">
        <f t="shared" ca="1" si="21"/>
        <v>1327.1305413473517</v>
      </c>
      <c r="BQ56">
        <f t="shared" ca="1" si="21"/>
        <v>1199.9999999999995</v>
      </c>
      <c r="BR56">
        <f t="shared" ca="1" si="21"/>
        <v>1200</v>
      </c>
      <c r="BS56">
        <f t="shared" ca="1" si="21"/>
        <v>1141.0772510686097</v>
      </c>
      <c r="BT56">
        <f t="shared" ca="1" si="21"/>
        <v>1085.0477440885795</v>
      </c>
      <c r="BU56">
        <f t="shared" ca="1" si="21"/>
        <v>1031.7694142523271</v>
      </c>
      <c r="BV56">
        <f t="shared" ca="1" si="21"/>
        <v>1261.9653916081941</v>
      </c>
      <c r="BW56">
        <f t="shared" ca="1" si="23"/>
        <v>1031.7694142523271</v>
      </c>
      <c r="BX56">
        <f t="shared" ca="1" si="23"/>
        <v>1141.0772510686097</v>
      </c>
      <c r="BY56">
        <f t="shared" ca="1" si="23"/>
        <v>1031.7694142523274</v>
      </c>
      <c r="BZ56">
        <f t="shared" ca="1" si="23"/>
        <v>1261.9653916081938</v>
      </c>
      <c r="CA56">
        <f t="shared" ca="1" si="23"/>
        <v>1395.6606777721713</v>
      </c>
      <c r="CB56">
        <f t="shared" ca="1" si="23"/>
        <v>1327.1305413473513</v>
      </c>
      <c r="CC56">
        <f t="shared" ca="1" si="23"/>
        <v>1467.7295614807629</v>
      </c>
      <c r="CD56">
        <f t="shared" ca="1" si="23"/>
        <v>981.10717245976264</v>
      </c>
      <c r="CE56">
        <f t="shared" ca="1" si="23"/>
        <v>1327.1305413473517</v>
      </c>
      <c r="CF56">
        <f t="shared" ca="1" si="23"/>
        <v>1031.7694142523274</v>
      </c>
      <c r="CG56">
        <f t="shared" ca="1" si="23"/>
        <v>1085.0477440885795</v>
      </c>
      <c r="CH56">
        <f t="shared" ca="1" si="23"/>
        <v>1261.9653916081936</v>
      </c>
      <c r="CI56">
        <f t="shared" ca="1" si="23"/>
        <v>1395.6606777721711</v>
      </c>
      <c r="CJ56">
        <f t="shared" ca="1" si="23"/>
        <v>1199.9999999999998</v>
      </c>
      <c r="CK56">
        <f t="shared" ca="1" si="23"/>
        <v>1327.1305413473522</v>
      </c>
      <c r="CL56">
        <f t="shared" ca="1" si="23"/>
        <v>1031.7694142523274</v>
      </c>
      <c r="CM56">
        <f t="shared" ca="1" si="19"/>
        <v>1261.9653916081938</v>
      </c>
      <c r="CN56">
        <f t="shared" ca="1" si="19"/>
        <v>1623.2239395662307</v>
      </c>
      <c r="CO56">
        <f t="shared" ca="1" si="19"/>
        <v>1327.1305413473522</v>
      </c>
      <c r="CP56">
        <f t="shared" ca="1" si="19"/>
        <v>1467.7295614807629</v>
      </c>
      <c r="CQ56">
        <f t="shared" ca="1" si="19"/>
        <v>1261.9653916081941</v>
      </c>
      <c r="CR56">
        <f t="shared" ca="1" si="19"/>
        <v>1467.7295614807629</v>
      </c>
      <c r="CS56">
        <f t="shared" ca="1" si="19"/>
        <v>932.93256279506875</v>
      </c>
      <c r="CT56">
        <f t="shared" ca="1" si="19"/>
        <v>1467.7295614807629</v>
      </c>
      <c r="CU56">
        <f t="shared" ca="1" si="18"/>
        <v>1031.7694142523274</v>
      </c>
      <c r="CV56">
        <f t="shared" ca="1" si="18"/>
        <v>1199.9999999999995</v>
      </c>
      <c r="CW56">
        <f t="shared" ca="1" si="18"/>
        <v>1031.7694142523274</v>
      </c>
      <c r="CX56">
        <f t="shared" ca="1" si="18"/>
        <v>1141.0772510686097</v>
      </c>
      <c r="CY56">
        <f t="shared" ca="1" si="18"/>
        <v>1085.0477440885795</v>
      </c>
    </row>
    <row r="57" spans="1:103">
      <c r="A57">
        <v>41</v>
      </c>
      <c r="B57">
        <v>41</v>
      </c>
      <c r="C57">
        <v>41</v>
      </c>
      <c r="D57">
        <f t="shared" ca="1" si="22"/>
        <v>1112.7098890109644</v>
      </c>
      <c r="E57">
        <f t="shared" ca="1" si="22"/>
        <v>1006.1194624136671</v>
      </c>
      <c r="F57">
        <f t="shared" ca="1" si="22"/>
        <v>1112.7098890109644</v>
      </c>
      <c r="G57">
        <f t="shared" ca="1" si="22"/>
        <v>1505.1477746955677</v>
      </c>
      <c r="H57">
        <f t="shared" ca="1" si="22"/>
        <v>1360.9643312111432</v>
      </c>
      <c r="I57">
        <f t="shared" ca="1" si="22"/>
        <v>1505.1477746955675</v>
      </c>
      <c r="J57">
        <f t="shared" ca="1" si="22"/>
        <v>1664.6063175329095</v>
      </c>
      <c r="K57">
        <f t="shared" ca="1" si="22"/>
        <v>1582.870334101578</v>
      </c>
      <c r="L57">
        <f t="shared" ca="1" si="22"/>
        <v>1431.2415710013786</v>
      </c>
      <c r="M57">
        <f t="shared" ca="1" si="22"/>
        <v>1294.1378648840334</v>
      </c>
      <c r="N57">
        <f t="shared" ca="1" si="22"/>
        <v>1230.5927311380613</v>
      </c>
      <c r="O57">
        <f t="shared" ca="1" si="22"/>
        <v>1230.5927311380608</v>
      </c>
      <c r="P57">
        <f t="shared" ca="1" si="22"/>
        <v>1006.1194624136672</v>
      </c>
      <c r="Q57">
        <f t="shared" ca="1" si="22"/>
        <v>1294.1378648840339</v>
      </c>
      <c r="R57">
        <f t="shared" ca="1" si="22"/>
        <v>1582.870334101578</v>
      </c>
      <c r="S57">
        <f t="shared" ca="1" si="20"/>
        <v>1360.9643312111432</v>
      </c>
      <c r="T57">
        <f t="shared" ca="1" si="15"/>
        <v>1058.0732844912411</v>
      </c>
      <c r="U57">
        <f t="shared" ca="1" si="15"/>
        <v>1294.1378648840339</v>
      </c>
      <c r="V57">
        <f t="shared" ca="1" si="15"/>
        <v>1360.9643312111427</v>
      </c>
      <c r="W57">
        <f t="shared" ca="1" si="15"/>
        <v>1360.9643312111432</v>
      </c>
      <c r="X57">
        <f t="shared" ca="1" si="15"/>
        <v>909.73971081296975</v>
      </c>
      <c r="Y57">
        <f t="shared" ca="1" si="15"/>
        <v>1294.1378648840337</v>
      </c>
      <c r="Z57">
        <f t="shared" ca="1" si="15"/>
        <v>1582.8703341015785</v>
      </c>
      <c r="AA57">
        <f t="shared" ca="1" si="15"/>
        <v>1294.1378648840334</v>
      </c>
      <c r="AB57">
        <f t="shared" ca="1" si="15"/>
        <v>1294.1378648840334</v>
      </c>
      <c r="AC57">
        <f t="shared" ca="1" si="15"/>
        <v>1230.5927311380608</v>
      </c>
      <c r="AD57">
        <f t="shared" ca="1" si="15"/>
        <v>1294.1378648840339</v>
      </c>
      <c r="AE57">
        <f t="shared" ca="1" si="15"/>
        <v>956.71669201467887</v>
      </c>
      <c r="AF57">
        <f t="shared" ca="1" si="15"/>
        <v>1294.1378648840339</v>
      </c>
      <c r="AG57">
        <f t="shared" ca="1" si="15"/>
        <v>1360.9643312111432</v>
      </c>
      <c r="AH57">
        <f t="shared" ca="1" si="15"/>
        <v>909.73971081296975</v>
      </c>
      <c r="AI57">
        <f t="shared" ca="1" si="15"/>
        <v>1112.7098890109644</v>
      </c>
      <c r="AJ57">
        <f t="shared" ca="1" si="17"/>
        <v>1058.0732844912409</v>
      </c>
      <c r="AK57">
        <f t="shared" ca="1" si="17"/>
        <v>1230.5927311380608</v>
      </c>
      <c r="AL57">
        <f t="shared" ca="1" si="16"/>
        <v>1431.2415710013781</v>
      </c>
      <c r="AM57">
        <f t="shared" ca="1" si="16"/>
        <v>1294.1378648840334</v>
      </c>
      <c r="AN57">
        <f t="shared" ca="1" si="16"/>
        <v>1112.7098890109644</v>
      </c>
      <c r="AO57">
        <f t="shared" ref="AO57:BF71" ca="1" si="24">AO56*(IF(RAND()&lt;$B$11,$B$9,$B$10))</f>
        <v>1112.7098890109639</v>
      </c>
      <c r="AP57">
        <f t="shared" ca="1" si="24"/>
        <v>956.71669201467876</v>
      </c>
      <c r="AQ57">
        <f t="shared" ca="1" si="24"/>
        <v>1230.5927311380608</v>
      </c>
      <c r="AR57">
        <f t="shared" ca="1" si="24"/>
        <v>1112.7098890109644</v>
      </c>
      <c r="AS57">
        <f t="shared" ca="1" si="24"/>
        <v>1360.9643312111427</v>
      </c>
      <c r="AT57">
        <f t="shared" ca="1" si="24"/>
        <v>1230.5927311380608</v>
      </c>
      <c r="AU57">
        <f t="shared" ca="1" si="24"/>
        <v>956.7166920146791</v>
      </c>
      <c r="AV57">
        <f t="shared" ca="1" si="24"/>
        <v>1170.167809026693</v>
      </c>
      <c r="AW57">
        <f t="shared" ca="1" si="24"/>
        <v>1431.2415710013781</v>
      </c>
      <c r="AX57">
        <f t="shared" ca="1" si="24"/>
        <v>1058.0732844912411</v>
      </c>
      <c r="AY57">
        <f t="shared" ca="1" si="24"/>
        <v>1058.0732844912409</v>
      </c>
      <c r="AZ57">
        <f t="shared" ca="1" si="24"/>
        <v>1431.2415710013786</v>
      </c>
      <c r="BA57">
        <f t="shared" ca="1" si="24"/>
        <v>1112.7098890109644</v>
      </c>
      <c r="BB57">
        <f t="shared" ca="1" si="24"/>
        <v>865.06940700201301</v>
      </c>
      <c r="BC57">
        <f t="shared" ca="1" si="24"/>
        <v>1230.5927311380613</v>
      </c>
      <c r="BD57">
        <f t="shared" ca="1" si="24"/>
        <v>1058.0732844912411</v>
      </c>
      <c r="BE57">
        <f t="shared" ca="1" si="24"/>
        <v>1431.2415710013781</v>
      </c>
      <c r="BF57">
        <f t="shared" ca="1" si="24"/>
        <v>1112.7098890109644</v>
      </c>
      <c r="BG57">
        <f t="shared" ca="1" si="21"/>
        <v>1112.7098890109644</v>
      </c>
      <c r="BH57">
        <f t="shared" ca="1" si="21"/>
        <v>1505.1477746955675</v>
      </c>
      <c r="BI57">
        <f t="shared" ca="1" si="21"/>
        <v>1360.9643312111432</v>
      </c>
      <c r="BJ57">
        <f t="shared" ca="1" si="21"/>
        <v>1058.0732844912409</v>
      </c>
      <c r="BK57">
        <f t="shared" ca="1" si="21"/>
        <v>909.73971081296986</v>
      </c>
      <c r="BL57">
        <f t="shared" ca="1" si="21"/>
        <v>1230.5927311380606</v>
      </c>
      <c r="BM57">
        <f t="shared" ca="1" si="21"/>
        <v>1294.1378648840334</v>
      </c>
      <c r="BN57">
        <f t="shared" ca="1" si="21"/>
        <v>1058.0732844912411</v>
      </c>
      <c r="BO57">
        <f t="shared" ca="1" si="21"/>
        <v>1112.7098890109644</v>
      </c>
      <c r="BP57">
        <f t="shared" ca="1" si="21"/>
        <v>1360.9643312111427</v>
      </c>
      <c r="BQ57">
        <f t="shared" ca="1" si="21"/>
        <v>1170.167809026693</v>
      </c>
      <c r="BR57">
        <f t="shared" ca="1" si="21"/>
        <v>1230.5927311380613</v>
      </c>
      <c r="BS57">
        <f t="shared" ca="1" si="21"/>
        <v>1112.7098890109644</v>
      </c>
      <c r="BT57">
        <f t="shared" ca="1" si="21"/>
        <v>1058.0732844912411</v>
      </c>
      <c r="BU57">
        <f t="shared" ca="1" si="21"/>
        <v>1006.119462413667</v>
      </c>
      <c r="BV57">
        <f t="shared" ca="1" si="21"/>
        <v>1230.5927311380613</v>
      </c>
      <c r="BW57">
        <f t="shared" ca="1" si="23"/>
        <v>1058.0732844912409</v>
      </c>
      <c r="BX57">
        <f t="shared" ca="1" si="23"/>
        <v>1112.7098890109644</v>
      </c>
      <c r="BY57">
        <f t="shared" ca="1" si="23"/>
        <v>1006.1194624136672</v>
      </c>
      <c r="BZ57">
        <f t="shared" ca="1" si="23"/>
        <v>1230.592731138061</v>
      </c>
      <c r="CA57">
        <f t="shared" ca="1" si="23"/>
        <v>1360.964331211143</v>
      </c>
      <c r="CB57">
        <f t="shared" ca="1" si="23"/>
        <v>1294.137864884033</v>
      </c>
      <c r="CC57">
        <f t="shared" ca="1" si="23"/>
        <v>1431.2415710013781</v>
      </c>
      <c r="CD57">
        <f t="shared" ca="1" si="23"/>
        <v>1006.1194624136668</v>
      </c>
      <c r="CE57">
        <f t="shared" ca="1" si="23"/>
        <v>1360.9643312111427</v>
      </c>
      <c r="CF57">
        <f t="shared" ca="1" si="23"/>
        <v>1006.1194624136672</v>
      </c>
      <c r="CG57">
        <f t="shared" ca="1" si="23"/>
        <v>1058.0732844912411</v>
      </c>
      <c r="CH57">
        <f t="shared" ca="1" si="23"/>
        <v>1230.5927311380608</v>
      </c>
      <c r="CI57">
        <f t="shared" ca="1" si="23"/>
        <v>1360.9643312111427</v>
      </c>
      <c r="CJ57">
        <f t="shared" ca="1" si="23"/>
        <v>1170.1678090266932</v>
      </c>
      <c r="CK57">
        <f t="shared" ca="1" si="23"/>
        <v>1294.1378648840339</v>
      </c>
      <c r="CL57">
        <f t="shared" ca="1" si="23"/>
        <v>1006.1194624136672</v>
      </c>
      <c r="CM57">
        <f t="shared" ca="1" si="19"/>
        <v>1294.1378648840337</v>
      </c>
      <c r="CN57">
        <f t="shared" ca="1" si="19"/>
        <v>1664.6063175329093</v>
      </c>
      <c r="CO57">
        <f t="shared" ca="1" si="19"/>
        <v>1360.9643312111432</v>
      </c>
      <c r="CP57">
        <f t="shared" ca="1" si="19"/>
        <v>1505.1477746955675</v>
      </c>
      <c r="CQ57">
        <f t="shared" ca="1" si="19"/>
        <v>1230.5927311380613</v>
      </c>
      <c r="CR57">
        <f t="shared" ca="1" si="19"/>
        <v>1431.2415710013781</v>
      </c>
      <c r="CS57">
        <f t="shared" ca="1" si="19"/>
        <v>956.71669201467876</v>
      </c>
      <c r="CT57">
        <f t="shared" ca="1" si="19"/>
        <v>1505.1477746955675</v>
      </c>
      <c r="CU57">
        <f t="shared" ca="1" si="18"/>
        <v>1006.1194624136672</v>
      </c>
      <c r="CV57">
        <f t="shared" ca="1" si="18"/>
        <v>1230.5927311380608</v>
      </c>
      <c r="CW57">
        <f t="shared" ca="1" si="18"/>
        <v>1006.1194624136672</v>
      </c>
      <c r="CX57">
        <f t="shared" ca="1" si="18"/>
        <v>1112.7098890109644</v>
      </c>
      <c r="CY57">
        <f t="shared" ca="1" si="18"/>
        <v>1058.0732844912411</v>
      </c>
    </row>
    <row r="58" spans="1:103">
      <c r="A58">
        <v>42</v>
      </c>
      <c r="B58">
        <v>42</v>
      </c>
      <c r="C58">
        <v>42</v>
      </c>
      <c r="D58">
        <f t="shared" ca="1" si="22"/>
        <v>1085.0477440885795</v>
      </c>
      <c r="E58">
        <f t="shared" ca="1" si="22"/>
        <v>981.10717245976275</v>
      </c>
      <c r="F58">
        <f t="shared" ca="1" si="22"/>
        <v>1141.0772510686097</v>
      </c>
      <c r="G58">
        <f t="shared" ca="1" si="22"/>
        <v>1543.5199256908284</v>
      </c>
      <c r="H58">
        <f t="shared" ca="1" si="22"/>
        <v>1327.1305413473522</v>
      </c>
      <c r="I58">
        <f t="shared" ca="1" si="22"/>
        <v>1543.5199256908281</v>
      </c>
      <c r="J58">
        <f t="shared" ca="1" si="22"/>
        <v>1707.043695468745</v>
      </c>
      <c r="K58">
        <f t="shared" ca="1" si="22"/>
        <v>1543.5199256908281</v>
      </c>
      <c r="L58">
        <f t="shared" ca="1" si="22"/>
        <v>1467.7295614807633</v>
      </c>
      <c r="M58">
        <f t="shared" ca="1" si="22"/>
        <v>1261.9653916081936</v>
      </c>
      <c r="N58">
        <f t="shared" ca="1" si="22"/>
        <v>1261.9653916081941</v>
      </c>
      <c r="O58">
        <f t="shared" ca="1" si="22"/>
        <v>1261.9653916081936</v>
      </c>
      <c r="P58">
        <f t="shared" ca="1" si="22"/>
        <v>981.10717245976286</v>
      </c>
      <c r="Q58">
        <f t="shared" ca="1" si="22"/>
        <v>1261.9653916081941</v>
      </c>
      <c r="R58">
        <f t="shared" ca="1" si="22"/>
        <v>1623.2239395662305</v>
      </c>
      <c r="S58">
        <f t="shared" ca="1" si="20"/>
        <v>1327.1305413473522</v>
      </c>
      <c r="T58">
        <f t="shared" ca="1" si="15"/>
        <v>1031.7694142523274</v>
      </c>
      <c r="U58">
        <f t="shared" ca="1" si="15"/>
        <v>1261.9653916081941</v>
      </c>
      <c r="V58">
        <f t="shared" ca="1" si="15"/>
        <v>1327.1305413473517</v>
      </c>
      <c r="W58">
        <f t="shared" ca="1" si="15"/>
        <v>1395.6606777721715</v>
      </c>
      <c r="X58">
        <f t="shared" ca="1" si="15"/>
        <v>887.12343682215874</v>
      </c>
      <c r="Y58">
        <f t="shared" ca="1" si="15"/>
        <v>1261.9653916081938</v>
      </c>
      <c r="Z58">
        <f t="shared" ca="1" si="15"/>
        <v>1543.5199256908286</v>
      </c>
      <c r="AA58">
        <f t="shared" ca="1" si="15"/>
        <v>1327.1305413473517</v>
      </c>
      <c r="AB58">
        <f t="shared" ca="1" si="15"/>
        <v>1327.1305413473517</v>
      </c>
      <c r="AC58">
        <f t="shared" ca="1" si="15"/>
        <v>1261.9653916081936</v>
      </c>
      <c r="AD58">
        <f t="shared" ca="1" si="15"/>
        <v>1261.9653916081941</v>
      </c>
      <c r="AE58">
        <f t="shared" ca="1" si="15"/>
        <v>932.93256279506875</v>
      </c>
      <c r="AF58">
        <f t="shared" ca="1" si="15"/>
        <v>1261.9653916081941</v>
      </c>
      <c r="AG58">
        <f t="shared" ca="1" si="15"/>
        <v>1395.6606777721715</v>
      </c>
      <c r="AH58">
        <f t="shared" ca="1" si="15"/>
        <v>932.93256279506875</v>
      </c>
      <c r="AI58">
        <f t="shared" ref="AI58:AQ73" ca="1" si="25">AI57*(IF(RAND()&lt;$B$11,$B$9,$B$10))</f>
        <v>1085.0477440885795</v>
      </c>
      <c r="AJ58">
        <f t="shared" ca="1" si="17"/>
        <v>1031.7694142523271</v>
      </c>
      <c r="AK58">
        <f t="shared" ca="1" si="17"/>
        <v>1261.9653916081936</v>
      </c>
      <c r="AL58">
        <f t="shared" ca="1" si="17"/>
        <v>1395.6606777721711</v>
      </c>
      <c r="AM58">
        <f t="shared" ca="1" si="17"/>
        <v>1327.1305413473517</v>
      </c>
      <c r="AN58">
        <f t="shared" ca="1" si="17"/>
        <v>1141.0772510686097</v>
      </c>
      <c r="AO58">
        <f t="shared" ca="1" si="24"/>
        <v>1141.0772510686093</v>
      </c>
      <c r="AP58">
        <f t="shared" ca="1" si="24"/>
        <v>981.10717245976252</v>
      </c>
      <c r="AQ58">
        <f t="shared" ca="1" si="24"/>
        <v>1261.9653916081936</v>
      </c>
      <c r="AR58">
        <f t="shared" ca="1" si="24"/>
        <v>1085.0477440885795</v>
      </c>
      <c r="AS58">
        <f t="shared" ca="1" si="24"/>
        <v>1327.1305413473517</v>
      </c>
      <c r="AT58">
        <f t="shared" ca="1" si="24"/>
        <v>1261.9653916081936</v>
      </c>
      <c r="AU58">
        <f t="shared" ca="1" si="24"/>
        <v>932.93256279506897</v>
      </c>
      <c r="AV58">
        <f t="shared" ca="1" si="24"/>
        <v>1141.0772510686097</v>
      </c>
      <c r="AW58">
        <f t="shared" ca="1" si="24"/>
        <v>1467.7295614807629</v>
      </c>
      <c r="AX58">
        <f t="shared" ca="1" si="24"/>
        <v>1085.0477440885795</v>
      </c>
      <c r="AY58">
        <f t="shared" ca="1" si="24"/>
        <v>1085.0477440885793</v>
      </c>
      <c r="AZ58">
        <f t="shared" ca="1" si="24"/>
        <v>1467.7295614807633</v>
      </c>
      <c r="BA58">
        <f t="shared" ca="1" si="24"/>
        <v>1141.0772510686097</v>
      </c>
      <c r="BB58">
        <f t="shared" ca="1" si="24"/>
        <v>887.12343682215862</v>
      </c>
      <c r="BC58">
        <f t="shared" ca="1" si="24"/>
        <v>1200</v>
      </c>
      <c r="BD58">
        <f t="shared" ca="1" si="24"/>
        <v>1085.0477440885795</v>
      </c>
      <c r="BE58">
        <f t="shared" ca="1" si="24"/>
        <v>1395.6606777721711</v>
      </c>
      <c r="BF58">
        <f t="shared" ca="1" si="24"/>
        <v>1085.0477440885795</v>
      </c>
      <c r="BG58">
        <f t="shared" ca="1" si="21"/>
        <v>1141.0772510686097</v>
      </c>
      <c r="BH58">
        <f t="shared" ca="1" si="21"/>
        <v>1467.7295614807629</v>
      </c>
      <c r="BI58">
        <f t="shared" ca="1" si="21"/>
        <v>1327.1305413473522</v>
      </c>
      <c r="BJ58">
        <f t="shared" ca="1" si="21"/>
        <v>1031.7694142523271</v>
      </c>
      <c r="BK58">
        <f t="shared" ca="1" si="21"/>
        <v>887.12343682215885</v>
      </c>
      <c r="BL58">
        <f t="shared" ca="1" si="21"/>
        <v>1261.9653916081934</v>
      </c>
      <c r="BM58">
        <f t="shared" ca="1" si="21"/>
        <v>1261.9653916081936</v>
      </c>
      <c r="BN58">
        <f t="shared" ca="1" si="21"/>
        <v>1085.0477440885795</v>
      </c>
      <c r="BO58">
        <f t="shared" ca="1" si="21"/>
        <v>1141.0772510686097</v>
      </c>
      <c r="BP58">
        <f t="shared" ca="1" si="21"/>
        <v>1327.1305413473517</v>
      </c>
      <c r="BQ58">
        <f t="shared" ca="1" si="21"/>
        <v>1141.0772510686097</v>
      </c>
      <c r="BR58">
        <f t="shared" ca="1" si="21"/>
        <v>1261.9653916081941</v>
      </c>
      <c r="BS58">
        <f t="shared" ca="1" si="21"/>
        <v>1085.0477440885795</v>
      </c>
      <c r="BT58">
        <f t="shared" ca="1" si="21"/>
        <v>1085.0477440885795</v>
      </c>
      <c r="BU58">
        <f t="shared" ca="1" si="21"/>
        <v>981.10717245976264</v>
      </c>
      <c r="BV58">
        <f t="shared" ca="1" si="21"/>
        <v>1261.9653916081941</v>
      </c>
      <c r="BW58">
        <f t="shared" ca="1" si="23"/>
        <v>1085.0477440885793</v>
      </c>
      <c r="BX58">
        <f t="shared" ca="1" si="23"/>
        <v>1141.0772510686097</v>
      </c>
      <c r="BY58">
        <f t="shared" ca="1" si="23"/>
        <v>1031.7694142523274</v>
      </c>
      <c r="BZ58">
        <f t="shared" ca="1" si="23"/>
        <v>1261.9653916081938</v>
      </c>
      <c r="CA58">
        <f t="shared" ca="1" si="23"/>
        <v>1327.1305413473519</v>
      </c>
      <c r="CB58">
        <f t="shared" ca="1" si="23"/>
        <v>1261.9653916081932</v>
      </c>
      <c r="CC58">
        <f t="shared" ca="1" si="23"/>
        <v>1395.6606777721711</v>
      </c>
      <c r="CD58">
        <f t="shared" ca="1" si="23"/>
        <v>981.10717245976264</v>
      </c>
      <c r="CE58">
        <f t="shared" ca="1" si="23"/>
        <v>1395.6606777721711</v>
      </c>
      <c r="CF58">
        <f t="shared" ca="1" si="23"/>
        <v>1031.7694142523274</v>
      </c>
      <c r="CG58">
        <f t="shared" ca="1" si="23"/>
        <v>1085.0477440885795</v>
      </c>
      <c r="CH58">
        <f t="shared" ca="1" si="23"/>
        <v>1261.9653916081936</v>
      </c>
      <c r="CI58">
        <f t="shared" ca="1" si="23"/>
        <v>1395.6606777721711</v>
      </c>
      <c r="CJ58">
        <f t="shared" ca="1" si="23"/>
        <v>1141.0772510686097</v>
      </c>
      <c r="CK58">
        <f t="shared" ca="1" si="23"/>
        <v>1327.1305413473522</v>
      </c>
      <c r="CL58">
        <f t="shared" ca="1" si="23"/>
        <v>1031.7694142523274</v>
      </c>
      <c r="CM58">
        <f t="shared" ca="1" si="19"/>
        <v>1327.1305413473519</v>
      </c>
      <c r="CN58">
        <f t="shared" ca="1" si="19"/>
        <v>1707.0436954687448</v>
      </c>
      <c r="CO58">
        <f t="shared" ca="1" si="19"/>
        <v>1327.1305413473522</v>
      </c>
      <c r="CP58">
        <f t="shared" ca="1" si="19"/>
        <v>1543.5199256908281</v>
      </c>
      <c r="CQ58">
        <f t="shared" ca="1" si="19"/>
        <v>1261.9653916081941</v>
      </c>
      <c r="CR58">
        <f t="shared" ca="1" si="19"/>
        <v>1395.6606777721711</v>
      </c>
      <c r="CS58">
        <f t="shared" ca="1" si="19"/>
        <v>932.93256279506875</v>
      </c>
      <c r="CT58">
        <f t="shared" ca="1" si="19"/>
        <v>1543.5199256908281</v>
      </c>
      <c r="CU58">
        <f t="shared" ca="1" si="18"/>
        <v>1031.7694142523274</v>
      </c>
      <c r="CV58">
        <f t="shared" ca="1" si="18"/>
        <v>1261.9653916081936</v>
      </c>
      <c r="CW58">
        <f t="shared" ca="1" si="18"/>
        <v>1031.7694142523274</v>
      </c>
      <c r="CX58">
        <f t="shared" ca="1" si="18"/>
        <v>1085.0477440885795</v>
      </c>
      <c r="CY58">
        <f t="shared" ca="1" si="18"/>
        <v>1085.0477440885795</v>
      </c>
    </row>
    <row r="59" spans="1:103">
      <c r="A59">
        <v>43</v>
      </c>
      <c r="B59">
        <v>43</v>
      </c>
      <c r="C59">
        <v>43</v>
      </c>
      <c r="D59">
        <f t="shared" ca="1" si="22"/>
        <v>1112.7098890109644</v>
      </c>
      <c r="E59">
        <f t="shared" ca="1" si="22"/>
        <v>1006.119462413667</v>
      </c>
      <c r="F59">
        <f t="shared" ca="1" si="22"/>
        <v>1112.7098890109644</v>
      </c>
      <c r="G59">
        <f t="shared" ca="1" si="22"/>
        <v>1582.8703341015782</v>
      </c>
      <c r="H59">
        <f t="shared" ca="1" si="22"/>
        <v>1360.9643312111432</v>
      </c>
      <c r="I59">
        <f t="shared" ca="1" si="22"/>
        <v>1582.870334101578</v>
      </c>
      <c r="J59">
        <f t="shared" ca="1" si="22"/>
        <v>1664.6063175329095</v>
      </c>
      <c r="K59">
        <f t="shared" ca="1" si="22"/>
        <v>1582.870334101578</v>
      </c>
      <c r="L59">
        <f t="shared" ca="1" si="22"/>
        <v>1505.1477746955679</v>
      </c>
      <c r="M59">
        <f t="shared" ca="1" si="22"/>
        <v>1294.1378648840334</v>
      </c>
      <c r="N59">
        <f t="shared" ca="1" si="22"/>
        <v>1230.5927311380613</v>
      </c>
      <c r="O59">
        <f t="shared" ca="1" si="22"/>
        <v>1294.1378648840334</v>
      </c>
      <c r="P59">
        <f t="shared" ca="1" si="22"/>
        <v>1006.1194624136671</v>
      </c>
      <c r="Q59">
        <f t="shared" ca="1" si="22"/>
        <v>1294.1378648840339</v>
      </c>
      <c r="R59">
        <f t="shared" ca="1" si="22"/>
        <v>1664.6063175329091</v>
      </c>
      <c r="S59">
        <f t="shared" ca="1" si="20"/>
        <v>1294.1378648840339</v>
      </c>
      <c r="T59">
        <f t="shared" ca="1" si="20"/>
        <v>1058.0732844912411</v>
      </c>
      <c r="U59">
        <f t="shared" ca="1" si="20"/>
        <v>1294.1378648840339</v>
      </c>
      <c r="V59">
        <f t="shared" ca="1" si="20"/>
        <v>1294.1378648840334</v>
      </c>
      <c r="W59">
        <f t="shared" ca="1" si="20"/>
        <v>1431.2415710013786</v>
      </c>
      <c r="X59">
        <f t="shared" ca="1" si="20"/>
        <v>909.73971081296975</v>
      </c>
      <c r="Y59">
        <f t="shared" ca="1" si="20"/>
        <v>1230.592731138061</v>
      </c>
      <c r="Z59">
        <f t="shared" ca="1" si="20"/>
        <v>1582.8703341015785</v>
      </c>
      <c r="AA59">
        <f t="shared" ca="1" si="20"/>
        <v>1360.9643312111427</v>
      </c>
      <c r="AB59">
        <f t="shared" ca="1" si="20"/>
        <v>1360.9643312111427</v>
      </c>
      <c r="AC59">
        <f t="shared" ca="1" si="20"/>
        <v>1230.5927311380608</v>
      </c>
      <c r="AD59">
        <f t="shared" ca="1" si="20"/>
        <v>1230.5927311380613</v>
      </c>
      <c r="AE59">
        <f t="shared" ca="1" si="20"/>
        <v>956.71669201467876</v>
      </c>
      <c r="AF59">
        <f t="shared" ca="1" si="20"/>
        <v>1294.1378648840339</v>
      </c>
      <c r="AG59">
        <f t="shared" ca="1" si="20"/>
        <v>1360.9643312111432</v>
      </c>
      <c r="AH59">
        <f t="shared" ca="1" si="20"/>
        <v>909.73971081296975</v>
      </c>
      <c r="AI59">
        <f t="shared" ca="1" si="25"/>
        <v>1058.0732844912411</v>
      </c>
      <c r="AJ59">
        <f t="shared" ca="1" si="17"/>
        <v>1058.0732844912409</v>
      </c>
      <c r="AK59">
        <f t="shared" ca="1" si="17"/>
        <v>1294.1378648840334</v>
      </c>
      <c r="AL59">
        <f t="shared" ca="1" si="17"/>
        <v>1431.2415710013781</v>
      </c>
      <c r="AM59">
        <f t="shared" ca="1" si="17"/>
        <v>1360.9643312111427</v>
      </c>
      <c r="AN59">
        <f t="shared" ca="1" si="17"/>
        <v>1170.167809026693</v>
      </c>
      <c r="AO59">
        <f t="shared" ca="1" si="24"/>
        <v>1112.7098890109639</v>
      </c>
      <c r="AP59">
        <f t="shared" ca="1" si="24"/>
        <v>1006.1194624136667</v>
      </c>
      <c r="AQ59">
        <f t="shared" ca="1" si="24"/>
        <v>1230.5927311380608</v>
      </c>
      <c r="AR59">
        <f t="shared" ca="1" si="24"/>
        <v>1058.0732844912411</v>
      </c>
      <c r="AS59">
        <f t="shared" ca="1" si="24"/>
        <v>1294.1378648840334</v>
      </c>
      <c r="AT59">
        <f t="shared" ca="1" si="24"/>
        <v>1294.1378648840334</v>
      </c>
      <c r="AU59">
        <f t="shared" ca="1" si="24"/>
        <v>956.71669201467898</v>
      </c>
      <c r="AV59">
        <f t="shared" ca="1" si="24"/>
        <v>1112.7098890109644</v>
      </c>
      <c r="AW59">
        <f t="shared" ca="1" si="24"/>
        <v>1431.2415710013781</v>
      </c>
      <c r="AX59">
        <f t="shared" ca="1" si="24"/>
        <v>1058.0732844912411</v>
      </c>
      <c r="AY59">
        <f t="shared" ca="1" si="24"/>
        <v>1112.7098890109642</v>
      </c>
      <c r="AZ59">
        <f t="shared" ca="1" si="24"/>
        <v>1505.1477746955679</v>
      </c>
      <c r="BA59">
        <f t="shared" ca="1" si="24"/>
        <v>1112.7098890109644</v>
      </c>
      <c r="BB59">
        <f t="shared" ca="1" si="24"/>
        <v>909.73971081296963</v>
      </c>
      <c r="BC59">
        <f t="shared" ca="1" si="24"/>
        <v>1230.5927311380613</v>
      </c>
      <c r="BD59">
        <f t="shared" ca="1" si="24"/>
        <v>1058.0732844912411</v>
      </c>
      <c r="BE59">
        <f t="shared" ca="1" si="24"/>
        <v>1431.2415710013781</v>
      </c>
      <c r="BF59">
        <f t="shared" ca="1" si="24"/>
        <v>1112.7098890109644</v>
      </c>
      <c r="BG59">
        <f t="shared" ca="1" si="21"/>
        <v>1170.167809026693</v>
      </c>
      <c r="BH59">
        <f t="shared" ca="1" si="21"/>
        <v>1431.2415710013781</v>
      </c>
      <c r="BI59">
        <f t="shared" ca="1" si="21"/>
        <v>1294.1378648840339</v>
      </c>
      <c r="BJ59">
        <f t="shared" ca="1" si="21"/>
        <v>1006.119462413667</v>
      </c>
      <c r="BK59">
        <f t="shared" ca="1" si="21"/>
        <v>865.06940700201324</v>
      </c>
      <c r="BL59">
        <f t="shared" ca="1" si="21"/>
        <v>1230.5927311380606</v>
      </c>
      <c r="BM59">
        <f t="shared" ca="1" si="21"/>
        <v>1230.5927311380608</v>
      </c>
      <c r="BN59">
        <f t="shared" ca="1" si="21"/>
        <v>1058.0732844912411</v>
      </c>
      <c r="BO59">
        <f t="shared" ca="1" si="21"/>
        <v>1112.7098890109644</v>
      </c>
      <c r="BP59">
        <f t="shared" ca="1" si="21"/>
        <v>1360.9643312111427</v>
      </c>
      <c r="BQ59">
        <f t="shared" ca="1" si="21"/>
        <v>1170.167809026693</v>
      </c>
      <c r="BR59">
        <f t="shared" ca="1" si="21"/>
        <v>1230.5927311380613</v>
      </c>
      <c r="BS59">
        <f t="shared" ca="1" si="21"/>
        <v>1058.0732844912411</v>
      </c>
      <c r="BT59">
        <f t="shared" ca="1" si="21"/>
        <v>1058.0732844912411</v>
      </c>
      <c r="BU59">
        <f t="shared" ca="1" si="21"/>
        <v>1006.1194624136668</v>
      </c>
      <c r="BV59">
        <f t="shared" ca="1" si="21"/>
        <v>1230.5927311380613</v>
      </c>
      <c r="BW59">
        <f t="shared" ca="1" si="23"/>
        <v>1112.7098890109642</v>
      </c>
      <c r="BX59">
        <f t="shared" ca="1" si="23"/>
        <v>1170.167809026693</v>
      </c>
      <c r="BY59">
        <f t="shared" ca="1" si="23"/>
        <v>1058.0732844912411</v>
      </c>
      <c r="BZ59">
        <f t="shared" ca="1" si="23"/>
        <v>1294.1378648840337</v>
      </c>
      <c r="CA59">
        <f t="shared" ca="1" si="23"/>
        <v>1360.964331211143</v>
      </c>
      <c r="CB59">
        <f t="shared" ca="1" si="23"/>
        <v>1230.5927311380603</v>
      </c>
      <c r="CC59">
        <f t="shared" ca="1" si="23"/>
        <v>1431.2415710013781</v>
      </c>
      <c r="CD59">
        <f t="shared" ca="1" si="23"/>
        <v>956.71669201467887</v>
      </c>
      <c r="CE59">
        <f t="shared" ca="1" si="23"/>
        <v>1360.9643312111427</v>
      </c>
      <c r="CF59">
        <f t="shared" ca="1" si="23"/>
        <v>1006.1194624136672</v>
      </c>
      <c r="CG59">
        <f t="shared" ca="1" si="23"/>
        <v>1112.7098890109644</v>
      </c>
      <c r="CH59">
        <f t="shared" ca="1" si="23"/>
        <v>1294.1378648840334</v>
      </c>
      <c r="CI59">
        <f t="shared" ca="1" si="23"/>
        <v>1431.2415710013781</v>
      </c>
      <c r="CJ59">
        <f t="shared" ca="1" si="23"/>
        <v>1170.167809026693</v>
      </c>
      <c r="CK59">
        <f t="shared" ca="1" si="23"/>
        <v>1294.1378648840339</v>
      </c>
      <c r="CL59">
        <f t="shared" ca="1" si="23"/>
        <v>1058.0732844912411</v>
      </c>
      <c r="CM59">
        <f t="shared" ca="1" si="19"/>
        <v>1360.964331211143</v>
      </c>
      <c r="CN59">
        <f t="shared" ca="1" si="19"/>
        <v>1750.5629694824097</v>
      </c>
      <c r="CO59">
        <f t="shared" ca="1" si="19"/>
        <v>1360.9643312111432</v>
      </c>
      <c r="CP59">
        <f t="shared" ca="1" si="19"/>
        <v>1582.870334101578</v>
      </c>
      <c r="CQ59">
        <f t="shared" ca="1" si="19"/>
        <v>1230.5927311380613</v>
      </c>
      <c r="CR59">
        <f t="shared" ca="1" si="19"/>
        <v>1360.9643312111427</v>
      </c>
      <c r="CS59">
        <f t="shared" ca="1" si="19"/>
        <v>956.71669201467876</v>
      </c>
      <c r="CT59">
        <f t="shared" ca="1" si="19"/>
        <v>1582.870334101578</v>
      </c>
      <c r="CU59">
        <f t="shared" ca="1" si="18"/>
        <v>1006.1194624136672</v>
      </c>
      <c r="CV59">
        <f t="shared" ca="1" si="18"/>
        <v>1230.5927311380608</v>
      </c>
      <c r="CW59">
        <f t="shared" ca="1" si="18"/>
        <v>1058.0732844912411</v>
      </c>
      <c r="CX59">
        <f t="shared" ca="1" si="18"/>
        <v>1112.7098890109644</v>
      </c>
      <c r="CY59">
        <f t="shared" ca="1" si="18"/>
        <v>1058.0732844912411</v>
      </c>
    </row>
    <row r="60" spans="1:103">
      <c r="A60">
        <v>44</v>
      </c>
      <c r="B60">
        <v>44</v>
      </c>
      <c r="C60">
        <v>44</v>
      </c>
      <c r="D60">
        <f t="shared" ca="1" si="22"/>
        <v>1141.0772510686097</v>
      </c>
      <c r="E60">
        <f t="shared" ca="1" si="22"/>
        <v>1031.7694142523271</v>
      </c>
      <c r="F60">
        <f t="shared" ca="1" si="22"/>
        <v>1141.0772510686097</v>
      </c>
      <c r="G60">
        <f t="shared" ca="1" si="22"/>
        <v>1623.2239395662307</v>
      </c>
      <c r="H60">
        <f t="shared" ca="1" si="22"/>
        <v>1327.1305413473522</v>
      </c>
      <c r="I60">
        <f t="shared" ca="1" si="22"/>
        <v>1543.5199256908281</v>
      </c>
      <c r="J60">
        <f t="shared" ca="1" si="22"/>
        <v>1707.043695468745</v>
      </c>
      <c r="K60">
        <f t="shared" ca="1" si="22"/>
        <v>1623.2239395662305</v>
      </c>
      <c r="L60">
        <f t="shared" ca="1" si="22"/>
        <v>1467.7295614807631</v>
      </c>
      <c r="M60">
        <f t="shared" ca="1" si="22"/>
        <v>1261.9653916081936</v>
      </c>
      <c r="N60">
        <f t="shared" ca="1" si="22"/>
        <v>1261.9653916081941</v>
      </c>
      <c r="O60">
        <f t="shared" ca="1" si="22"/>
        <v>1327.1305413473517</v>
      </c>
      <c r="P60">
        <f t="shared" ca="1" si="22"/>
        <v>1031.7694142523271</v>
      </c>
      <c r="Q60">
        <f t="shared" ca="1" si="22"/>
        <v>1261.9653916081941</v>
      </c>
      <c r="R60">
        <f t="shared" ca="1" si="22"/>
        <v>1623.2239395662305</v>
      </c>
      <c r="S60">
        <f t="shared" ca="1" si="20"/>
        <v>1327.1305413473522</v>
      </c>
      <c r="T60">
        <f t="shared" ca="1" si="20"/>
        <v>1031.7694142523274</v>
      </c>
      <c r="U60">
        <f t="shared" ca="1" si="20"/>
        <v>1261.9653916081941</v>
      </c>
      <c r="V60">
        <f t="shared" ca="1" si="20"/>
        <v>1327.1305413473517</v>
      </c>
      <c r="W60">
        <f t="shared" ca="1" si="20"/>
        <v>1395.6606777721715</v>
      </c>
      <c r="X60">
        <f t="shared" ca="1" si="20"/>
        <v>932.93256279506875</v>
      </c>
      <c r="Y60">
        <f t="shared" ca="1" si="20"/>
        <v>1261.9653916081938</v>
      </c>
      <c r="Z60">
        <f t="shared" ca="1" si="20"/>
        <v>1543.5199256908286</v>
      </c>
      <c r="AA60">
        <f t="shared" ca="1" si="20"/>
        <v>1395.6606777721711</v>
      </c>
      <c r="AB60">
        <f t="shared" ca="1" si="20"/>
        <v>1395.6606777721711</v>
      </c>
      <c r="AC60">
        <f t="shared" ca="1" si="20"/>
        <v>1199.9999999999995</v>
      </c>
      <c r="AD60">
        <f t="shared" ca="1" si="20"/>
        <v>1200</v>
      </c>
      <c r="AE60">
        <f t="shared" ca="1" si="20"/>
        <v>981.10717245976252</v>
      </c>
      <c r="AF60">
        <f t="shared" ca="1" si="20"/>
        <v>1261.9653916081941</v>
      </c>
      <c r="AG60">
        <f t="shared" ca="1" si="20"/>
        <v>1395.6606777721715</v>
      </c>
      <c r="AH60">
        <f t="shared" ca="1" si="20"/>
        <v>887.12343682215874</v>
      </c>
      <c r="AI60">
        <f t="shared" ca="1" si="25"/>
        <v>1031.7694142523274</v>
      </c>
      <c r="AJ60">
        <f t="shared" ca="1" si="17"/>
        <v>1031.7694142523271</v>
      </c>
      <c r="AK60">
        <f t="shared" ca="1" si="17"/>
        <v>1327.1305413473517</v>
      </c>
      <c r="AL60">
        <f t="shared" ca="1" si="17"/>
        <v>1395.6606777721711</v>
      </c>
      <c r="AM60">
        <f t="shared" ca="1" si="17"/>
        <v>1395.6606777721711</v>
      </c>
      <c r="AN60">
        <f t="shared" ca="1" si="17"/>
        <v>1141.0772510686097</v>
      </c>
      <c r="AO60">
        <f t="shared" ca="1" si="24"/>
        <v>1085.0477440885791</v>
      </c>
      <c r="AP60">
        <f t="shared" ca="1" si="24"/>
        <v>1031.7694142523269</v>
      </c>
      <c r="AQ60">
        <f t="shared" ca="1" si="24"/>
        <v>1199.9999999999995</v>
      </c>
      <c r="AR60">
        <f t="shared" ca="1" si="24"/>
        <v>1085.0477440885795</v>
      </c>
      <c r="AS60">
        <f t="shared" ca="1" si="24"/>
        <v>1327.1305413473517</v>
      </c>
      <c r="AT60">
        <f t="shared" ca="1" si="24"/>
        <v>1261.9653916081936</v>
      </c>
      <c r="AU60">
        <f t="shared" ca="1" si="24"/>
        <v>932.93256279506886</v>
      </c>
      <c r="AV60">
        <f t="shared" ca="1" si="24"/>
        <v>1085.0477440885795</v>
      </c>
      <c r="AW60">
        <f t="shared" ca="1" si="24"/>
        <v>1395.6606777721711</v>
      </c>
      <c r="AX60">
        <f t="shared" ca="1" si="24"/>
        <v>1085.0477440885795</v>
      </c>
      <c r="AY60">
        <f t="shared" ca="1" si="24"/>
        <v>1141.0772510686095</v>
      </c>
      <c r="AZ60">
        <f t="shared" ca="1" si="24"/>
        <v>1467.7295614807631</v>
      </c>
      <c r="BA60">
        <f t="shared" ca="1" si="24"/>
        <v>1141.0772510686097</v>
      </c>
      <c r="BB60">
        <f t="shared" ca="1" si="24"/>
        <v>887.12343682215862</v>
      </c>
      <c r="BC60">
        <f t="shared" ca="1" si="24"/>
        <v>1261.9653916081941</v>
      </c>
      <c r="BD60">
        <f t="shared" ca="1" si="24"/>
        <v>1085.0477440885795</v>
      </c>
      <c r="BE60">
        <f t="shared" ca="1" si="24"/>
        <v>1395.6606777721711</v>
      </c>
      <c r="BF60">
        <f t="shared" ca="1" si="24"/>
        <v>1141.0772510686097</v>
      </c>
      <c r="BG60">
        <f t="shared" ca="1" si="21"/>
        <v>1141.0772510686097</v>
      </c>
      <c r="BH60">
        <f t="shared" ca="1" si="21"/>
        <v>1467.7295614807629</v>
      </c>
      <c r="BI60">
        <f t="shared" ca="1" si="21"/>
        <v>1261.9653916081941</v>
      </c>
      <c r="BJ60">
        <f t="shared" ca="1" si="21"/>
        <v>1031.7694142523271</v>
      </c>
      <c r="BK60">
        <f t="shared" ca="1" si="21"/>
        <v>887.12343682215885</v>
      </c>
      <c r="BL60">
        <f t="shared" ca="1" si="21"/>
        <v>1261.9653916081934</v>
      </c>
      <c r="BM60">
        <f t="shared" ca="1" si="21"/>
        <v>1199.9999999999995</v>
      </c>
      <c r="BN60">
        <f t="shared" ca="1" si="21"/>
        <v>1085.0477440885795</v>
      </c>
      <c r="BO60">
        <f t="shared" ca="1" si="21"/>
        <v>1141.0772510686097</v>
      </c>
      <c r="BP60">
        <f t="shared" ca="1" si="21"/>
        <v>1395.6606777721711</v>
      </c>
      <c r="BQ60">
        <f t="shared" ca="1" si="21"/>
        <v>1141.0772510686097</v>
      </c>
      <c r="BR60">
        <f t="shared" ca="1" si="21"/>
        <v>1261.9653916081941</v>
      </c>
      <c r="BS60">
        <f t="shared" ca="1" si="21"/>
        <v>1085.0477440885795</v>
      </c>
      <c r="BT60">
        <f t="shared" ca="1" si="21"/>
        <v>1031.7694142523274</v>
      </c>
      <c r="BU60">
        <f t="shared" ca="1" si="21"/>
        <v>1031.7694142523269</v>
      </c>
      <c r="BV60">
        <f t="shared" ca="1" si="21"/>
        <v>1261.9653916081941</v>
      </c>
      <c r="BW60">
        <f t="shared" ca="1" si="23"/>
        <v>1085.0477440885793</v>
      </c>
      <c r="BX60">
        <f t="shared" ca="1" si="23"/>
        <v>1141.0772510686097</v>
      </c>
      <c r="BY60">
        <f t="shared" ca="1" si="23"/>
        <v>1031.7694142523274</v>
      </c>
      <c r="BZ60">
        <f t="shared" ca="1" si="23"/>
        <v>1327.1305413473519</v>
      </c>
      <c r="CA60">
        <f t="shared" ca="1" si="23"/>
        <v>1395.6606777721713</v>
      </c>
      <c r="CB60">
        <f t="shared" ca="1" si="23"/>
        <v>1199.9999999999991</v>
      </c>
      <c r="CC60">
        <f t="shared" ca="1" si="23"/>
        <v>1395.6606777721711</v>
      </c>
      <c r="CD60">
        <f t="shared" ca="1" si="23"/>
        <v>981.10717245976264</v>
      </c>
      <c r="CE60">
        <f t="shared" ca="1" si="23"/>
        <v>1327.1305413473517</v>
      </c>
      <c r="CF60">
        <f t="shared" ca="1" si="23"/>
        <v>981.10717245976286</v>
      </c>
      <c r="CG60">
        <f t="shared" ca="1" si="23"/>
        <v>1085.0477440885795</v>
      </c>
      <c r="CH60">
        <f t="shared" ca="1" si="23"/>
        <v>1261.9653916081936</v>
      </c>
      <c r="CI60">
        <f t="shared" ca="1" si="23"/>
        <v>1395.6606777721711</v>
      </c>
      <c r="CJ60">
        <f t="shared" ca="1" si="23"/>
        <v>1199.9999999999995</v>
      </c>
      <c r="CK60">
        <f t="shared" ca="1" si="23"/>
        <v>1327.1305413473522</v>
      </c>
      <c r="CL60">
        <f t="shared" ca="1" si="23"/>
        <v>1031.7694142523274</v>
      </c>
      <c r="CM60">
        <f t="shared" ca="1" si="19"/>
        <v>1395.6606777721713</v>
      </c>
      <c r="CN60">
        <f t="shared" ca="1" si="19"/>
        <v>1707.0436954687448</v>
      </c>
      <c r="CO60">
        <f t="shared" ca="1" si="19"/>
        <v>1327.1305413473522</v>
      </c>
      <c r="CP60">
        <f t="shared" ca="1" si="19"/>
        <v>1543.5199256908281</v>
      </c>
      <c r="CQ60">
        <f t="shared" ca="1" si="19"/>
        <v>1200</v>
      </c>
      <c r="CR60">
        <f t="shared" ca="1" si="19"/>
        <v>1395.6606777721711</v>
      </c>
      <c r="CS60">
        <f t="shared" ca="1" si="19"/>
        <v>932.93256279506875</v>
      </c>
      <c r="CT60">
        <f t="shared" ca="1" si="19"/>
        <v>1623.2239395662305</v>
      </c>
      <c r="CU60">
        <f t="shared" ca="1" si="18"/>
        <v>1031.7694142523274</v>
      </c>
      <c r="CV60">
        <f t="shared" ca="1" si="18"/>
        <v>1199.9999999999995</v>
      </c>
      <c r="CW60">
        <f t="shared" ca="1" si="18"/>
        <v>1031.7694142523274</v>
      </c>
      <c r="CX60">
        <f t="shared" ca="1" si="18"/>
        <v>1141.0772510686097</v>
      </c>
      <c r="CY60">
        <f t="shared" ca="1" si="18"/>
        <v>1085.0477440885795</v>
      </c>
    </row>
    <row r="61" spans="1:103">
      <c r="A61">
        <v>45</v>
      </c>
      <c r="B61">
        <v>45</v>
      </c>
      <c r="C61">
        <v>45</v>
      </c>
      <c r="D61">
        <f t="shared" ca="1" si="22"/>
        <v>1170.167809026693</v>
      </c>
      <c r="E61">
        <f t="shared" ca="1" si="22"/>
        <v>1006.119462413667</v>
      </c>
      <c r="F61">
        <f t="shared" ca="1" si="22"/>
        <v>1112.7098890109644</v>
      </c>
      <c r="G61">
        <f t="shared" ca="1" si="22"/>
        <v>1582.8703341015782</v>
      </c>
      <c r="H61">
        <f t="shared" ca="1" si="22"/>
        <v>1294.1378648840339</v>
      </c>
      <c r="I61">
        <f t="shared" ca="1" si="22"/>
        <v>1582.870334101578</v>
      </c>
      <c r="J61">
        <f t="shared" ca="1" si="22"/>
        <v>1750.5629694824099</v>
      </c>
      <c r="K61">
        <f t="shared" ca="1" si="22"/>
        <v>1582.870334101578</v>
      </c>
      <c r="L61">
        <f t="shared" ca="1" si="22"/>
        <v>1431.2415710013784</v>
      </c>
      <c r="M61">
        <f t="shared" ca="1" si="22"/>
        <v>1294.1378648840334</v>
      </c>
      <c r="N61">
        <f t="shared" ca="1" si="22"/>
        <v>1230.5927311380613</v>
      </c>
      <c r="O61">
        <f t="shared" ca="1" si="22"/>
        <v>1294.1378648840334</v>
      </c>
      <c r="P61">
        <f t="shared" ca="1" si="22"/>
        <v>1058.0732844912409</v>
      </c>
      <c r="Q61">
        <f t="shared" ca="1" si="22"/>
        <v>1230.5927311380613</v>
      </c>
      <c r="R61">
        <f t="shared" ca="1" si="22"/>
        <v>1582.870334101578</v>
      </c>
      <c r="S61">
        <f t="shared" ca="1" si="20"/>
        <v>1294.1378648840339</v>
      </c>
      <c r="T61">
        <f t="shared" ca="1" si="20"/>
        <v>1006.1194624136672</v>
      </c>
      <c r="U61">
        <f t="shared" ca="1" si="20"/>
        <v>1294.1378648840339</v>
      </c>
      <c r="V61">
        <f t="shared" ca="1" si="20"/>
        <v>1360.9643312111427</v>
      </c>
      <c r="W61">
        <f t="shared" ca="1" si="20"/>
        <v>1431.2415710013786</v>
      </c>
      <c r="X61">
        <f t="shared" ca="1" si="20"/>
        <v>909.73971081296975</v>
      </c>
      <c r="Y61">
        <f t="shared" ca="1" si="20"/>
        <v>1230.592731138061</v>
      </c>
      <c r="Z61">
        <f t="shared" ca="1" si="20"/>
        <v>1582.8703341015785</v>
      </c>
      <c r="AA61">
        <f t="shared" ca="1" si="20"/>
        <v>1360.9643312111427</v>
      </c>
      <c r="AB61">
        <f t="shared" ca="1" si="20"/>
        <v>1360.9643312111427</v>
      </c>
      <c r="AC61">
        <f t="shared" ca="1" si="20"/>
        <v>1230.5927311380608</v>
      </c>
      <c r="AD61">
        <f t="shared" ca="1" si="20"/>
        <v>1230.5927311380613</v>
      </c>
      <c r="AE61">
        <f t="shared" ca="1" si="20"/>
        <v>956.71669201467876</v>
      </c>
      <c r="AF61">
        <f t="shared" ca="1" si="20"/>
        <v>1230.5927311380613</v>
      </c>
      <c r="AG61">
        <f t="shared" ca="1" si="20"/>
        <v>1360.9643312111432</v>
      </c>
      <c r="AH61">
        <f t="shared" ca="1" si="20"/>
        <v>909.73971081296975</v>
      </c>
      <c r="AI61">
        <f t="shared" ca="1" si="25"/>
        <v>1006.1194624136672</v>
      </c>
      <c r="AJ61">
        <f t="shared" ca="1" si="17"/>
        <v>1058.0732844912409</v>
      </c>
      <c r="AK61">
        <f t="shared" ca="1" si="17"/>
        <v>1294.1378648840334</v>
      </c>
      <c r="AL61">
        <f t="shared" ca="1" si="17"/>
        <v>1431.2415710013781</v>
      </c>
      <c r="AM61">
        <f t="shared" ca="1" si="17"/>
        <v>1360.9643312111427</v>
      </c>
      <c r="AN61">
        <f t="shared" ca="1" si="17"/>
        <v>1112.7098890109644</v>
      </c>
      <c r="AO61">
        <f t="shared" ca="1" si="24"/>
        <v>1058.0732844912407</v>
      </c>
      <c r="AP61">
        <f t="shared" ca="1" si="24"/>
        <v>1058.0732844912407</v>
      </c>
      <c r="AQ61">
        <f t="shared" ca="1" si="24"/>
        <v>1170.167809026693</v>
      </c>
      <c r="AR61">
        <f t="shared" ca="1" si="24"/>
        <v>1112.7098890109644</v>
      </c>
      <c r="AS61">
        <f t="shared" ca="1" si="24"/>
        <v>1294.1378648840334</v>
      </c>
      <c r="AT61">
        <f t="shared" ca="1" si="24"/>
        <v>1230.5927311380608</v>
      </c>
      <c r="AU61">
        <f t="shared" ca="1" si="24"/>
        <v>956.71669201467887</v>
      </c>
      <c r="AV61">
        <f t="shared" ca="1" si="24"/>
        <v>1058.0732844912411</v>
      </c>
      <c r="AW61">
        <f t="shared" ca="1" si="24"/>
        <v>1431.2415710013781</v>
      </c>
      <c r="AX61">
        <f t="shared" ca="1" si="24"/>
        <v>1058.0732844912411</v>
      </c>
      <c r="AY61">
        <f t="shared" ca="1" si="24"/>
        <v>1112.7098890109642</v>
      </c>
      <c r="AZ61">
        <f t="shared" ca="1" si="24"/>
        <v>1431.2415710013784</v>
      </c>
      <c r="BA61">
        <f t="shared" ca="1" si="24"/>
        <v>1112.7098890109644</v>
      </c>
      <c r="BB61">
        <f t="shared" ca="1" si="24"/>
        <v>865.06940700201301</v>
      </c>
      <c r="BC61">
        <f t="shared" ca="1" si="24"/>
        <v>1230.5927311380613</v>
      </c>
      <c r="BD61">
        <f t="shared" ca="1" si="24"/>
        <v>1112.7098890109644</v>
      </c>
      <c r="BE61">
        <f t="shared" ca="1" si="24"/>
        <v>1431.2415710013781</v>
      </c>
      <c r="BF61">
        <f t="shared" ca="1" si="24"/>
        <v>1112.7098890109644</v>
      </c>
      <c r="BG61">
        <f t="shared" ca="1" si="21"/>
        <v>1112.7098890109644</v>
      </c>
      <c r="BH61">
        <f t="shared" ca="1" si="21"/>
        <v>1431.2415710013781</v>
      </c>
      <c r="BI61">
        <f t="shared" ca="1" si="21"/>
        <v>1294.1378648840339</v>
      </c>
      <c r="BJ61">
        <f t="shared" ca="1" si="21"/>
        <v>1058.0732844912409</v>
      </c>
      <c r="BK61">
        <f t="shared" ca="1" si="21"/>
        <v>909.73971081296986</v>
      </c>
      <c r="BL61">
        <f t="shared" ca="1" si="21"/>
        <v>1230.5927311380606</v>
      </c>
      <c r="BM61">
        <f t="shared" ca="1" si="21"/>
        <v>1230.5927311380608</v>
      </c>
      <c r="BN61">
        <f t="shared" ca="1" si="21"/>
        <v>1112.7098890109644</v>
      </c>
      <c r="BO61">
        <f t="shared" ca="1" si="21"/>
        <v>1112.7098890109644</v>
      </c>
      <c r="BP61">
        <f t="shared" ca="1" si="21"/>
        <v>1360.9643312111427</v>
      </c>
      <c r="BQ61">
        <f t="shared" ca="1" si="21"/>
        <v>1112.7098890109644</v>
      </c>
      <c r="BR61">
        <f t="shared" ca="1" si="21"/>
        <v>1294.1378648840339</v>
      </c>
      <c r="BS61">
        <f t="shared" ca="1" si="21"/>
        <v>1112.7098890109644</v>
      </c>
      <c r="BT61">
        <f t="shared" ca="1" si="21"/>
        <v>1058.0732844912411</v>
      </c>
      <c r="BU61">
        <f t="shared" ca="1" si="21"/>
        <v>1006.1194624136668</v>
      </c>
      <c r="BV61">
        <f t="shared" ca="1" si="21"/>
        <v>1294.1378648840339</v>
      </c>
      <c r="BW61">
        <f t="shared" ca="1" si="23"/>
        <v>1112.7098890109642</v>
      </c>
      <c r="BX61">
        <f t="shared" ca="1" si="23"/>
        <v>1170.167809026693</v>
      </c>
      <c r="BY61">
        <f t="shared" ca="1" si="23"/>
        <v>1006.1194624136672</v>
      </c>
      <c r="BZ61">
        <f t="shared" ca="1" si="23"/>
        <v>1294.1378648840337</v>
      </c>
      <c r="CA61">
        <f t="shared" ca="1" si="23"/>
        <v>1431.2415710013784</v>
      </c>
      <c r="CB61">
        <f t="shared" ca="1" si="23"/>
        <v>1170.1678090266926</v>
      </c>
      <c r="CC61">
        <f t="shared" ca="1" si="23"/>
        <v>1360.9643312111427</v>
      </c>
      <c r="CD61">
        <f t="shared" ca="1" si="23"/>
        <v>956.71669201467887</v>
      </c>
      <c r="CE61">
        <f t="shared" ca="1" si="23"/>
        <v>1294.1378648840334</v>
      </c>
      <c r="CF61">
        <f t="shared" ca="1" si="23"/>
        <v>956.7166920146791</v>
      </c>
      <c r="CG61">
        <f t="shared" ca="1" si="23"/>
        <v>1058.0732844912411</v>
      </c>
      <c r="CH61">
        <f t="shared" ca="1" si="23"/>
        <v>1230.5927311380608</v>
      </c>
      <c r="CI61">
        <f t="shared" ca="1" si="23"/>
        <v>1360.9643312111427</v>
      </c>
      <c r="CJ61">
        <f t="shared" ca="1" si="23"/>
        <v>1170.167809026693</v>
      </c>
      <c r="CK61">
        <f t="shared" ca="1" si="23"/>
        <v>1294.1378648840339</v>
      </c>
      <c r="CL61">
        <f t="shared" ca="1" si="23"/>
        <v>1006.1194624136672</v>
      </c>
      <c r="CM61">
        <f t="shared" ca="1" si="19"/>
        <v>1431.2415710013784</v>
      </c>
      <c r="CN61">
        <f t="shared" ca="1" si="19"/>
        <v>1750.5629694824097</v>
      </c>
      <c r="CO61">
        <f t="shared" ca="1" si="19"/>
        <v>1360.9643312111432</v>
      </c>
      <c r="CP61">
        <f t="shared" ca="1" si="19"/>
        <v>1582.870334101578</v>
      </c>
      <c r="CQ61">
        <f t="shared" ca="1" si="19"/>
        <v>1170.1678090266935</v>
      </c>
      <c r="CR61">
        <f t="shared" ca="1" si="19"/>
        <v>1431.2415710013781</v>
      </c>
      <c r="CS61">
        <f t="shared" ca="1" si="19"/>
        <v>909.73971081296975</v>
      </c>
      <c r="CT61">
        <f t="shared" ca="1" si="19"/>
        <v>1582.870334101578</v>
      </c>
      <c r="CU61">
        <f t="shared" ca="1" si="18"/>
        <v>1058.0732844912411</v>
      </c>
      <c r="CV61">
        <f t="shared" ca="1" si="18"/>
        <v>1170.167809026693</v>
      </c>
      <c r="CW61">
        <f t="shared" ca="1" si="18"/>
        <v>1006.1194624136672</v>
      </c>
      <c r="CX61">
        <f t="shared" ca="1" si="18"/>
        <v>1170.167809026693</v>
      </c>
      <c r="CY61">
        <f t="shared" ca="1" si="18"/>
        <v>1058.0732844912411</v>
      </c>
    </row>
    <row r="62" spans="1:103">
      <c r="A62">
        <v>46</v>
      </c>
      <c r="B62">
        <v>46</v>
      </c>
      <c r="C62">
        <v>46</v>
      </c>
      <c r="D62">
        <f t="shared" ca="1" si="22"/>
        <v>1141.0772510686097</v>
      </c>
      <c r="E62">
        <f t="shared" ca="1" si="22"/>
        <v>981.10717245976264</v>
      </c>
      <c r="F62">
        <f t="shared" ca="1" si="22"/>
        <v>1141.0772510686097</v>
      </c>
      <c r="G62">
        <f t="shared" ca="1" si="22"/>
        <v>1543.5199256908284</v>
      </c>
      <c r="H62">
        <f t="shared" ca="1" si="22"/>
        <v>1327.1305413473522</v>
      </c>
      <c r="I62">
        <f t="shared" ca="1" si="22"/>
        <v>1623.2239395662305</v>
      </c>
      <c r="J62">
        <f t="shared" ca="1" si="22"/>
        <v>1707.043695468745</v>
      </c>
      <c r="K62">
        <f t="shared" ca="1" si="22"/>
        <v>1543.5199256908281</v>
      </c>
      <c r="L62">
        <f t="shared" ca="1" si="22"/>
        <v>1395.6606777721713</v>
      </c>
      <c r="M62">
        <f t="shared" ca="1" si="22"/>
        <v>1327.1305413473517</v>
      </c>
      <c r="N62">
        <f t="shared" ca="1" si="22"/>
        <v>1261.9653916081941</v>
      </c>
      <c r="O62">
        <f t="shared" ca="1" si="22"/>
        <v>1327.1305413473517</v>
      </c>
      <c r="P62">
        <f t="shared" ca="1" si="22"/>
        <v>1031.7694142523271</v>
      </c>
      <c r="Q62">
        <f t="shared" ca="1" si="22"/>
        <v>1200</v>
      </c>
      <c r="R62">
        <f t="shared" ca="1" si="22"/>
        <v>1623.2239395662305</v>
      </c>
      <c r="S62">
        <f t="shared" ca="1" si="20"/>
        <v>1327.1305413473522</v>
      </c>
      <c r="T62">
        <f t="shared" ca="1" si="20"/>
        <v>981.10717245976286</v>
      </c>
      <c r="U62">
        <f t="shared" ca="1" si="20"/>
        <v>1327.1305413473522</v>
      </c>
      <c r="V62">
        <f t="shared" ca="1" si="20"/>
        <v>1395.6606777721711</v>
      </c>
      <c r="W62">
        <f t="shared" ca="1" si="20"/>
        <v>1467.7295614807633</v>
      </c>
      <c r="X62">
        <f t="shared" ca="1" si="20"/>
        <v>932.93256279506875</v>
      </c>
      <c r="Y62">
        <f t="shared" ca="1" si="20"/>
        <v>1199.9999999999998</v>
      </c>
      <c r="Z62">
        <f t="shared" ca="1" si="20"/>
        <v>1623.2239395662309</v>
      </c>
      <c r="AA62">
        <f t="shared" ca="1" si="20"/>
        <v>1395.6606777721711</v>
      </c>
      <c r="AB62">
        <f t="shared" ca="1" si="20"/>
        <v>1395.6606777721711</v>
      </c>
      <c r="AC62">
        <f t="shared" ca="1" si="20"/>
        <v>1261.9653916081936</v>
      </c>
      <c r="AD62">
        <f t="shared" ca="1" si="20"/>
        <v>1261.9653916081941</v>
      </c>
      <c r="AE62">
        <f t="shared" ca="1" si="20"/>
        <v>981.10717245976252</v>
      </c>
      <c r="AF62">
        <f t="shared" ca="1" si="20"/>
        <v>1261.9653916081941</v>
      </c>
      <c r="AG62">
        <f t="shared" ca="1" si="20"/>
        <v>1395.6606777721715</v>
      </c>
      <c r="AH62">
        <f t="shared" ca="1" si="20"/>
        <v>887.12343682215874</v>
      </c>
      <c r="AI62">
        <f t="shared" ca="1" si="25"/>
        <v>981.10717245976286</v>
      </c>
      <c r="AJ62">
        <f t="shared" ca="1" si="25"/>
        <v>1031.7694142523271</v>
      </c>
      <c r="AK62">
        <f t="shared" ca="1" si="25"/>
        <v>1327.1305413473517</v>
      </c>
      <c r="AL62">
        <f t="shared" ca="1" si="25"/>
        <v>1395.6606777721711</v>
      </c>
      <c r="AM62">
        <f t="shared" ca="1" si="25"/>
        <v>1395.6606777721711</v>
      </c>
      <c r="AN62">
        <f t="shared" ca="1" si="25"/>
        <v>1141.0772510686097</v>
      </c>
      <c r="AO62">
        <f t="shared" ca="1" si="24"/>
        <v>1085.0477440885791</v>
      </c>
      <c r="AP62">
        <f t="shared" ca="1" si="24"/>
        <v>1031.7694142523269</v>
      </c>
      <c r="AQ62">
        <f t="shared" ca="1" si="24"/>
        <v>1199.9999999999995</v>
      </c>
      <c r="AR62">
        <f t="shared" ca="1" si="24"/>
        <v>1141.0772510686097</v>
      </c>
      <c r="AS62">
        <f t="shared" ca="1" si="24"/>
        <v>1261.9653916081936</v>
      </c>
      <c r="AT62">
        <f t="shared" ca="1" si="24"/>
        <v>1199.9999999999995</v>
      </c>
      <c r="AU62">
        <f t="shared" ca="1" si="24"/>
        <v>932.93256279506875</v>
      </c>
      <c r="AV62">
        <f t="shared" ca="1" si="24"/>
        <v>1031.7694142523274</v>
      </c>
      <c r="AW62">
        <f t="shared" ca="1" si="24"/>
        <v>1467.7295614807629</v>
      </c>
      <c r="AX62">
        <f t="shared" ca="1" si="24"/>
        <v>1085.0477440885795</v>
      </c>
      <c r="AY62">
        <f t="shared" ca="1" si="24"/>
        <v>1085.0477440885793</v>
      </c>
      <c r="AZ62">
        <f t="shared" ca="1" si="24"/>
        <v>1467.7295614807631</v>
      </c>
      <c r="BA62">
        <f t="shared" ca="1" si="24"/>
        <v>1085.0477440885795</v>
      </c>
      <c r="BB62">
        <f t="shared" ca="1" si="24"/>
        <v>843.56364387297208</v>
      </c>
      <c r="BC62">
        <f t="shared" ca="1" si="24"/>
        <v>1200</v>
      </c>
      <c r="BD62">
        <f t="shared" ca="1" si="24"/>
        <v>1141.0772510686097</v>
      </c>
      <c r="BE62">
        <f t="shared" ca="1" si="24"/>
        <v>1395.6606777721711</v>
      </c>
      <c r="BF62">
        <f t="shared" ca="1" si="24"/>
        <v>1141.0772510686097</v>
      </c>
      <c r="BG62">
        <f t="shared" ca="1" si="21"/>
        <v>1085.0477440885795</v>
      </c>
      <c r="BH62">
        <f t="shared" ca="1" si="21"/>
        <v>1395.6606777721711</v>
      </c>
      <c r="BI62">
        <f t="shared" ca="1" si="21"/>
        <v>1261.9653916081941</v>
      </c>
      <c r="BJ62">
        <f t="shared" ca="1" si="21"/>
        <v>1031.7694142523271</v>
      </c>
      <c r="BK62">
        <f t="shared" ca="1" si="21"/>
        <v>932.93256279506886</v>
      </c>
      <c r="BL62">
        <f t="shared" ca="1" si="21"/>
        <v>1199.9999999999993</v>
      </c>
      <c r="BM62">
        <f t="shared" ca="1" si="21"/>
        <v>1261.9653916081936</v>
      </c>
      <c r="BN62">
        <f t="shared" ca="1" si="21"/>
        <v>1085.0477440885795</v>
      </c>
      <c r="BO62">
        <f t="shared" ca="1" si="21"/>
        <v>1141.0772510686097</v>
      </c>
      <c r="BP62">
        <f t="shared" ca="1" si="21"/>
        <v>1395.6606777721711</v>
      </c>
      <c r="BQ62">
        <f t="shared" ca="1" si="21"/>
        <v>1141.0772510686097</v>
      </c>
      <c r="BR62">
        <f t="shared" ca="1" si="21"/>
        <v>1261.9653916081941</v>
      </c>
      <c r="BS62">
        <f t="shared" ca="1" si="21"/>
        <v>1141.0772510686097</v>
      </c>
      <c r="BT62">
        <f t="shared" ca="1" si="21"/>
        <v>1031.7694142523274</v>
      </c>
      <c r="BU62">
        <f t="shared" ca="1" si="21"/>
        <v>1031.7694142523269</v>
      </c>
      <c r="BV62">
        <f t="shared" ca="1" si="21"/>
        <v>1261.9653916081941</v>
      </c>
      <c r="BW62">
        <f t="shared" ca="1" si="23"/>
        <v>1141.0772510686095</v>
      </c>
      <c r="BX62">
        <f t="shared" ca="1" si="23"/>
        <v>1141.0772510686097</v>
      </c>
      <c r="BY62">
        <f t="shared" ca="1" si="23"/>
        <v>1031.7694142523274</v>
      </c>
      <c r="BZ62">
        <f t="shared" ca="1" si="23"/>
        <v>1327.1305413473519</v>
      </c>
      <c r="CA62">
        <f t="shared" ca="1" si="23"/>
        <v>1395.6606777721713</v>
      </c>
      <c r="CB62">
        <f t="shared" ca="1" si="23"/>
        <v>1141.0772510686093</v>
      </c>
      <c r="CC62">
        <f t="shared" ca="1" si="23"/>
        <v>1327.1305413473517</v>
      </c>
      <c r="CD62">
        <f t="shared" ca="1" si="23"/>
        <v>981.10717245976264</v>
      </c>
      <c r="CE62">
        <f t="shared" ca="1" si="23"/>
        <v>1261.9653916081936</v>
      </c>
      <c r="CF62">
        <f t="shared" ca="1" si="23"/>
        <v>981.10717245976286</v>
      </c>
      <c r="CG62">
        <f t="shared" ca="1" si="23"/>
        <v>1085.0477440885795</v>
      </c>
      <c r="CH62">
        <f t="shared" ca="1" si="23"/>
        <v>1261.9653916081936</v>
      </c>
      <c r="CI62">
        <f t="shared" ca="1" si="23"/>
        <v>1327.1305413473517</v>
      </c>
      <c r="CJ62">
        <f t="shared" ca="1" si="23"/>
        <v>1199.9999999999995</v>
      </c>
      <c r="CK62">
        <f t="shared" ca="1" si="23"/>
        <v>1261.9653916081941</v>
      </c>
      <c r="CL62">
        <f t="shared" ca="1" si="23"/>
        <v>981.10717245976286</v>
      </c>
      <c r="CM62">
        <f t="shared" ca="1" si="19"/>
        <v>1467.7295614807631</v>
      </c>
      <c r="CN62">
        <f t="shared" ca="1" si="19"/>
        <v>1707.0436954687448</v>
      </c>
      <c r="CO62">
        <f t="shared" ca="1" si="19"/>
        <v>1395.6606777721715</v>
      </c>
      <c r="CP62">
        <f t="shared" ca="1" si="19"/>
        <v>1543.5199256908281</v>
      </c>
      <c r="CQ62">
        <f t="shared" ca="1" si="19"/>
        <v>1200</v>
      </c>
      <c r="CR62">
        <f t="shared" ca="1" si="19"/>
        <v>1395.6606777721711</v>
      </c>
      <c r="CS62">
        <f t="shared" ca="1" si="19"/>
        <v>887.12343682215874</v>
      </c>
      <c r="CT62">
        <f t="shared" ca="1" si="19"/>
        <v>1543.5199256908281</v>
      </c>
      <c r="CU62">
        <f t="shared" ca="1" si="19"/>
        <v>1085.0477440885795</v>
      </c>
      <c r="CV62">
        <f t="shared" ca="1" si="19"/>
        <v>1199.9999999999995</v>
      </c>
      <c r="CW62">
        <f t="shared" ca="1" si="19"/>
        <v>981.10717245976286</v>
      </c>
      <c r="CX62">
        <f t="shared" ca="1" si="19"/>
        <v>1199.9999999999995</v>
      </c>
      <c r="CY62">
        <f t="shared" ca="1" si="19"/>
        <v>1031.7694142523274</v>
      </c>
    </row>
    <row r="63" spans="1:103">
      <c r="A63">
        <v>47</v>
      </c>
      <c r="B63">
        <v>47</v>
      </c>
      <c r="C63">
        <v>47</v>
      </c>
      <c r="D63">
        <f t="shared" ca="1" si="22"/>
        <v>1112.7098890109644</v>
      </c>
      <c r="E63">
        <f t="shared" ca="1" si="22"/>
        <v>956.71669201467887</v>
      </c>
      <c r="F63">
        <f t="shared" ca="1" si="22"/>
        <v>1170.167809026693</v>
      </c>
      <c r="G63">
        <f t="shared" ca="1" si="22"/>
        <v>1505.1477746955677</v>
      </c>
      <c r="H63">
        <f t="shared" ca="1" si="22"/>
        <v>1294.1378648840339</v>
      </c>
      <c r="I63">
        <f t="shared" ca="1" si="22"/>
        <v>1582.870334101578</v>
      </c>
      <c r="J63">
        <f t="shared" ca="1" si="22"/>
        <v>1750.5629694824099</v>
      </c>
      <c r="K63">
        <f t="shared" ca="1" si="22"/>
        <v>1582.870334101578</v>
      </c>
      <c r="L63">
        <f t="shared" ca="1" si="22"/>
        <v>1431.2415710013784</v>
      </c>
      <c r="M63">
        <f t="shared" ca="1" si="22"/>
        <v>1360.9643312111427</v>
      </c>
      <c r="N63">
        <f t="shared" ca="1" si="22"/>
        <v>1294.1378648840339</v>
      </c>
      <c r="O63">
        <f t="shared" ca="1" si="22"/>
        <v>1294.1378648840334</v>
      </c>
      <c r="P63">
        <f t="shared" ca="1" si="22"/>
        <v>1058.0732844912409</v>
      </c>
      <c r="Q63">
        <f t="shared" ca="1" si="22"/>
        <v>1230.5927311380613</v>
      </c>
      <c r="R63">
        <f t="shared" ca="1" si="22"/>
        <v>1664.6063175329091</v>
      </c>
      <c r="S63">
        <f t="shared" ca="1" si="20"/>
        <v>1294.1378648840339</v>
      </c>
      <c r="T63">
        <f t="shared" ca="1" si="20"/>
        <v>1006.1194624136671</v>
      </c>
      <c r="U63">
        <f t="shared" ca="1" si="20"/>
        <v>1294.1378648840339</v>
      </c>
      <c r="V63">
        <f t="shared" ca="1" si="20"/>
        <v>1431.2415710013781</v>
      </c>
      <c r="W63">
        <f t="shared" ca="1" si="20"/>
        <v>1505.1477746955679</v>
      </c>
      <c r="X63">
        <f t="shared" ca="1" si="20"/>
        <v>956.71669201467876</v>
      </c>
      <c r="Y63">
        <f t="shared" ca="1" si="20"/>
        <v>1170.1678090266932</v>
      </c>
      <c r="Z63">
        <f t="shared" ca="1" si="20"/>
        <v>1582.8703341015785</v>
      </c>
      <c r="AA63">
        <f t="shared" ca="1" si="20"/>
        <v>1360.9643312111427</v>
      </c>
      <c r="AB63">
        <f t="shared" ca="1" si="20"/>
        <v>1431.2415710013781</v>
      </c>
      <c r="AC63">
        <f t="shared" ca="1" si="20"/>
        <v>1230.5927311380608</v>
      </c>
      <c r="AD63">
        <f t="shared" ca="1" si="20"/>
        <v>1294.1378648840339</v>
      </c>
      <c r="AE63">
        <f t="shared" ca="1" si="20"/>
        <v>1006.1194624136667</v>
      </c>
      <c r="AF63">
        <f t="shared" ca="1" si="20"/>
        <v>1230.5927311380613</v>
      </c>
      <c r="AG63">
        <f t="shared" ca="1" si="20"/>
        <v>1360.9643312111432</v>
      </c>
      <c r="AH63">
        <f t="shared" ca="1" si="20"/>
        <v>865.06940700201312</v>
      </c>
      <c r="AI63">
        <f t="shared" ca="1" si="25"/>
        <v>1006.1194624136671</v>
      </c>
      <c r="AJ63">
        <f t="shared" ca="1" si="25"/>
        <v>1058.0732844912409</v>
      </c>
      <c r="AK63">
        <f t="shared" ca="1" si="25"/>
        <v>1294.1378648840334</v>
      </c>
      <c r="AL63">
        <f t="shared" ca="1" si="25"/>
        <v>1360.9643312111427</v>
      </c>
      <c r="AM63">
        <f t="shared" ca="1" si="25"/>
        <v>1360.9643312111427</v>
      </c>
      <c r="AN63">
        <f t="shared" ca="1" si="25"/>
        <v>1112.7098890109644</v>
      </c>
      <c r="AO63">
        <f t="shared" ca="1" si="24"/>
        <v>1058.0732844912407</v>
      </c>
      <c r="AP63">
        <f t="shared" ca="1" si="24"/>
        <v>1058.0732844912407</v>
      </c>
      <c r="AQ63">
        <f t="shared" ca="1" si="24"/>
        <v>1230.5927311380608</v>
      </c>
      <c r="AR63">
        <f t="shared" ca="1" si="24"/>
        <v>1170.167809026693</v>
      </c>
      <c r="AS63">
        <f t="shared" ca="1" si="24"/>
        <v>1230.5927311380608</v>
      </c>
      <c r="AT63">
        <f t="shared" ca="1" si="24"/>
        <v>1170.167809026693</v>
      </c>
      <c r="AU63">
        <f t="shared" ca="1" si="24"/>
        <v>909.73971081296975</v>
      </c>
      <c r="AV63">
        <f t="shared" ca="1" si="24"/>
        <v>1058.0732844912411</v>
      </c>
      <c r="AW63">
        <f t="shared" ca="1" si="24"/>
        <v>1505.1477746955675</v>
      </c>
      <c r="AX63">
        <f t="shared" ca="1" si="24"/>
        <v>1058.0732844912411</v>
      </c>
      <c r="AY63">
        <f t="shared" ca="1" si="24"/>
        <v>1112.7098890109642</v>
      </c>
      <c r="AZ63">
        <f t="shared" ca="1" si="24"/>
        <v>1505.1477746955677</v>
      </c>
      <c r="BA63">
        <f t="shared" ca="1" si="24"/>
        <v>1112.7098890109644</v>
      </c>
      <c r="BB63">
        <f t="shared" ca="1" si="24"/>
        <v>865.06940700201301</v>
      </c>
      <c r="BC63">
        <f t="shared" ca="1" si="24"/>
        <v>1170.1678090266935</v>
      </c>
      <c r="BD63">
        <f t="shared" ca="1" si="24"/>
        <v>1112.7098890109644</v>
      </c>
      <c r="BE63">
        <f t="shared" ca="1" si="24"/>
        <v>1360.9643312111427</v>
      </c>
      <c r="BF63">
        <f t="shared" ca="1" si="24"/>
        <v>1170.167809026693</v>
      </c>
      <c r="BG63">
        <f t="shared" ca="1" si="21"/>
        <v>1058.0732844912411</v>
      </c>
      <c r="BH63">
        <f t="shared" ca="1" si="21"/>
        <v>1360.9643312111427</v>
      </c>
      <c r="BI63">
        <f t="shared" ca="1" si="21"/>
        <v>1294.1378648840339</v>
      </c>
      <c r="BJ63">
        <f t="shared" ca="1" si="21"/>
        <v>1058.0732844912409</v>
      </c>
      <c r="BK63">
        <f t="shared" ca="1" si="21"/>
        <v>956.71669201467887</v>
      </c>
      <c r="BL63">
        <f t="shared" ca="1" si="21"/>
        <v>1170.1678090266928</v>
      </c>
      <c r="BM63">
        <f t="shared" ca="1" si="21"/>
        <v>1294.1378648840334</v>
      </c>
      <c r="BN63">
        <f t="shared" ca="1" si="21"/>
        <v>1058.0732844912411</v>
      </c>
      <c r="BO63">
        <f t="shared" ca="1" si="21"/>
        <v>1170.167809026693</v>
      </c>
      <c r="BP63">
        <f t="shared" ca="1" si="21"/>
        <v>1360.9643312111427</v>
      </c>
      <c r="BQ63">
        <f t="shared" ca="1" si="21"/>
        <v>1112.7098890109644</v>
      </c>
      <c r="BR63">
        <f t="shared" ca="1" si="21"/>
        <v>1294.1378648840339</v>
      </c>
      <c r="BS63">
        <f t="shared" ca="1" si="21"/>
        <v>1170.167809026693</v>
      </c>
      <c r="BT63">
        <f t="shared" ca="1" si="21"/>
        <v>1006.1194624136672</v>
      </c>
      <c r="BU63">
        <f t="shared" ca="1" si="21"/>
        <v>1006.1194624136668</v>
      </c>
      <c r="BV63">
        <f t="shared" ca="1" si="21"/>
        <v>1230.5927311380613</v>
      </c>
      <c r="BW63">
        <f t="shared" ca="1" si="23"/>
        <v>1112.7098890109642</v>
      </c>
      <c r="BX63">
        <f t="shared" ca="1" si="23"/>
        <v>1112.7098890109644</v>
      </c>
      <c r="BY63">
        <f t="shared" ca="1" si="23"/>
        <v>1058.0732844912411</v>
      </c>
      <c r="BZ63">
        <f t="shared" ca="1" si="23"/>
        <v>1360.964331211143</v>
      </c>
      <c r="CA63">
        <f t="shared" ca="1" si="23"/>
        <v>1360.964331211143</v>
      </c>
      <c r="CB63">
        <f t="shared" ca="1" si="23"/>
        <v>1112.7098890109639</v>
      </c>
      <c r="CC63">
        <f t="shared" ca="1" si="23"/>
        <v>1360.9643312111427</v>
      </c>
      <c r="CD63">
        <f t="shared" ca="1" si="23"/>
        <v>1006.1194624136668</v>
      </c>
      <c r="CE63">
        <f t="shared" ca="1" si="23"/>
        <v>1230.5927311380608</v>
      </c>
      <c r="CF63">
        <f t="shared" ca="1" si="23"/>
        <v>1006.1194624136671</v>
      </c>
      <c r="CG63">
        <f t="shared" ca="1" si="23"/>
        <v>1112.7098890109644</v>
      </c>
      <c r="CH63">
        <f t="shared" ca="1" si="23"/>
        <v>1294.1378648840334</v>
      </c>
      <c r="CI63">
        <f t="shared" ca="1" si="23"/>
        <v>1360.9643312111427</v>
      </c>
      <c r="CJ63">
        <f t="shared" ca="1" si="23"/>
        <v>1170.167809026693</v>
      </c>
      <c r="CK63">
        <f t="shared" ca="1" si="23"/>
        <v>1230.5927311380613</v>
      </c>
      <c r="CL63">
        <f t="shared" ca="1" si="23"/>
        <v>1006.1194624136671</v>
      </c>
      <c r="CM63">
        <f t="shared" ref="CM63:CY78" ca="1" si="26">CM62*(IF(RAND()&lt;$B$11,$B$9,$B$10))</f>
        <v>1505.1477746955677</v>
      </c>
      <c r="CN63">
        <f t="shared" ca="1" si="26"/>
        <v>1664.6063175329093</v>
      </c>
      <c r="CO63">
        <f t="shared" ca="1" si="26"/>
        <v>1431.2415710013786</v>
      </c>
      <c r="CP63">
        <f t="shared" ca="1" si="26"/>
        <v>1582.870334101578</v>
      </c>
      <c r="CQ63">
        <f t="shared" ca="1" si="26"/>
        <v>1230.5927311380613</v>
      </c>
      <c r="CR63">
        <f t="shared" ca="1" si="26"/>
        <v>1360.9643312111427</v>
      </c>
      <c r="CS63">
        <f t="shared" ca="1" si="26"/>
        <v>865.06940700201312</v>
      </c>
      <c r="CT63">
        <f t="shared" ca="1" si="26"/>
        <v>1582.870334101578</v>
      </c>
      <c r="CU63">
        <f t="shared" ca="1" si="26"/>
        <v>1112.7098890109644</v>
      </c>
      <c r="CV63">
        <f t="shared" ca="1" si="26"/>
        <v>1230.5927311380608</v>
      </c>
      <c r="CW63">
        <f t="shared" ca="1" si="26"/>
        <v>956.7166920146791</v>
      </c>
      <c r="CX63">
        <f t="shared" ca="1" si="26"/>
        <v>1230.5927311380608</v>
      </c>
      <c r="CY63">
        <f t="shared" ca="1" si="26"/>
        <v>1006.1194624136672</v>
      </c>
    </row>
    <row r="64" spans="1:103">
      <c r="A64">
        <v>48</v>
      </c>
      <c r="B64">
        <v>48</v>
      </c>
      <c r="C64">
        <v>48</v>
      </c>
      <c r="D64">
        <f t="shared" ca="1" si="22"/>
        <v>1141.0772510686097</v>
      </c>
      <c r="E64">
        <f t="shared" ca="1" si="22"/>
        <v>981.10717245976264</v>
      </c>
      <c r="F64">
        <f t="shared" ca="1" si="22"/>
        <v>1199.9999999999995</v>
      </c>
      <c r="G64">
        <f t="shared" ca="1" si="22"/>
        <v>1543.5199256908284</v>
      </c>
      <c r="H64">
        <f t="shared" ca="1" si="22"/>
        <v>1261.9653916081941</v>
      </c>
      <c r="I64">
        <f t="shared" ca="1" si="22"/>
        <v>1623.2239395662305</v>
      </c>
      <c r="J64">
        <f t="shared" ca="1" si="22"/>
        <v>1707.043695468745</v>
      </c>
      <c r="K64">
        <f t="shared" ca="1" si="22"/>
        <v>1623.2239395662305</v>
      </c>
      <c r="L64">
        <f t="shared" ca="1" si="22"/>
        <v>1467.7295614807631</v>
      </c>
      <c r="M64">
        <f t="shared" ca="1" si="22"/>
        <v>1327.1305413473517</v>
      </c>
      <c r="N64">
        <f t="shared" ca="1" si="22"/>
        <v>1261.9653916081941</v>
      </c>
      <c r="O64">
        <f t="shared" ca="1" si="22"/>
        <v>1261.9653916081936</v>
      </c>
      <c r="P64">
        <f t="shared" ca="1" si="22"/>
        <v>1085.0477440885793</v>
      </c>
      <c r="Q64">
        <f t="shared" ca="1" si="22"/>
        <v>1200</v>
      </c>
      <c r="R64">
        <f t="shared" ca="1" si="22"/>
        <v>1707.0436954687445</v>
      </c>
      <c r="S64">
        <f t="shared" ca="1" si="20"/>
        <v>1261.9653916081941</v>
      </c>
      <c r="T64">
        <f t="shared" ca="1" si="20"/>
        <v>981.10717245976275</v>
      </c>
      <c r="U64">
        <f t="shared" ca="1" si="20"/>
        <v>1327.1305413473522</v>
      </c>
      <c r="V64">
        <f t="shared" ca="1" si="20"/>
        <v>1395.6606777721711</v>
      </c>
      <c r="W64">
        <f t="shared" ca="1" si="20"/>
        <v>1543.5199256908286</v>
      </c>
      <c r="X64">
        <f t="shared" ca="1" si="20"/>
        <v>932.93256279506875</v>
      </c>
      <c r="Y64">
        <f t="shared" ca="1" si="20"/>
        <v>1199.9999999999998</v>
      </c>
      <c r="Z64">
        <f t="shared" ca="1" si="20"/>
        <v>1623.2239395662309</v>
      </c>
      <c r="AA64">
        <f t="shared" ca="1" si="20"/>
        <v>1395.6606777721711</v>
      </c>
      <c r="AB64">
        <f t="shared" ca="1" si="20"/>
        <v>1395.6606777721711</v>
      </c>
      <c r="AC64">
        <f t="shared" ca="1" si="20"/>
        <v>1261.9653916081936</v>
      </c>
      <c r="AD64">
        <f t="shared" ca="1" si="20"/>
        <v>1327.1305413473522</v>
      </c>
      <c r="AE64">
        <f t="shared" ca="1" si="20"/>
        <v>981.10717245976252</v>
      </c>
      <c r="AF64">
        <f t="shared" ca="1" si="20"/>
        <v>1261.9653916081941</v>
      </c>
      <c r="AG64">
        <f t="shared" ca="1" si="20"/>
        <v>1395.6606777721715</v>
      </c>
      <c r="AH64">
        <f t="shared" ca="1" si="20"/>
        <v>887.12343682215874</v>
      </c>
      <c r="AI64">
        <f t="shared" ca="1" si="25"/>
        <v>981.10717245976275</v>
      </c>
      <c r="AJ64">
        <f t="shared" ca="1" si="25"/>
        <v>1031.7694142523271</v>
      </c>
      <c r="AK64">
        <f t="shared" ca="1" si="25"/>
        <v>1327.1305413473517</v>
      </c>
      <c r="AL64">
        <f t="shared" ca="1" si="25"/>
        <v>1395.6606777721711</v>
      </c>
      <c r="AM64">
        <f t="shared" ca="1" si="25"/>
        <v>1327.1305413473517</v>
      </c>
      <c r="AN64">
        <f t="shared" ca="1" si="25"/>
        <v>1085.0477440885795</v>
      </c>
      <c r="AO64">
        <f t="shared" ca="1" si="24"/>
        <v>1031.7694142523269</v>
      </c>
      <c r="AP64">
        <f t="shared" ca="1" si="24"/>
        <v>1085.0477440885791</v>
      </c>
      <c r="AQ64">
        <f t="shared" ca="1" si="24"/>
        <v>1199.9999999999995</v>
      </c>
      <c r="AR64">
        <f t="shared" ca="1" si="24"/>
        <v>1141.0772510686097</v>
      </c>
      <c r="AS64">
        <f t="shared" ca="1" si="24"/>
        <v>1261.9653916081936</v>
      </c>
      <c r="AT64">
        <f t="shared" ca="1" si="24"/>
        <v>1141.0772510686097</v>
      </c>
      <c r="AU64">
        <f t="shared" ca="1" si="24"/>
        <v>887.12343682215874</v>
      </c>
      <c r="AV64">
        <f t="shared" ca="1" si="24"/>
        <v>1085.0477440885795</v>
      </c>
      <c r="AW64">
        <f t="shared" ca="1" si="24"/>
        <v>1467.7295614807629</v>
      </c>
      <c r="AX64">
        <f t="shared" ca="1" si="24"/>
        <v>1085.0477440885795</v>
      </c>
      <c r="AY64">
        <f t="shared" ca="1" si="24"/>
        <v>1085.0477440885793</v>
      </c>
      <c r="AZ64">
        <f t="shared" ca="1" si="24"/>
        <v>1467.7295614807629</v>
      </c>
      <c r="BA64">
        <f t="shared" ca="1" si="24"/>
        <v>1141.0772510686097</v>
      </c>
      <c r="BB64">
        <f t="shared" ca="1" si="24"/>
        <v>887.12343682215862</v>
      </c>
      <c r="BC64">
        <f t="shared" ca="1" si="24"/>
        <v>1200</v>
      </c>
      <c r="BD64">
        <f t="shared" ca="1" si="24"/>
        <v>1141.0772510686097</v>
      </c>
      <c r="BE64">
        <f t="shared" ca="1" si="24"/>
        <v>1327.1305413473517</v>
      </c>
      <c r="BF64">
        <f t="shared" ca="1" si="24"/>
        <v>1199.9999999999995</v>
      </c>
      <c r="BG64">
        <f t="shared" ca="1" si="21"/>
        <v>1085.0477440885795</v>
      </c>
      <c r="BH64">
        <f t="shared" ca="1" si="21"/>
        <v>1327.1305413473517</v>
      </c>
      <c r="BI64">
        <f t="shared" ca="1" si="21"/>
        <v>1261.9653916081941</v>
      </c>
      <c r="BJ64">
        <f t="shared" ca="1" si="21"/>
        <v>1085.0477440885793</v>
      </c>
      <c r="BK64">
        <f t="shared" ca="1" si="21"/>
        <v>932.93256279506875</v>
      </c>
      <c r="BL64">
        <f t="shared" ca="1" si="21"/>
        <v>1199.9999999999993</v>
      </c>
      <c r="BM64">
        <f t="shared" ca="1" si="21"/>
        <v>1327.1305413473517</v>
      </c>
      <c r="BN64">
        <f t="shared" ca="1" si="21"/>
        <v>1031.7694142523274</v>
      </c>
      <c r="BO64">
        <f t="shared" ca="1" si="21"/>
        <v>1199.9999999999995</v>
      </c>
      <c r="BP64">
        <f t="shared" ca="1" si="21"/>
        <v>1327.1305413473517</v>
      </c>
      <c r="BQ64">
        <f t="shared" ca="1" si="21"/>
        <v>1085.0477440885795</v>
      </c>
      <c r="BR64">
        <f t="shared" ca="1" si="21"/>
        <v>1327.1305413473522</v>
      </c>
      <c r="BS64">
        <f t="shared" ca="1" si="21"/>
        <v>1141.0772510686097</v>
      </c>
      <c r="BT64">
        <f t="shared" ca="1" si="21"/>
        <v>1031.7694142523274</v>
      </c>
      <c r="BU64">
        <f t="shared" ca="1" si="21"/>
        <v>981.10717245976264</v>
      </c>
      <c r="BV64">
        <f t="shared" ref="BV64:CK79" ca="1" si="27">BV63*(IF(RAND()&lt;$B$11,$B$9,$B$10))</f>
        <v>1200</v>
      </c>
      <c r="BW64">
        <f t="shared" ca="1" si="23"/>
        <v>1085.0477440885793</v>
      </c>
      <c r="BX64">
        <f t="shared" ca="1" si="23"/>
        <v>1141.0772510686097</v>
      </c>
      <c r="BY64">
        <f t="shared" ca="1" si="23"/>
        <v>1085.0477440885795</v>
      </c>
      <c r="BZ64">
        <f t="shared" ca="1" si="23"/>
        <v>1327.1305413473519</v>
      </c>
      <c r="CA64">
        <f t="shared" ca="1" si="23"/>
        <v>1395.6606777721713</v>
      </c>
      <c r="CB64">
        <f t="shared" ca="1" si="23"/>
        <v>1085.0477440885791</v>
      </c>
      <c r="CC64">
        <f t="shared" ca="1" si="23"/>
        <v>1395.6606777721711</v>
      </c>
      <c r="CD64">
        <f t="shared" ca="1" si="23"/>
        <v>1031.7694142523269</v>
      </c>
      <c r="CE64">
        <f t="shared" ca="1" si="23"/>
        <v>1199.9999999999995</v>
      </c>
      <c r="CF64">
        <f t="shared" ca="1" si="23"/>
        <v>981.10717245976275</v>
      </c>
      <c r="CG64">
        <f t="shared" ca="1" si="23"/>
        <v>1085.0477440885795</v>
      </c>
      <c r="CH64">
        <f t="shared" ca="1" si="23"/>
        <v>1261.9653916081936</v>
      </c>
      <c r="CI64">
        <f t="shared" ca="1" si="23"/>
        <v>1395.6606777721711</v>
      </c>
      <c r="CJ64">
        <f t="shared" ca="1" si="23"/>
        <v>1141.0772510686097</v>
      </c>
      <c r="CK64">
        <f t="shared" ca="1" si="23"/>
        <v>1261.9653916081941</v>
      </c>
      <c r="CL64">
        <f t="shared" ca="1" si="23"/>
        <v>981.10717245976275</v>
      </c>
      <c r="CM64">
        <f t="shared" ca="1" si="26"/>
        <v>1467.7295614807629</v>
      </c>
      <c r="CN64">
        <f t="shared" ca="1" si="26"/>
        <v>1623.2239395662307</v>
      </c>
      <c r="CO64">
        <f t="shared" ca="1" si="26"/>
        <v>1395.6606777721715</v>
      </c>
      <c r="CP64">
        <f t="shared" ca="1" si="26"/>
        <v>1543.5199256908281</v>
      </c>
      <c r="CQ64">
        <f t="shared" ca="1" si="26"/>
        <v>1200</v>
      </c>
      <c r="CR64">
        <f t="shared" ca="1" si="26"/>
        <v>1327.1305413473517</v>
      </c>
      <c r="CS64">
        <f t="shared" ca="1" si="26"/>
        <v>887.12343682215874</v>
      </c>
      <c r="CT64">
        <f t="shared" ca="1" si="26"/>
        <v>1623.2239395662305</v>
      </c>
      <c r="CU64">
        <f t="shared" ca="1" si="26"/>
        <v>1085.0477440885795</v>
      </c>
      <c r="CV64">
        <f t="shared" ca="1" si="26"/>
        <v>1261.9653916081936</v>
      </c>
      <c r="CW64">
        <f t="shared" ca="1" si="26"/>
        <v>981.10717245976286</v>
      </c>
      <c r="CX64">
        <f t="shared" ca="1" si="26"/>
        <v>1199.9999999999995</v>
      </c>
      <c r="CY64">
        <f t="shared" ca="1" si="26"/>
        <v>1031.7694142523274</v>
      </c>
    </row>
    <row r="65" spans="1:103">
      <c r="A65">
        <v>49</v>
      </c>
      <c r="B65">
        <v>49</v>
      </c>
      <c r="C65">
        <v>49</v>
      </c>
      <c r="D65">
        <f t="shared" ca="1" si="22"/>
        <v>1112.7098890109644</v>
      </c>
      <c r="E65">
        <f t="shared" ca="1" si="22"/>
        <v>956.71669201467887</v>
      </c>
      <c r="F65">
        <f t="shared" ca="1" si="22"/>
        <v>1170.167809026693</v>
      </c>
      <c r="G65">
        <f t="shared" ca="1" si="22"/>
        <v>1505.1477746955677</v>
      </c>
      <c r="H65">
        <f t="shared" ca="1" si="22"/>
        <v>1294.1378648840339</v>
      </c>
      <c r="I65">
        <f t="shared" ca="1" si="22"/>
        <v>1664.6063175329091</v>
      </c>
      <c r="J65">
        <f t="shared" ca="1" si="22"/>
        <v>1664.6063175329095</v>
      </c>
      <c r="K65">
        <f t="shared" ca="1" si="22"/>
        <v>1664.6063175329091</v>
      </c>
      <c r="L65">
        <f t="shared" ca="1" si="22"/>
        <v>1431.2415710013784</v>
      </c>
      <c r="M65">
        <f t="shared" ca="1" si="22"/>
        <v>1294.1378648840334</v>
      </c>
      <c r="N65">
        <f t="shared" ca="1" si="22"/>
        <v>1230.5927311380613</v>
      </c>
      <c r="O65">
        <f t="shared" ca="1" si="22"/>
        <v>1230.5927311380608</v>
      </c>
      <c r="P65">
        <f t="shared" ca="1" si="22"/>
        <v>1058.0732844912409</v>
      </c>
      <c r="Q65">
        <f t="shared" ca="1" si="22"/>
        <v>1230.5927311380613</v>
      </c>
      <c r="R65">
        <f t="shared" ca="1" si="22"/>
        <v>1750.5629694824095</v>
      </c>
      <c r="S65">
        <f t="shared" ca="1" si="22"/>
        <v>1294.1378648840339</v>
      </c>
      <c r="T65">
        <f t="shared" ref="T65:AI80" ca="1" si="28">T64*(IF(RAND()&lt;$B$11,$B$9,$B$10))</f>
        <v>1006.119462413667</v>
      </c>
      <c r="U65">
        <f t="shared" ca="1" si="28"/>
        <v>1294.1378648840339</v>
      </c>
      <c r="V65">
        <f t="shared" ca="1" si="28"/>
        <v>1431.2415710013781</v>
      </c>
      <c r="W65">
        <f t="shared" ca="1" si="28"/>
        <v>1582.8703341015785</v>
      </c>
      <c r="X65">
        <f t="shared" ca="1" si="28"/>
        <v>909.73971081296975</v>
      </c>
      <c r="Y65">
        <f t="shared" ca="1" si="28"/>
        <v>1230.592731138061</v>
      </c>
      <c r="Z65">
        <f t="shared" ca="1" si="28"/>
        <v>1582.8703341015785</v>
      </c>
      <c r="AA65">
        <f t="shared" ca="1" si="28"/>
        <v>1360.9643312111427</v>
      </c>
      <c r="AB65">
        <f t="shared" ca="1" si="28"/>
        <v>1431.2415710013781</v>
      </c>
      <c r="AC65">
        <f t="shared" ca="1" si="28"/>
        <v>1230.5927311380608</v>
      </c>
      <c r="AD65">
        <f t="shared" ca="1" si="28"/>
        <v>1360.9643312111432</v>
      </c>
      <c r="AE65">
        <f t="shared" ca="1" si="28"/>
        <v>1006.1194624136667</v>
      </c>
      <c r="AF65">
        <f t="shared" ca="1" si="28"/>
        <v>1294.1378648840339</v>
      </c>
      <c r="AG65">
        <f t="shared" ca="1" si="28"/>
        <v>1431.2415710013786</v>
      </c>
      <c r="AH65">
        <f t="shared" ca="1" si="28"/>
        <v>865.06940700201312</v>
      </c>
      <c r="AI65">
        <f t="shared" ca="1" si="25"/>
        <v>1006.119462413667</v>
      </c>
      <c r="AJ65">
        <f t="shared" ca="1" si="25"/>
        <v>1058.0732844912409</v>
      </c>
      <c r="AK65">
        <f t="shared" ca="1" si="25"/>
        <v>1294.1378648840334</v>
      </c>
      <c r="AL65">
        <f t="shared" ca="1" si="25"/>
        <v>1431.2415710013781</v>
      </c>
      <c r="AM65">
        <f t="shared" ca="1" si="25"/>
        <v>1360.9643312111427</v>
      </c>
      <c r="AN65">
        <f t="shared" ca="1" si="25"/>
        <v>1058.0732844912411</v>
      </c>
      <c r="AO65">
        <f t="shared" ca="1" si="24"/>
        <v>1006.1194624136668</v>
      </c>
      <c r="AP65">
        <f t="shared" ca="1" si="24"/>
        <v>1058.0732844912407</v>
      </c>
      <c r="AQ65">
        <f t="shared" ca="1" si="24"/>
        <v>1230.5927311380608</v>
      </c>
      <c r="AR65">
        <f t="shared" ca="1" si="24"/>
        <v>1112.7098890109644</v>
      </c>
      <c r="AS65">
        <f t="shared" ca="1" si="24"/>
        <v>1230.5927311380608</v>
      </c>
      <c r="AT65">
        <f t="shared" ca="1" si="24"/>
        <v>1112.7098890109644</v>
      </c>
      <c r="AU65">
        <f t="shared" ca="1" si="24"/>
        <v>865.06940700201312</v>
      </c>
      <c r="AV65">
        <f t="shared" ca="1" si="24"/>
        <v>1058.0732844912411</v>
      </c>
      <c r="AW65">
        <f t="shared" ca="1" si="24"/>
        <v>1505.1477746955675</v>
      </c>
      <c r="AX65">
        <f t="shared" ca="1" si="24"/>
        <v>1112.7098890109644</v>
      </c>
      <c r="AY65">
        <f t="shared" ca="1" si="24"/>
        <v>1112.7098890109642</v>
      </c>
      <c r="AZ65">
        <f t="shared" ca="1" si="24"/>
        <v>1431.2415710013781</v>
      </c>
      <c r="BA65">
        <f t="shared" ca="1" si="24"/>
        <v>1170.167809026693</v>
      </c>
      <c r="BB65">
        <f t="shared" ca="1" si="24"/>
        <v>909.73971081296963</v>
      </c>
      <c r="BC65">
        <f t="shared" ca="1" si="24"/>
        <v>1230.5927311380613</v>
      </c>
      <c r="BD65">
        <f t="shared" ca="1" si="24"/>
        <v>1170.167809026693</v>
      </c>
      <c r="BE65">
        <f t="shared" ca="1" si="24"/>
        <v>1360.9643312111427</v>
      </c>
      <c r="BF65">
        <f t="shared" ca="1" si="24"/>
        <v>1170.167809026693</v>
      </c>
      <c r="BG65">
        <f t="shared" ref="BG65:BV80" ca="1" si="29">BG64*(IF(RAND()&lt;$B$11,$B$9,$B$10))</f>
        <v>1112.7098890109644</v>
      </c>
      <c r="BH65">
        <f t="shared" ca="1" si="29"/>
        <v>1360.9643312111427</v>
      </c>
      <c r="BI65">
        <f t="shared" ca="1" si="29"/>
        <v>1294.1378648840339</v>
      </c>
      <c r="BJ65">
        <f t="shared" ca="1" si="29"/>
        <v>1112.7098890109642</v>
      </c>
      <c r="BK65">
        <f t="shared" ca="1" si="29"/>
        <v>909.73971081296975</v>
      </c>
      <c r="BL65">
        <f t="shared" ca="1" si="29"/>
        <v>1230.5927311380606</v>
      </c>
      <c r="BM65">
        <f t="shared" ca="1" si="29"/>
        <v>1294.1378648840334</v>
      </c>
      <c r="BN65">
        <f t="shared" ca="1" si="29"/>
        <v>1058.0732844912411</v>
      </c>
      <c r="BO65">
        <f t="shared" ca="1" si="29"/>
        <v>1230.5927311380608</v>
      </c>
      <c r="BP65">
        <f t="shared" ca="1" si="29"/>
        <v>1294.1378648840334</v>
      </c>
      <c r="BQ65">
        <f t="shared" ca="1" si="29"/>
        <v>1058.0732844912411</v>
      </c>
      <c r="BR65">
        <f t="shared" ca="1" si="29"/>
        <v>1294.1378648840339</v>
      </c>
      <c r="BS65">
        <f t="shared" ca="1" si="29"/>
        <v>1170.167809026693</v>
      </c>
      <c r="BT65">
        <f t="shared" ca="1" si="29"/>
        <v>1058.0732844912411</v>
      </c>
      <c r="BU65">
        <f t="shared" ca="1" si="29"/>
        <v>956.71669201467887</v>
      </c>
      <c r="BV65">
        <f t="shared" ca="1" si="27"/>
        <v>1230.5927311380613</v>
      </c>
      <c r="BW65">
        <f t="shared" ca="1" si="23"/>
        <v>1112.7098890109642</v>
      </c>
      <c r="BX65">
        <f t="shared" ca="1" si="23"/>
        <v>1170.167809026693</v>
      </c>
      <c r="BY65">
        <f t="shared" ca="1" si="23"/>
        <v>1058.0732844912411</v>
      </c>
      <c r="BZ65">
        <f t="shared" ca="1" si="23"/>
        <v>1294.1378648840337</v>
      </c>
      <c r="CA65">
        <f t="shared" ca="1" si="23"/>
        <v>1360.964331211143</v>
      </c>
      <c r="CB65">
        <f t="shared" ca="1" si="23"/>
        <v>1058.0732844912407</v>
      </c>
      <c r="CC65">
        <f t="shared" ca="1" si="23"/>
        <v>1360.9643312111427</v>
      </c>
      <c r="CD65">
        <f t="shared" ca="1" si="23"/>
        <v>1006.1194624136668</v>
      </c>
      <c r="CE65">
        <f t="shared" ca="1" si="23"/>
        <v>1170.167809026693</v>
      </c>
      <c r="CF65">
        <f t="shared" ca="1" si="23"/>
        <v>956.71669201467898</v>
      </c>
      <c r="CG65">
        <f t="shared" ca="1" si="23"/>
        <v>1112.7098890109644</v>
      </c>
      <c r="CH65">
        <f t="shared" ca="1" si="23"/>
        <v>1294.1378648840334</v>
      </c>
      <c r="CI65">
        <f t="shared" ca="1" si="23"/>
        <v>1431.2415710013781</v>
      </c>
      <c r="CJ65">
        <f t="shared" ca="1" si="23"/>
        <v>1112.7098890109644</v>
      </c>
      <c r="CK65">
        <f t="shared" ca="1" si="23"/>
        <v>1294.1378648840339</v>
      </c>
      <c r="CL65">
        <f t="shared" ca="1" si="23"/>
        <v>956.71669201467898</v>
      </c>
      <c r="CM65">
        <f t="shared" ca="1" si="26"/>
        <v>1431.2415710013781</v>
      </c>
      <c r="CN65">
        <f t="shared" ca="1" si="26"/>
        <v>1664.6063175329093</v>
      </c>
      <c r="CO65">
        <f t="shared" ca="1" si="26"/>
        <v>1431.2415710013786</v>
      </c>
      <c r="CP65">
        <f t="shared" ca="1" si="26"/>
        <v>1582.870334101578</v>
      </c>
      <c r="CQ65">
        <f t="shared" ca="1" si="26"/>
        <v>1170.1678090266935</v>
      </c>
      <c r="CR65">
        <f t="shared" ca="1" si="26"/>
        <v>1360.9643312111427</v>
      </c>
      <c r="CS65">
        <f t="shared" ca="1" si="26"/>
        <v>909.73971081296975</v>
      </c>
      <c r="CT65">
        <f t="shared" ca="1" si="26"/>
        <v>1582.870334101578</v>
      </c>
      <c r="CU65">
        <f t="shared" ca="1" si="26"/>
        <v>1112.7098890109644</v>
      </c>
      <c r="CV65">
        <f t="shared" ca="1" si="26"/>
        <v>1230.5927311380608</v>
      </c>
      <c r="CW65">
        <f t="shared" ca="1" si="26"/>
        <v>956.7166920146791</v>
      </c>
      <c r="CX65">
        <f t="shared" ca="1" si="26"/>
        <v>1170.167809026693</v>
      </c>
      <c r="CY65">
        <f t="shared" ca="1" si="26"/>
        <v>1006.1194624136672</v>
      </c>
    </row>
    <row r="66" spans="1:103">
      <c r="A66">
        <v>50</v>
      </c>
      <c r="B66">
        <v>50</v>
      </c>
      <c r="C66">
        <v>50</v>
      </c>
      <c r="D66">
        <f t="shared" ref="D66:S81" ca="1" si="30">D65*(IF(RAND()&lt;$B$11,$B$9,$B$10))</f>
        <v>1085.0477440885795</v>
      </c>
      <c r="E66">
        <f t="shared" ca="1" si="30"/>
        <v>932.93256279506875</v>
      </c>
      <c r="F66">
        <f t="shared" ca="1" si="30"/>
        <v>1141.0772510686097</v>
      </c>
      <c r="G66">
        <f t="shared" ca="1" si="30"/>
        <v>1543.5199256908284</v>
      </c>
      <c r="H66">
        <f t="shared" ca="1" si="30"/>
        <v>1327.1305413473522</v>
      </c>
      <c r="I66">
        <f t="shared" ca="1" si="30"/>
        <v>1707.0436954687445</v>
      </c>
      <c r="J66">
        <f t="shared" ca="1" si="30"/>
        <v>1623.2239395662309</v>
      </c>
      <c r="K66">
        <f t="shared" ca="1" si="30"/>
        <v>1623.2239395662305</v>
      </c>
      <c r="L66">
        <f t="shared" ca="1" si="30"/>
        <v>1395.6606777721713</v>
      </c>
      <c r="M66">
        <f t="shared" ca="1" si="30"/>
        <v>1261.9653916081936</v>
      </c>
      <c r="N66">
        <f t="shared" ca="1" si="30"/>
        <v>1200</v>
      </c>
      <c r="O66">
        <f t="shared" ca="1" si="30"/>
        <v>1199.9999999999995</v>
      </c>
      <c r="P66">
        <f t="shared" ca="1" si="30"/>
        <v>1031.7694142523271</v>
      </c>
      <c r="Q66">
        <f t="shared" ca="1" si="30"/>
        <v>1261.9653916081941</v>
      </c>
      <c r="R66">
        <f t="shared" ca="1" si="30"/>
        <v>1795.1917213704276</v>
      </c>
      <c r="S66">
        <f t="shared" ca="1" si="30"/>
        <v>1261.9653916081941</v>
      </c>
      <c r="T66">
        <f t="shared" ca="1" si="28"/>
        <v>981.10717245976264</v>
      </c>
      <c r="U66">
        <f t="shared" ca="1" si="28"/>
        <v>1327.1305413473522</v>
      </c>
      <c r="V66">
        <f t="shared" ca="1" si="28"/>
        <v>1395.6606777721711</v>
      </c>
      <c r="W66">
        <f t="shared" ca="1" si="28"/>
        <v>1543.5199256908286</v>
      </c>
      <c r="X66">
        <f t="shared" ca="1" si="28"/>
        <v>887.12343682215874</v>
      </c>
      <c r="Y66">
        <f t="shared" ca="1" si="28"/>
        <v>1261.9653916081938</v>
      </c>
      <c r="Z66">
        <f t="shared" ca="1" si="28"/>
        <v>1543.5199256908286</v>
      </c>
      <c r="AA66">
        <f t="shared" ca="1" si="28"/>
        <v>1395.6606777721711</v>
      </c>
      <c r="AB66">
        <f t="shared" ca="1" si="28"/>
        <v>1467.7295614807629</v>
      </c>
      <c r="AC66">
        <f t="shared" ca="1" si="28"/>
        <v>1199.9999999999995</v>
      </c>
      <c r="AD66">
        <f t="shared" ca="1" si="28"/>
        <v>1327.1305413473522</v>
      </c>
      <c r="AE66">
        <f t="shared" ca="1" si="28"/>
        <v>1031.7694142523269</v>
      </c>
      <c r="AF66">
        <f t="shared" ca="1" si="28"/>
        <v>1327.1305413473522</v>
      </c>
      <c r="AG66">
        <f t="shared" ca="1" si="28"/>
        <v>1395.6606777721715</v>
      </c>
      <c r="AH66">
        <f t="shared" ca="1" si="28"/>
        <v>887.12343682215874</v>
      </c>
      <c r="AI66">
        <f t="shared" ca="1" si="25"/>
        <v>1031.7694142523271</v>
      </c>
      <c r="AJ66">
        <f t="shared" ca="1" si="25"/>
        <v>1031.7694142523271</v>
      </c>
      <c r="AK66">
        <f t="shared" ca="1" si="25"/>
        <v>1327.1305413473517</v>
      </c>
      <c r="AL66">
        <f t="shared" ca="1" si="25"/>
        <v>1395.6606777721711</v>
      </c>
      <c r="AM66">
        <f t="shared" ca="1" si="25"/>
        <v>1395.6606777721711</v>
      </c>
      <c r="AN66">
        <f t="shared" ca="1" si="25"/>
        <v>1085.0477440885795</v>
      </c>
      <c r="AO66">
        <f t="shared" ca="1" si="24"/>
        <v>1031.7694142523269</v>
      </c>
      <c r="AP66">
        <f t="shared" ca="1" si="24"/>
        <v>1085.0477440885791</v>
      </c>
      <c r="AQ66">
        <f t="shared" ca="1" si="24"/>
        <v>1199.9999999999995</v>
      </c>
      <c r="AR66">
        <f t="shared" ca="1" si="24"/>
        <v>1141.0772510686097</v>
      </c>
      <c r="AS66">
        <f t="shared" ca="1" si="24"/>
        <v>1261.9653916081936</v>
      </c>
      <c r="AT66">
        <f t="shared" ca="1" si="24"/>
        <v>1141.0772510686097</v>
      </c>
      <c r="AU66">
        <f t="shared" ca="1" si="24"/>
        <v>843.56364387297219</v>
      </c>
      <c r="AV66">
        <f t="shared" ca="1" si="24"/>
        <v>1031.7694142523274</v>
      </c>
      <c r="AW66">
        <f t="shared" ca="1" si="24"/>
        <v>1467.7295614807629</v>
      </c>
      <c r="AX66">
        <f t="shared" ca="1" si="24"/>
        <v>1141.0772510686097</v>
      </c>
      <c r="AY66">
        <f t="shared" ca="1" si="24"/>
        <v>1085.0477440885793</v>
      </c>
      <c r="AZ66">
        <f t="shared" ca="1" si="24"/>
        <v>1395.6606777721711</v>
      </c>
      <c r="BA66">
        <f t="shared" ca="1" si="24"/>
        <v>1141.0772510686097</v>
      </c>
      <c r="BB66">
        <f t="shared" ca="1" si="24"/>
        <v>932.93256279506863</v>
      </c>
      <c r="BC66">
        <f t="shared" ca="1" si="24"/>
        <v>1200</v>
      </c>
      <c r="BD66">
        <f t="shared" ca="1" si="24"/>
        <v>1141.0772510686097</v>
      </c>
      <c r="BE66">
        <f t="shared" ca="1" si="24"/>
        <v>1327.1305413473517</v>
      </c>
      <c r="BF66">
        <f t="shared" ca="1" si="24"/>
        <v>1141.0772510686097</v>
      </c>
      <c r="BG66">
        <f t="shared" ca="1" si="29"/>
        <v>1141.0772510686097</v>
      </c>
      <c r="BH66">
        <f t="shared" ca="1" si="29"/>
        <v>1395.6606777721711</v>
      </c>
      <c r="BI66">
        <f t="shared" ca="1" si="29"/>
        <v>1327.1305413473522</v>
      </c>
      <c r="BJ66">
        <f t="shared" ca="1" si="29"/>
        <v>1141.0772510686095</v>
      </c>
      <c r="BK66">
        <f t="shared" ca="1" si="29"/>
        <v>932.93256279506875</v>
      </c>
      <c r="BL66">
        <f t="shared" ca="1" si="29"/>
        <v>1199.9999999999993</v>
      </c>
      <c r="BM66">
        <f t="shared" ca="1" si="29"/>
        <v>1327.1305413473517</v>
      </c>
      <c r="BN66">
        <f t="shared" ca="1" si="29"/>
        <v>1031.7694142523274</v>
      </c>
      <c r="BO66">
        <f t="shared" ca="1" si="29"/>
        <v>1261.9653916081936</v>
      </c>
      <c r="BP66">
        <f t="shared" ca="1" si="29"/>
        <v>1327.1305413473517</v>
      </c>
      <c r="BQ66">
        <f t="shared" ca="1" si="29"/>
        <v>1085.0477440885795</v>
      </c>
      <c r="BR66">
        <f t="shared" ca="1" si="29"/>
        <v>1261.9653916081941</v>
      </c>
      <c r="BS66">
        <f t="shared" ca="1" si="29"/>
        <v>1141.0772510686097</v>
      </c>
      <c r="BT66">
        <f t="shared" ca="1" si="29"/>
        <v>1085.0477440885795</v>
      </c>
      <c r="BU66">
        <f t="shared" ca="1" si="29"/>
        <v>932.93256279506875</v>
      </c>
      <c r="BV66">
        <f t="shared" ca="1" si="27"/>
        <v>1200</v>
      </c>
      <c r="BW66">
        <f t="shared" ca="1" si="23"/>
        <v>1141.0772510686095</v>
      </c>
      <c r="BX66">
        <f t="shared" ca="1" si="23"/>
        <v>1141.0772510686097</v>
      </c>
      <c r="BY66">
        <f t="shared" ca="1" si="23"/>
        <v>1085.0477440885795</v>
      </c>
      <c r="BZ66">
        <f t="shared" ca="1" si="23"/>
        <v>1327.1305413473519</v>
      </c>
      <c r="CA66">
        <f t="shared" ca="1" si="23"/>
        <v>1395.6606777721713</v>
      </c>
      <c r="CB66">
        <f t="shared" ca="1" si="23"/>
        <v>1031.7694142523269</v>
      </c>
      <c r="CC66">
        <f t="shared" ca="1" si="23"/>
        <v>1395.6606777721711</v>
      </c>
      <c r="CD66">
        <f t="shared" ca="1" si="23"/>
        <v>1031.7694142523269</v>
      </c>
      <c r="CE66">
        <f t="shared" ca="1" si="23"/>
        <v>1199.9999999999995</v>
      </c>
      <c r="CF66">
        <f t="shared" ca="1" si="23"/>
        <v>932.93256279506886</v>
      </c>
      <c r="CG66">
        <f t="shared" ca="1" si="23"/>
        <v>1141.0772510686097</v>
      </c>
      <c r="CH66">
        <f t="shared" ca="1" si="23"/>
        <v>1261.9653916081936</v>
      </c>
      <c r="CI66">
        <f t="shared" ca="1" si="23"/>
        <v>1395.6606777721711</v>
      </c>
      <c r="CJ66">
        <f t="shared" ca="1" si="23"/>
        <v>1085.0477440885795</v>
      </c>
      <c r="CK66">
        <f t="shared" ca="1" si="23"/>
        <v>1327.1305413473522</v>
      </c>
      <c r="CL66">
        <f t="shared" ca="1" si="23"/>
        <v>932.93256279506886</v>
      </c>
      <c r="CM66">
        <f t="shared" ca="1" si="26"/>
        <v>1467.7295614807629</v>
      </c>
      <c r="CN66">
        <f t="shared" ca="1" si="26"/>
        <v>1707.0436954687448</v>
      </c>
      <c r="CO66">
        <f t="shared" ca="1" si="26"/>
        <v>1467.7295614807633</v>
      </c>
      <c r="CP66">
        <f t="shared" ca="1" si="26"/>
        <v>1543.5199256908281</v>
      </c>
      <c r="CQ66">
        <f t="shared" ca="1" si="26"/>
        <v>1141.0772510686099</v>
      </c>
      <c r="CR66">
        <f t="shared" ca="1" si="26"/>
        <v>1327.1305413473517</v>
      </c>
      <c r="CS66">
        <f t="shared" ca="1" si="26"/>
        <v>887.12343682215874</v>
      </c>
      <c r="CT66">
        <f t="shared" ca="1" si="26"/>
        <v>1543.5199256908281</v>
      </c>
      <c r="CU66">
        <f t="shared" ca="1" si="26"/>
        <v>1085.0477440885795</v>
      </c>
      <c r="CV66">
        <f t="shared" ca="1" si="26"/>
        <v>1261.9653916081936</v>
      </c>
      <c r="CW66">
        <f t="shared" ca="1" si="26"/>
        <v>981.10717245976286</v>
      </c>
      <c r="CX66">
        <f t="shared" ca="1" si="26"/>
        <v>1141.0772510686097</v>
      </c>
      <c r="CY66">
        <f t="shared" ca="1" si="26"/>
        <v>981.10717245976286</v>
      </c>
    </row>
    <row r="67" spans="1:103">
      <c r="A67">
        <v>51</v>
      </c>
      <c r="B67">
        <v>51</v>
      </c>
      <c r="C67">
        <v>51</v>
      </c>
      <c r="D67">
        <f t="shared" ca="1" si="30"/>
        <v>1058.0732844912411</v>
      </c>
      <c r="E67">
        <f t="shared" ca="1" si="30"/>
        <v>909.73971081296975</v>
      </c>
      <c r="F67">
        <f t="shared" ca="1" si="30"/>
        <v>1112.7098890109644</v>
      </c>
      <c r="G67">
        <f t="shared" ca="1" si="30"/>
        <v>1582.8703341015782</v>
      </c>
      <c r="H67">
        <f t="shared" ca="1" si="30"/>
        <v>1360.9643312111432</v>
      </c>
      <c r="I67">
        <f t="shared" ca="1" si="30"/>
        <v>1664.6063175329091</v>
      </c>
      <c r="J67">
        <f t="shared" ca="1" si="30"/>
        <v>1664.6063175329095</v>
      </c>
      <c r="K67">
        <f t="shared" ca="1" si="30"/>
        <v>1664.6063175329091</v>
      </c>
      <c r="L67">
        <f t="shared" ca="1" si="30"/>
        <v>1431.2415710013784</v>
      </c>
      <c r="M67">
        <f t="shared" ca="1" si="30"/>
        <v>1294.1378648840334</v>
      </c>
      <c r="N67">
        <f t="shared" ca="1" si="30"/>
        <v>1230.5927311380613</v>
      </c>
      <c r="O67">
        <f t="shared" ca="1" si="30"/>
        <v>1230.5927311380608</v>
      </c>
      <c r="P67">
        <f t="shared" ca="1" si="30"/>
        <v>1058.0732844912409</v>
      </c>
      <c r="Q67">
        <f t="shared" ca="1" si="30"/>
        <v>1230.5927311380613</v>
      </c>
      <c r="R67">
        <f t="shared" ca="1" si="30"/>
        <v>1750.5629694824095</v>
      </c>
      <c r="S67">
        <f t="shared" ca="1" si="30"/>
        <v>1294.1378648840339</v>
      </c>
      <c r="T67">
        <f t="shared" ca="1" si="28"/>
        <v>956.71669201467887</v>
      </c>
      <c r="U67">
        <f t="shared" ca="1" si="28"/>
        <v>1294.1378648840339</v>
      </c>
      <c r="V67">
        <f t="shared" ca="1" si="28"/>
        <v>1431.2415710013781</v>
      </c>
      <c r="W67">
        <f t="shared" ca="1" si="28"/>
        <v>1505.1477746955679</v>
      </c>
      <c r="X67">
        <f t="shared" ca="1" si="28"/>
        <v>909.73971081296975</v>
      </c>
      <c r="Y67">
        <f t="shared" ca="1" si="28"/>
        <v>1230.592731138061</v>
      </c>
      <c r="Z67">
        <f t="shared" ca="1" si="28"/>
        <v>1505.1477746955679</v>
      </c>
      <c r="AA67">
        <f t="shared" ca="1" si="28"/>
        <v>1360.9643312111427</v>
      </c>
      <c r="AB67">
        <f t="shared" ca="1" si="28"/>
        <v>1505.1477746955675</v>
      </c>
      <c r="AC67">
        <f t="shared" ca="1" si="28"/>
        <v>1170.167809026693</v>
      </c>
      <c r="AD67">
        <f t="shared" ca="1" si="28"/>
        <v>1360.9643312111432</v>
      </c>
      <c r="AE67">
        <f t="shared" ca="1" si="28"/>
        <v>1006.1194624136668</v>
      </c>
      <c r="AF67">
        <f t="shared" ca="1" si="28"/>
        <v>1360.9643312111432</v>
      </c>
      <c r="AG67">
        <f t="shared" ca="1" si="28"/>
        <v>1360.9643312111432</v>
      </c>
      <c r="AH67">
        <f t="shared" ca="1" si="28"/>
        <v>909.73971081296975</v>
      </c>
      <c r="AI67">
        <f t="shared" ca="1" si="25"/>
        <v>1006.119462413667</v>
      </c>
      <c r="AJ67">
        <f t="shared" ca="1" si="25"/>
        <v>1058.0732844912409</v>
      </c>
      <c r="AK67">
        <f t="shared" ca="1" si="25"/>
        <v>1294.1378648840334</v>
      </c>
      <c r="AL67">
        <f t="shared" ca="1" si="25"/>
        <v>1360.9643312111427</v>
      </c>
      <c r="AM67">
        <f t="shared" ca="1" si="25"/>
        <v>1360.9643312111427</v>
      </c>
      <c r="AN67">
        <f t="shared" ca="1" si="25"/>
        <v>1112.7098890109644</v>
      </c>
      <c r="AO67">
        <f t="shared" ca="1" si="24"/>
        <v>1006.1194624136668</v>
      </c>
      <c r="AP67">
        <f t="shared" ca="1" si="24"/>
        <v>1112.7098890109639</v>
      </c>
      <c r="AQ67">
        <f t="shared" ca="1" si="24"/>
        <v>1230.5927311380608</v>
      </c>
      <c r="AR67">
        <f t="shared" ca="1" si="24"/>
        <v>1112.7098890109644</v>
      </c>
      <c r="AS67">
        <f t="shared" ca="1" si="24"/>
        <v>1230.5927311380608</v>
      </c>
      <c r="AT67">
        <f t="shared" ca="1" si="24"/>
        <v>1112.7098890109644</v>
      </c>
      <c r="AU67">
        <f t="shared" ca="1" si="24"/>
        <v>822.59251743784137</v>
      </c>
      <c r="AV67">
        <f t="shared" ca="1" si="24"/>
        <v>1006.1194624136672</v>
      </c>
      <c r="AW67">
        <f t="shared" ca="1" si="24"/>
        <v>1431.2415710013781</v>
      </c>
      <c r="AX67">
        <f t="shared" ca="1" si="24"/>
        <v>1170.167809026693</v>
      </c>
      <c r="AY67">
        <f t="shared" ca="1" si="24"/>
        <v>1112.7098890109642</v>
      </c>
      <c r="AZ67">
        <f t="shared" ca="1" si="24"/>
        <v>1431.2415710013781</v>
      </c>
      <c r="BA67">
        <f t="shared" ca="1" si="24"/>
        <v>1170.167809026693</v>
      </c>
      <c r="BB67">
        <f t="shared" ca="1" si="24"/>
        <v>956.71669201467864</v>
      </c>
      <c r="BC67">
        <f t="shared" ca="1" si="24"/>
        <v>1170.1678090266935</v>
      </c>
      <c r="BD67">
        <f t="shared" ca="1" si="24"/>
        <v>1112.7098890109644</v>
      </c>
      <c r="BE67">
        <f t="shared" ca="1" si="24"/>
        <v>1360.9643312111427</v>
      </c>
      <c r="BF67">
        <f t="shared" ca="1" si="24"/>
        <v>1170.167809026693</v>
      </c>
      <c r="BG67">
        <f t="shared" ca="1" si="29"/>
        <v>1112.7098890109644</v>
      </c>
      <c r="BH67">
        <f t="shared" ca="1" si="29"/>
        <v>1431.2415710013781</v>
      </c>
      <c r="BI67">
        <f t="shared" ca="1" si="29"/>
        <v>1360.9643312111432</v>
      </c>
      <c r="BJ67">
        <f t="shared" ca="1" si="29"/>
        <v>1112.7098890109642</v>
      </c>
      <c r="BK67">
        <f t="shared" ca="1" si="29"/>
        <v>956.71669201467876</v>
      </c>
      <c r="BL67">
        <f t="shared" ca="1" si="29"/>
        <v>1170.1678090266928</v>
      </c>
      <c r="BM67">
        <f t="shared" ca="1" si="29"/>
        <v>1360.9643312111427</v>
      </c>
      <c r="BN67">
        <f t="shared" ca="1" si="29"/>
        <v>1058.0732844912411</v>
      </c>
      <c r="BO67">
        <f t="shared" ca="1" si="29"/>
        <v>1230.5927311380608</v>
      </c>
      <c r="BP67">
        <f t="shared" ca="1" si="29"/>
        <v>1360.9643312111427</v>
      </c>
      <c r="BQ67">
        <f t="shared" ca="1" si="29"/>
        <v>1112.7098890109644</v>
      </c>
      <c r="BR67">
        <f t="shared" ca="1" si="29"/>
        <v>1230.5927311380613</v>
      </c>
      <c r="BS67">
        <f t="shared" ca="1" si="29"/>
        <v>1170.167809026693</v>
      </c>
      <c r="BT67">
        <f t="shared" ca="1" si="29"/>
        <v>1112.7098890109644</v>
      </c>
      <c r="BU67">
        <f t="shared" ca="1" si="29"/>
        <v>909.73971081296975</v>
      </c>
      <c r="BV67">
        <f t="shared" ca="1" si="27"/>
        <v>1170.1678090266935</v>
      </c>
      <c r="BW67">
        <f t="shared" ca="1" si="23"/>
        <v>1112.7098890109642</v>
      </c>
      <c r="BX67">
        <f t="shared" ca="1" si="23"/>
        <v>1112.7098890109644</v>
      </c>
      <c r="BY67">
        <f t="shared" ca="1" si="23"/>
        <v>1112.7098890109644</v>
      </c>
      <c r="BZ67">
        <f t="shared" ca="1" si="23"/>
        <v>1360.964331211143</v>
      </c>
      <c r="CA67">
        <f t="shared" ca="1" si="23"/>
        <v>1360.964331211143</v>
      </c>
      <c r="CB67">
        <f t="shared" ca="1" si="23"/>
        <v>1058.0732844912407</v>
      </c>
      <c r="CC67">
        <f t="shared" ca="1" si="23"/>
        <v>1360.9643312111427</v>
      </c>
      <c r="CD67">
        <f t="shared" ca="1" si="23"/>
        <v>1006.1194624136668</v>
      </c>
      <c r="CE67">
        <f t="shared" ca="1" si="23"/>
        <v>1230.5927311380608</v>
      </c>
      <c r="CF67">
        <f t="shared" ca="1" si="23"/>
        <v>956.71669201467887</v>
      </c>
      <c r="CG67">
        <f t="shared" ca="1" si="23"/>
        <v>1112.7098890109644</v>
      </c>
      <c r="CH67">
        <f t="shared" ca="1" si="23"/>
        <v>1294.1378648840334</v>
      </c>
      <c r="CI67">
        <f t="shared" ca="1" si="23"/>
        <v>1360.9643312111427</v>
      </c>
      <c r="CJ67">
        <f t="shared" ca="1" si="23"/>
        <v>1058.0732844912411</v>
      </c>
      <c r="CK67">
        <f t="shared" ca="1" si="23"/>
        <v>1360.9643312111432</v>
      </c>
      <c r="CL67">
        <f t="shared" ref="CL67:CY82" ca="1" si="31">CL66*(IF(RAND()&lt;$B$11,$B$9,$B$10))</f>
        <v>909.73971081296975</v>
      </c>
      <c r="CM67">
        <f t="shared" ca="1" si="26"/>
        <v>1505.1477746955675</v>
      </c>
      <c r="CN67">
        <f t="shared" ca="1" si="26"/>
        <v>1664.6063175329093</v>
      </c>
      <c r="CO67">
        <f t="shared" ca="1" si="26"/>
        <v>1505.1477746955679</v>
      </c>
      <c r="CP67">
        <f t="shared" ca="1" si="26"/>
        <v>1582.870334101578</v>
      </c>
      <c r="CQ67">
        <f t="shared" ca="1" si="26"/>
        <v>1112.7098890109644</v>
      </c>
      <c r="CR67">
        <f t="shared" ca="1" si="26"/>
        <v>1294.1378648840334</v>
      </c>
      <c r="CS67">
        <f t="shared" ca="1" si="26"/>
        <v>909.73971081296975</v>
      </c>
      <c r="CT67">
        <f t="shared" ca="1" si="26"/>
        <v>1582.870334101578</v>
      </c>
      <c r="CU67">
        <f t="shared" ca="1" si="26"/>
        <v>1112.7098890109644</v>
      </c>
      <c r="CV67">
        <f t="shared" ca="1" si="26"/>
        <v>1230.5927311380608</v>
      </c>
      <c r="CW67">
        <f t="shared" ca="1" si="26"/>
        <v>956.7166920146791</v>
      </c>
      <c r="CX67">
        <f t="shared" ca="1" si="26"/>
        <v>1170.167809026693</v>
      </c>
      <c r="CY67">
        <f t="shared" ca="1" si="26"/>
        <v>956.7166920146791</v>
      </c>
    </row>
    <row r="68" spans="1:103">
      <c r="A68">
        <v>52</v>
      </c>
      <c r="B68">
        <v>52</v>
      </c>
      <c r="C68">
        <v>52</v>
      </c>
      <c r="D68">
        <f t="shared" ca="1" si="30"/>
        <v>1085.0477440885795</v>
      </c>
      <c r="E68">
        <f t="shared" ca="1" si="30"/>
        <v>887.12343682215874</v>
      </c>
      <c r="F68">
        <f t="shared" ca="1" si="30"/>
        <v>1085.0477440885795</v>
      </c>
      <c r="G68">
        <f t="shared" ca="1" si="30"/>
        <v>1623.2239395662307</v>
      </c>
      <c r="H68">
        <f t="shared" ca="1" si="30"/>
        <v>1395.6606777721715</v>
      </c>
      <c r="I68">
        <f t="shared" ca="1" si="30"/>
        <v>1707.0436954687445</v>
      </c>
      <c r="J68">
        <f t="shared" ca="1" si="30"/>
        <v>1707.043695468745</v>
      </c>
      <c r="K68">
        <f t="shared" ca="1" si="30"/>
        <v>1707.0436954687445</v>
      </c>
      <c r="L68">
        <f t="shared" ca="1" si="30"/>
        <v>1467.7295614807631</v>
      </c>
      <c r="M68">
        <f t="shared" ca="1" si="30"/>
        <v>1327.1305413473517</v>
      </c>
      <c r="N68">
        <f t="shared" ca="1" si="30"/>
        <v>1261.9653916081941</v>
      </c>
      <c r="O68">
        <f t="shared" ca="1" si="30"/>
        <v>1199.9999999999995</v>
      </c>
      <c r="P68">
        <f t="shared" ca="1" si="30"/>
        <v>1085.0477440885793</v>
      </c>
      <c r="Q68">
        <f t="shared" ca="1" si="30"/>
        <v>1261.9653916081941</v>
      </c>
      <c r="R68">
        <f t="shared" ca="1" si="30"/>
        <v>1707.0436954687445</v>
      </c>
      <c r="S68">
        <f t="shared" ca="1" si="30"/>
        <v>1261.9653916081941</v>
      </c>
      <c r="T68">
        <f t="shared" ca="1" si="28"/>
        <v>981.10717245976264</v>
      </c>
      <c r="U68">
        <f t="shared" ca="1" si="28"/>
        <v>1327.1305413473522</v>
      </c>
      <c r="V68">
        <f t="shared" ca="1" si="28"/>
        <v>1395.6606777721711</v>
      </c>
      <c r="W68">
        <f t="shared" ca="1" si="28"/>
        <v>1467.7295614807631</v>
      </c>
      <c r="X68">
        <f t="shared" ca="1" si="28"/>
        <v>932.93256279506875</v>
      </c>
      <c r="Y68">
        <f t="shared" ca="1" si="28"/>
        <v>1261.9653916081938</v>
      </c>
      <c r="Z68">
        <f t="shared" ca="1" si="28"/>
        <v>1543.5199256908286</v>
      </c>
      <c r="AA68">
        <f t="shared" ca="1" si="28"/>
        <v>1395.6606777721711</v>
      </c>
      <c r="AB68">
        <f t="shared" ca="1" si="28"/>
        <v>1467.7295614807629</v>
      </c>
      <c r="AC68">
        <f t="shared" ca="1" si="28"/>
        <v>1141.0772510686097</v>
      </c>
      <c r="AD68">
        <f t="shared" ca="1" si="28"/>
        <v>1327.1305413473522</v>
      </c>
      <c r="AE68">
        <f t="shared" ca="1" si="28"/>
        <v>1031.7694142523269</v>
      </c>
      <c r="AF68">
        <f t="shared" ca="1" si="28"/>
        <v>1395.6606777721715</v>
      </c>
      <c r="AG68">
        <f t="shared" ca="1" si="28"/>
        <v>1327.1305413473522</v>
      </c>
      <c r="AH68">
        <f t="shared" ca="1" si="28"/>
        <v>932.93256279506875</v>
      </c>
      <c r="AI68">
        <f t="shared" ca="1" si="25"/>
        <v>1031.7694142523271</v>
      </c>
      <c r="AJ68">
        <f t="shared" ca="1" si="25"/>
        <v>1031.7694142523271</v>
      </c>
      <c r="AK68">
        <f t="shared" ca="1" si="25"/>
        <v>1261.9653916081936</v>
      </c>
      <c r="AL68">
        <f t="shared" ca="1" si="25"/>
        <v>1395.6606777721711</v>
      </c>
      <c r="AM68">
        <f t="shared" ca="1" si="25"/>
        <v>1327.1305413473517</v>
      </c>
      <c r="AN68">
        <f t="shared" ca="1" si="25"/>
        <v>1085.0477440885795</v>
      </c>
      <c r="AO68">
        <f t="shared" ca="1" si="24"/>
        <v>981.10717245976264</v>
      </c>
      <c r="AP68">
        <f t="shared" ca="1" si="24"/>
        <v>1141.0772510686093</v>
      </c>
      <c r="AQ68">
        <f t="shared" ca="1" si="24"/>
        <v>1199.9999999999995</v>
      </c>
      <c r="AR68">
        <f t="shared" ca="1" si="24"/>
        <v>1085.0477440885795</v>
      </c>
      <c r="AS68">
        <f t="shared" ca="1" si="24"/>
        <v>1261.9653916081936</v>
      </c>
      <c r="AT68">
        <f t="shared" ca="1" si="24"/>
        <v>1141.0772510686097</v>
      </c>
      <c r="AU68">
        <f t="shared" ca="1" si="24"/>
        <v>843.56364387297208</v>
      </c>
      <c r="AV68">
        <f t="shared" ca="1" si="24"/>
        <v>981.10717245976286</v>
      </c>
      <c r="AW68">
        <f t="shared" ca="1" si="24"/>
        <v>1395.6606777721711</v>
      </c>
      <c r="AX68">
        <f t="shared" ca="1" si="24"/>
        <v>1199.9999999999995</v>
      </c>
      <c r="AY68">
        <f t="shared" ca="1" si="24"/>
        <v>1141.0772510686095</v>
      </c>
      <c r="AZ68">
        <f t="shared" ca="1" si="24"/>
        <v>1467.7295614807629</v>
      </c>
      <c r="BA68">
        <f t="shared" ca="1" si="24"/>
        <v>1199.9999999999995</v>
      </c>
      <c r="BB68">
        <f t="shared" ca="1" si="24"/>
        <v>981.10717245976241</v>
      </c>
      <c r="BC68">
        <f t="shared" ca="1" si="24"/>
        <v>1200</v>
      </c>
      <c r="BD68">
        <f t="shared" ca="1" si="24"/>
        <v>1141.0772510686097</v>
      </c>
      <c r="BE68">
        <f t="shared" ca="1" si="24"/>
        <v>1327.1305413473517</v>
      </c>
      <c r="BF68">
        <f t="shared" ca="1" si="24"/>
        <v>1199.9999999999995</v>
      </c>
      <c r="BG68">
        <f t="shared" ca="1" si="29"/>
        <v>1141.0772510686097</v>
      </c>
      <c r="BH68">
        <f t="shared" ca="1" si="29"/>
        <v>1467.7295614807629</v>
      </c>
      <c r="BI68">
        <f t="shared" ca="1" si="29"/>
        <v>1395.6606777721715</v>
      </c>
      <c r="BJ68">
        <f t="shared" ca="1" si="29"/>
        <v>1085.0477440885793</v>
      </c>
      <c r="BK68">
        <f t="shared" ca="1" si="29"/>
        <v>981.10717245976252</v>
      </c>
      <c r="BL68">
        <f t="shared" ca="1" si="29"/>
        <v>1199.9999999999993</v>
      </c>
      <c r="BM68">
        <f t="shared" ca="1" si="29"/>
        <v>1395.6606777721711</v>
      </c>
      <c r="BN68">
        <f t="shared" ca="1" si="29"/>
        <v>1085.0477440885795</v>
      </c>
      <c r="BO68">
        <f t="shared" ca="1" si="29"/>
        <v>1261.9653916081936</v>
      </c>
      <c r="BP68">
        <f t="shared" ca="1" si="29"/>
        <v>1327.1305413473517</v>
      </c>
      <c r="BQ68">
        <f t="shared" ca="1" si="29"/>
        <v>1085.0477440885795</v>
      </c>
      <c r="BR68">
        <f t="shared" ca="1" si="29"/>
        <v>1261.9653916081941</v>
      </c>
      <c r="BS68">
        <f t="shared" ca="1" si="29"/>
        <v>1199.9999999999995</v>
      </c>
      <c r="BT68">
        <f t="shared" ca="1" si="29"/>
        <v>1085.0477440885795</v>
      </c>
      <c r="BU68">
        <f t="shared" ca="1" si="29"/>
        <v>887.12343682215874</v>
      </c>
      <c r="BV68">
        <f t="shared" ca="1" si="27"/>
        <v>1141.0772510686099</v>
      </c>
      <c r="BW68">
        <f t="shared" ca="1" si="27"/>
        <v>1141.0772510686095</v>
      </c>
      <c r="BX68">
        <f t="shared" ca="1" si="27"/>
        <v>1085.0477440885795</v>
      </c>
      <c r="BY68">
        <f t="shared" ca="1" si="27"/>
        <v>1141.0772510686097</v>
      </c>
      <c r="BZ68">
        <f t="shared" ca="1" si="27"/>
        <v>1395.6606777721713</v>
      </c>
      <c r="CA68">
        <f t="shared" ca="1" si="27"/>
        <v>1395.6606777721713</v>
      </c>
      <c r="CB68">
        <f t="shared" ca="1" si="27"/>
        <v>1085.0477440885791</v>
      </c>
      <c r="CC68">
        <f t="shared" ca="1" si="27"/>
        <v>1395.6606777721711</v>
      </c>
      <c r="CD68">
        <f t="shared" ca="1" si="27"/>
        <v>1031.7694142523269</v>
      </c>
      <c r="CE68">
        <f t="shared" ca="1" si="27"/>
        <v>1261.9653916081936</v>
      </c>
      <c r="CF68">
        <f t="shared" ca="1" si="27"/>
        <v>932.93256279506875</v>
      </c>
      <c r="CG68">
        <f t="shared" ca="1" si="27"/>
        <v>1141.0772510686097</v>
      </c>
      <c r="CH68">
        <f t="shared" ca="1" si="27"/>
        <v>1261.9653916081936</v>
      </c>
      <c r="CI68">
        <f t="shared" ca="1" si="27"/>
        <v>1395.6606777721711</v>
      </c>
      <c r="CJ68">
        <f t="shared" ca="1" si="27"/>
        <v>1085.0477440885795</v>
      </c>
      <c r="CK68">
        <f t="shared" ca="1" si="27"/>
        <v>1395.6606777721715</v>
      </c>
      <c r="CL68">
        <f t="shared" ca="1" si="31"/>
        <v>932.93256279506875</v>
      </c>
      <c r="CM68">
        <f t="shared" ca="1" si="26"/>
        <v>1467.7295614807629</v>
      </c>
      <c r="CN68">
        <f t="shared" ca="1" si="26"/>
        <v>1623.2239395662307</v>
      </c>
      <c r="CO68">
        <f t="shared" ca="1" si="26"/>
        <v>1543.5199256908286</v>
      </c>
      <c r="CP68">
        <f t="shared" ca="1" si="26"/>
        <v>1623.2239395662305</v>
      </c>
      <c r="CQ68">
        <f t="shared" ca="1" si="26"/>
        <v>1085.0477440885795</v>
      </c>
      <c r="CR68">
        <f t="shared" ca="1" si="26"/>
        <v>1261.9653916081936</v>
      </c>
      <c r="CS68">
        <f t="shared" ca="1" si="26"/>
        <v>932.93256279506875</v>
      </c>
      <c r="CT68">
        <f t="shared" ca="1" si="26"/>
        <v>1543.5199256908281</v>
      </c>
      <c r="CU68">
        <f t="shared" ca="1" si="26"/>
        <v>1085.0477440885795</v>
      </c>
      <c r="CV68">
        <f t="shared" ca="1" si="26"/>
        <v>1199.9999999999995</v>
      </c>
      <c r="CW68">
        <f t="shared" ca="1" si="26"/>
        <v>932.93256279506897</v>
      </c>
      <c r="CX68">
        <f t="shared" ca="1" si="26"/>
        <v>1199.9999999999995</v>
      </c>
      <c r="CY68">
        <f t="shared" ca="1" si="26"/>
        <v>981.10717245976286</v>
      </c>
    </row>
    <row r="69" spans="1:103">
      <c r="A69">
        <v>53</v>
      </c>
      <c r="B69">
        <v>53</v>
      </c>
      <c r="C69">
        <v>53</v>
      </c>
      <c r="D69">
        <f t="shared" ca="1" si="30"/>
        <v>1058.0732844912411</v>
      </c>
      <c r="E69">
        <f t="shared" ca="1" si="30"/>
        <v>865.06940700201312</v>
      </c>
      <c r="F69">
        <f t="shared" ca="1" si="30"/>
        <v>1058.0732844912411</v>
      </c>
      <c r="G69">
        <f t="shared" ca="1" si="30"/>
        <v>1582.8703341015782</v>
      </c>
      <c r="H69">
        <f t="shared" ca="1" si="30"/>
        <v>1431.2415710013786</v>
      </c>
      <c r="I69">
        <f t="shared" ca="1" si="30"/>
        <v>1664.6063175329091</v>
      </c>
      <c r="J69">
        <f t="shared" ca="1" si="30"/>
        <v>1750.5629694824099</v>
      </c>
      <c r="K69">
        <f t="shared" ca="1" si="30"/>
        <v>1750.5629694824095</v>
      </c>
      <c r="L69">
        <f t="shared" ca="1" si="30"/>
        <v>1431.2415710013784</v>
      </c>
      <c r="M69">
        <f t="shared" ca="1" si="30"/>
        <v>1294.1378648840334</v>
      </c>
      <c r="N69">
        <f t="shared" ca="1" si="30"/>
        <v>1294.1378648840339</v>
      </c>
      <c r="O69">
        <f t="shared" ca="1" si="30"/>
        <v>1230.5927311380608</v>
      </c>
      <c r="P69">
        <f t="shared" ca="1" si="30"/>
        <v>1112.7098890109642</v>
      </c>
      <c r="Q69">
        <f t="shared" ca="1" si="30"/>
        <v>1294.1378648840339</v>
      </c>
      <c r="R69">
        <f t="shared" ca="1" si="30"/>
        <v>1664.6063175329091</v>
      </c>
      <c r="S69">
        <f t="shared" ca="1" si="30"/>
        <v>1230.5927311380613</v>
      </c>
      <c r="T69">
        <f t="shared" ca="1" si="28"/>
        <v>956.71669201467887</v>
      </c>
      <c r="U69">
        <f t="shared" ca="1" si="28"/>
        <v>1294.1378648840339</v>
      </c>
      <c r="V69">
        <f t="shared" ca="1" si="28"/>
        <v>1431.2415710013781</v>
      </c>
      <c r="W69">
        <f t="shared" ca="1" si="28"/>
        <v>1505.1477746955677</v>
      </c>
      <c r="X69">
        <f t="shared" ca="1" si="28"/>
        <v>909.73971081296975</v>
      </c>
      <c r="Y69">
        <f t="shared" ca="1" si="28"/>
        <v>1294.1378648840337</v>
      </c>
      <c r="Z69">
        <f t="shared" ca="1" si="28"/>
        <v>1582.8703341015785</v>
      </c>
      <c r="AA69">
        <f t="shared" ca="1" si="28"/>
        <v>1360.9643312111427</v>
      </c>
      <c r="AB69">
        <f t="shared" ca="1" si="28"/>
        <v>1431.2415710013781</v>
      </c>
      <c r="AC69">
        <f t="shared" ca="1" si="28"/>
        <v>1170.167809026693</v>
      </c>
      <c r="AD69">
        <f t="shared" ca="1" si="28"/>
        <v>1360.9643312111432</v>
      </c>
      <c r="AE69">
        <f t="shared" ca="1" si="28"/>
        <v>1006.1194624136668</v>
      </c>
      <c r="AF69">
        <f t="shared" ca="1" si="28"/>
        <v>1360.9643312111432</v>
      </c>
      <c r="AG69">
        <f t="shared" ca="1" si="28"/>
        <v>1360.9643312111432</v>
      </c>
      <c r="AH69">
        <f t="shared" ca="1" si="28"/>
        <v>909.73971081296975</v>
      </c>
      <c r="AI69">
        <f t="shared" ca="1" si="25"/>
        <v>1006.119462413667</v>
      </c>
      <c r="AJ69">
        <f t="shared" ca="1" si="25"/>
        <v>1006.119462413667</v>
      </c>
      <c r="AK69">
        <f t="shared" ca="1" si="25"/>
        <v>1294.1378648840334</v>
      </c>
      <c r="AL69">
        <f t="shared" ca="1" si="25"/>
        <v>1431.2415710013781</v>
      </c>
      <c r="AM69">
        <f t="shared" ca="1" si="25"/>
        <v>1294.1378648840334</v>
      </c>
      <c r="AN69">
        <f t="shared" ca="1" si="25"/>
        <v>1058.0732844912411</v>
      </c>
      <c r="AO69">
        <f t="shared" ca="1" si="24"/>
        <v>956.71669201467887</v>
      </c>
      <c r="AP69">
        <f t="shared" ca="1" si="24"/>
        <v>1170.1678090266926</v>
      </c>
      <c r="AQ69">
        <f t="shared" ca="1" si="24"/>
        <v>1230.5927311380608</v>
      </c>
      <c r="AR69">
        <f t="shared" ca="1" si="24"/>
        <v>1058.0732844912411</v>
      </c>
      <c r="AS69">
        <f t="shared" ca="1" si="24"/>
        <v>1230.5927311380608</v>
      </c>
      <c r="AT69">
        <f t="shared" ca="1" si="24"/>
        <v>1170.167809026693</v>
      </c>
      <c r="AU69">
        <f t="shared" ca="1" si="24"/>
        <v>822.59251743784137</v>
      </c>
      <c r="AV69">
        <f t="shared" ca="1" si="24"/>
        <v>1006.1194624136671</v>
      </c>
      <c r="AW69">
        <f t="shared" ca="1" si="24"/>
        <v>1431.2415710013781</v>
      </c>
      <c r="AX69">
        <f t="shared" ca="1" si="24"/>
        <v>1170.167809026693</v>
      </c>
      <c r="AY69">
        <f t="shared" ca="1" si="24"/>
        <v>1170.1678090266928</v>
      </c>
      <c r="AZ69">
        <f t="shared" ca="1" si="24"/>
        <v>1431.2415710013781</v>
      </c>
      <c r="BA69">
        <f t="shared" ca="1" si="24"/>
        <v>1230.5927311380608</v>
      </c>
      <c r="BB69">
        <f t="shared" ca="1" si="24"/>
        <v>956.71669201467864</v>
      </c>
      <c r="BC69">
        <f t="shared" ca="1" si="24"/>
        <v>1230.5927311380613</v>
      </c>
      <c r="BD69">
        <f t="shared" ca="1" si="24"/>
        <v>1112.7098890109644</v>
      </c>
      <c r="BE69">
        <f t="shared" ca="1" si="24"/>
        <v>1294.1378648840334</v>
      </c>
      <c r="BF69">
        <f t="shared" ca="1" si="24"/>
        <v>1170.167809026693</v>
      </c>
      <c r="BG69">
        <f t="shared" ca="1" si="29"/>
        <v>1170.167809026693</v>
      </c>
      <c r="BH69">
        <f t="shared" ca="1" si="29"/>
        <v>1505.1477746955675</v>
      </c>
      <c r="BI69">
        <f t="shared" ca="1" si="29"/>
        <v>1360.9643312111432</v>
      </c>
      <c r="BJ69">
        <f t="shared" ca="1" si="29"/>
        <v>1112.7098890109642</v>
      </c>
      <c r="BK69">
        <f t="shared" ca="1" si="29"/>
        <v>956.71669201467876</v>
      </c>
      <c r="BL69">
        <f t="shared" ca="1" si="29"/>
        <v>1230.5927311380606</v>
      </c>
      <c r="BM69">
        <f t="shared" ca="1" si="29"/>
        <v>1431.2415710013781</v>
      </c>
      <c r="BN69">
        <f t="shared" ca="1" si="29"/>
        <v>1112.7098890109644</v>
      </c>
      <c r="BO69">
        <f t="shared" ca="1" si="29"/>
        <v>1294.1378648840334</v>
      </c>
      <c r="BP69">
        <f t="shared" ca="1" si="29"/>
        <v>1294.1378648840334</v>
      </c>
      <c r="BQ69">
        <f t="shared" ca="1" si="29"/>
        <v>1112.7098890109644</v>
      </c>
      <c r="BR69">
        <f t="shared" ca="1" si="29"/>
        <v>1294.1378648840339</v>
      </c>
      <c r="BS69">
        <f t="shared" ca="1" si="29"/>
        <v>1230.5927311380608</v>
      </c>
      <c r="BT69">
        <f t="shared" ca="1" si="29"/>
        <v>1112.7098890109644</v>
      </c>
      <c r="BU69">
        <f t="shared" ca="1" si="29"/>
        <v>865.06940700201312</v>
      </c>
      <c r="BV69">
        <f t="shared" ca="1" si="27"/>
        <v>1170.1678090266932</v>
      </c>
      <c r="BW69">
        <f t="shared" ca="1" si="27"/>
        <v>1112.7098890109642</v>
      </c>
      <c r="BX69">
        <f t="shared" ca="1" si="27"/>
        <v>1058.0732844912411</v>
      </c>
      <c r="BY69">
        <f t="shared" ca="1" si="27"/>
        <v>1170.167809026693</v>
      </c>
      <c r="BZ69">
        <f t="shared" ca="1" si="27"/>
        <v>1431.2415710013784</v>
      </c>
      <c r="CA69">
        <f t="shared" ca="1" si="27"/>
        <v>1431.2415710013784</v>
      </c>
      <c r="CB69">
        <f t="shared" ca="1" si="27"/>
        <v>1058.0732844912407</v>
      </c>
      <c r="CC69">
        <f t="shared" ca="1" si="27"/>
        <v>1360.9643312111427</v>
      </c>
      <c r="CD69">
        <f t="shared" ca="1" si="27"/>
        <v>1058.0732844912407</v>
      </c>
      <c r="CE69">
        <f t="shared" ca="1" si="27"/>
        <v>1294.1378648840334</v>
      </c>
      <c r="CF69">
        <f t="shared" ca="1" si="27"/>
        <v>909.73971081296975</v>
      </c>
      <c r="CG69">
        <f t="shared" ca="1" si="27"/>
        <v>1112.7098890109644</v>
      </c>
      <c r="CH69">
        <f t="shared" ca="1" si="27"/>
        <v>1294.1378648840334</v>
      </c>
      <c r="CI69">
        <f t="shared" ca="1" si="27"/>
        <v>1431.2415710013781</v>
      </c>
      <c r="CJ69">
        <f t="shared" ca="1" si="27"/>
        <v>1112.7098890109644</v>
      </c>
      <c r="CK69">
        <f t="shared" ca="1" si="27"/>
        <v>1360.9643312111432</v>
      </c>
      <c r="CL69">
        <f t="shared" ca="1" si="31"/>
        <v>956.71669201467876</v>
      </c>
      <c r="CM69">
        <f t="shared" ca="1" si="26"/>
        <v>1431.2415710013781</v>
      </c>
      <c r="CN69">
        <f t="shared" ca="1" si="26"/>
        <v>1582.8703341015782</v>
      </c>
      <c r="CO69">
        <f t="shared" ca="1" si="26"/>
        <v>1505.1477746955679</v>
      </c>
      <c r="CP69">
        <f t="shared" ca="1" si="26"/>
        <v>1664.6063175329091</v>
      </c>
      <c r="CQ69">
        <f t="shared" ca="1" si="26"/>
        <v>1112.7098890109644</v>
      </c>
      <c r="CR69">
        <f t="shared" ca="1" si="26"/>
        <v>1294.1378648840334</v>
      </c>
      <c r="CS69">
        <f t="shared" ca="1" si="26"/>
        <v>909.73971081296975</v>
      </c>
      <c r="CT69">
        <f t="shared" ca="1" si="26"/>
        <v>1505.1477746955675</v>
      </c>
      <c r="CU69">
        <f t="shared" ca="1" si="26"/>
        <v>1058.0732844912411</v>
      </c>
      <c r="CV69">
        <f t="shared" ca="1" si="26"/>
        <v>1170.167809026693</v>
      </c>
      <c r="CW69">
        <f t="shared" ca="1" si="26"/>
        <v>909.73971081296986</v>
      </c>
      <c r="CX69">
        <f t="shared" ca="1" si="26"/>
        <v>1170.167809026693</v>
      </c>
      <c r="CY69">
        <f t="shared" ca="1" si="26"/>
        <v>1006.1194624136671</v>
      </c>
    </row>
    <row r="70" spans="1:103">
      <c r="A70">
        <v>54</v>
      </c>
      <c r="B70">
        <v>54</v>
      </c>
      <c r="C70">
        <v>54</v>
      </c>
      <c r="D70">
        <f t="shared" ca="1" si="30"/>
        <v>1085.0477440885795</v>
      </c>
      <c r="E70">
        <f t="shared" ca="1" si="30"/>
        <v>843.56364387297219</v>
      </c>
      <c r="F70">
        <f t="shared" ca="1" si="30"/>
        <v>1085.0477440885795</v>
      </c>
      <c r="G70">
        <f t="shared" ca="1" si="30"/>
        <v>1543.5199256908284</v>
      </c>
      <c r="H70">
        <f t="shared" ca="1" si="30"/>
        <v>1467.7295614807633</v>
      </c>
      <c r="I70">
        <f t="shared" ca="1" si="30"/>
        <v>1707.0436954687445</v>
      </c>
      <c r="J70">
        <f t="shared" ca="1" si="30"/>
        <v>1707.043695468745</v>
      </c>
      <c r="K70">
        <f t="shared" ca="1" si="30"/>
        <v>1795.1917213704276</v>
      </c>
      <c r="L70">
        <f t="shared" ca="1" si="30"/>
        <v>1395.6606777721713</v>
      </c>
      <c r="M70">
        <f t="shared" ca="1" si="30"/>
        <v>1261.9653916081936</v>
      </c>
      <c r="N70">
        <f t="shared" ca="1" si="30"/>
        <v>1261.9653916081941</v>
      </c>
      <c r="O70">
        <f t="shared" ca="1" si="30"/>
        <v>1199.9999999999995</v>
      </c>
      <c r="P70">
        <f t="shared" ca="1" si="30"/>
        <v>1141.0772510686095</v>
      </c>
      <c r="Q70">
        <f t="shared" ca="1" si="30"/>
        <v>1261.9653916081941</v>
      </c>
      <c r="R70">
        <f t="shared" ca="1" si="30"/>
        <v>1707.0436954687445</v>
      </c>
      <c r="S70">
        <f t="shared" ca="1" si="30"/>
        <v>1261.9653916081941</v>
      </c>
      <c r="T70">
        <f t="shared" ca="1" si="28"/>
        <v>981.10717245976264</v>
      </c>
      <c r="U70">
        <f t="shared" ca="1" si="28"/>
        <v>1327.1305413473522</v>
      </c>
      <c r="V70">
        <f t="shared" ca="1" si="28"/>
        <v>1395.6606777721711</v>
      </c>
      <c r="W70">
        <f t="shared" ca="1" si="28"/>
        <v>1467.7295614807629</v>
      </c>
      <c r="X70">
        <f t="shared" ca="1" si="28"/>
        <v>887.12343682215874</v>
      </c>
      <c r="Y70">
        <f t="shared" ca="1" si="28"/>
        <v>1327.1305413473519</v>
      </c>
      <c r="Z70">
        <f t="shared" ca="1" si="28"/>
        <v>1623.2239395662309</v>
      </c>
      <c r="AA70">
        <f t="shared" ca="1" si="28"/>
        <v>1395.6606777721711</v>
      </c>
      <c r="AB70">
        <f t="shared" ca="1" si="28"/>
        <v>1467.7295614807629</v>
      </c>
      <c r="AC70">
        <f t="shared" ca="1" si="28"/>
        <v>1199.9999999999995</v>
      </c>
      <c r="AD70">
        <f t="shared" ca="1" si="28"/>
        <v>1327.1305413473522</v>
      </c>
      <c r="AE70">
        <f t="shared" ca="1" si="28"/>
        <v>1031.7694142523269</v>
      </c>
      <c r="AF70">
        <f t="shared" ca="1" si="28"/>
        <v>1395.6606777721715</v>
      </c>
      <c r="AG70">
        <f t="shared" ca="1" si="28"/>
        <v>1395.6606777721715</v>
      </c>
      <c r="AH70">
        <f t="shared" ca="1" si="28"/>
        <v>932.93256279506875</v>
      </c>
      <c r="AI70">
        <f t="shared" ca="1" si="25"/>
        <v>1031.7694142523271</v>
      </c>
      <c r="AJ70">
        <f t="shared" ca="1" si="25"/>
        <v>981.10717245976264</v>
      </c>
      <c r="AK70">
        <f t="shared" ca="1" si="25"/>
        <v>1261.9653916081936</v>
      </c>
      <c r="AL70">
        <f t="shared" ca="1" si="25"/>
        <v>1467.7295614807629</v>
      </c>
      <c r="AM70">
        <f t="shared" ca="1" si="25"/>
        <v>1327.1305413473517</v>
      </c>
      <c r="AN70">
        <f t="shared" ca="1" si="25"/>
        <v>1085.0477440885795</v>
      </c>
      <c r="AO70">
        <f t="shared" ca="1" si="24"/>
        <v>981.10717245976264</v>
      </c>
      <c r="AP70">
        <f t="shared" ca="1" si="24"/>
        <v>1199.9999999999991</v>
      </c>
      <c r="AQ70">
        <f t="shared" ca="1" si="24"/>
        <v>1261.9653916081936</v>
      </c>
      <c r="AR70">
        <f t="shared" ca="1" si="24"/>
        <v>1031.7694142523274</v>
      </c>
      <c r="AS70">
        <f t="shared" ca="1" si="24"/>
        <v>1261.9653916081936</v>
      </c>
      <c r="AT70">
        <f t="shared" ca="1" si="24"/>
        <v>1199.9999999999995</v>
      </c>
      <c r="AU70">
        <f t="shared" ca="1" si="24"/>
        <v>843.56364387297208</v>
      </c>
      <c r="AV70">
        <f t="shared" ca="1" si="24"/>
        <v>981.10717245976275</v>
      </c>
      <c r="AW70">
        <f t="shared" ca="1" si="24"/>
        <v>1467.7295614807629</v>
      </c>
      <c r="AX70">
        <f t="shared" ca="1" si="24"/>
        <v>1199.9999999999995</v>
      </c>
      <c r="AY70">
        <f t="shared" ca="1" si="24"/>
        <v>1141.0772510686095</v>
      </c>
      <c r="AZ70">
        <f t="shared" ca="1" si="24"/>
        <v>1395.6606777721711</v>
      </c>
      <c r="BA70">
        <f t="shared" ca="1" si="24"/>
        <v>1261.9653916081936</v>
      </c>
      <c r="BB70">
        <f t="shared" ca="1" si="24"/>
        <v>932.93256279506863</v>
      </c>
      <c r="BC70">
        <f t="shared" ca="1" si="24"/>
        <v>1200</v>
      </c>
      <c r="BD70">
        <f t="shared" ca="1" si="24"/>
        <v>1085.0477440885795</v>
      </c>
      <c r="BE70">
        <f t="shared" ca="1" si="24"/>
        <v>1327.1305413473517</v>
      </c>
      <c r="BF70">
        <f t="shared" ca="1" si="24"/>
        <v>1141.0772510686097</v>
      </c>
      <c r="BG70">
        <f t="shared" ca="1" si="29"/>
        <v>1141.0772510686097</v>
      </c>
      <c r="BH70">
        <f t="shared" ca="1" si="29"/>
        <v>1543.5199256908281</v>
      </c>
      <c r="BI70">
        <f t="shared" ca="1" si="29"/>
        <v>1395.6606777721715</v>
      </c>
      <c r="BJ70">
        <f t="shared" ca="1" si="29"/>
        <v>1085.0477440885793</v>
      </c>
      <c r="BK70">
        <f t="shared" ca="1" si="29"/>
        <v>981.10717245976252</v>
      </c>
      <c r="BL70">
        <f t="shared" ca="1" si="29"/>
        <v>1199.9999999999993</v>
      </c>
      <c r="BM70">
        <f t="shared" ca="1" si="29"/>
        <v>1467.7295614807629</v>
      </c>
      <c r="BN70">
        <f t="shared" ca="1" si="29"/>
        <v>1085.0477440885795</v>
      </c>
      <c r="BO70">
        <f t="shared" ca="1" si="29"/>
        <v>1261.9653916081936</v>
      </c>
      <c r="BP70">
        <f t="shared" ca="1" si="29"/>
        <v>1261.9653916081936</v>
      </c>
      <c r="BQ70">
        <f t="shared" ca="1" si="29"/>
        <v>1085.0477440885795</v>
      </c>
      <c r="BR70">
        <f t="shared" ca="1" si="29"/>
        <v>1261.9653916081941</v>
      </c>
      <c r="BS70">
        <f t="shared" ca="1" si="29"/>
        <v>1261.9653916081936</v>
      </c>
      <c r="BT70">
        <f t="shared" ca="1" si="29"/>
        <v>1085.0477440885795</v>
      </c>
      <c r="BU70">
        <f t="shared" ca="1" si="29"/>
        <v>843.56364387297219</v>
      </c>
      <c r="BV70">
        <f t="shared" ca="1" si="27"/>
        <v>1199.9999999999998</v>
      </c>
      <c r="BW70">
        <f t="shared" ca="1" si="27"/>
        <v>1085.0477440885793</v>
      </c>
      <c r="BX70">
        <f t="shared" ca="1" si="27"/>
        <v>1085.0477440885795</v>
      </c>
      <c r="BY70">
        <f t="shared" ca="1" si="27"/>
        <v>1199.9999999999995</v>
      </c>
      <c r="BZ70">
        <f t="shared" ca="1" si="27"/>
        <v>1467.7295614807631</v>
      </c>
      <c r="CA70">
        <f t="shared" ca="1" si="27"/>
        <v>1467.7295614807631</v>
      </c>
      <c r="CB70">
        <f t="shared" ca="1" si="27"/>
        <v>1085.0477440885791</v>
      </c>
      <c r="CC70">
        <f t="shared" ca="1" si="27"/>
        <v>1395.6606777721711</v>
      </c>
      <c r="CD70">
        <f t="shared" ca="1" si="27"/>
        <v>1085.0477440885791</v>
      </c>
      <c r="CE70">
        <f t="shared" ca="1" si="27"/>
        <v>1261.9653916081936</v>
      </c>
      <c r="CF70">
        <f t="shared" ca="1" si="27"/>
        <v>887.12343682215874</v>
      </c>
      <c r="CG70">
        <f t="shared" ca="1" si="27"/>
        <v>1141.0772510686097</v>
      </c>
      <c r="CH70">
        <f t="shared" ca="1" si="27"/>
        <v>1327.1305413473517</v>
      </c>
      <c r="CI70">
        <f t="shared" ca="1" si="27"/>
        <v>1467.7295614807629</v>
      </c>
      <c r="CJ70">
        <f t="shared" ca="1" si="27"/>
        <v>1085.0477440885795</v>
      </c>
      <c r="CK70">
        <f t="shared" ca="1" si="27"/>
        <v>1327.1305413473522</v>
      </c>
      <c r="CL70">
        <f t="shared" ca="1" si="31"/>
        <v>981.10717245976252</v>
      </c>
      <c r="CM70">
        <f t="shared" ca="1" si="26"/>
        <v>1395.6606777721711</v>
      </c>
      <c r="CN70">
        <f t="shared" ca="1" si="26"/>
        <v>1543.5199256908284</v>
      </c>
      <c r="CO70">
        <f t="shared" ca="1" si="26"/>
        <v>1467.7295614807631</v>
      </c>
      <c r="CP70">
        <f t="shared" ca="1" si="26"/>
        <v>1707.0436954687445</v>
      </c>
      <c r="CQ70">
        <f t="shared" ca="1" si="26"/>
        <v>1085.0477440885795</v>
      </c>
      <c r="CR70">
        <f t="shared" ca="1" si="26"/>
        <v>1327.1305413473517</v>
      </c>
      <c r="CS70">
        <f t="shared" ca="1" si="26"/>
        <v>932.93256279506875</v>
      </c>
      <c r="CT70">
        <f t="shared" ca="1" si="26"/>
        <v>1467.7295614807629</v>
      </c>
      <c r="CU70">
        <f t="shared" ca="1" si="26"/>
        <v>1085.0477440885795</v>
      </c>
      <c r="CV70">
        <f t="shared" ca="1" si="26"/>
        <v>1141.0772510686097</v>
      </c>
      <c r="CW70">
        <f t="shared" ca="1" si="26"/>
        <v>887.12343682215885</v>
      </c>
      <c r="CX70">
        <f t="shared" ca="1" si="26"/>
        <v>1141.0772510686097</v>
      </c>
      <c r="CY70">
        <f t="shared" ca="1" si="26"/>
        <v>981.10717245976275</v>
      </c>
    </row>
    <row r="71" spans="1:103">
      <c r="A71">
        <v>55</v>
      </c>
      <c r="B71">
        <v>55</v>
      </c>
      <c r="C71">
        <v>55</v>
      </c>
      <c r="D71">
        <f t="shared" ca="1" si="30"/>
        <v>1112.7098890109644</v>
      </c>
      <c r="E71">
        <f t="shared" ca="1" si="30"/>
        <v>822.59251743784137</v>
      </c>
      <c r="F71">
        <f t="shared" ca="1" si="30"/>
        <v>1112.7098890109644</v>
      </c>
      <c r="G71">
        <f t="shared" ca="1" si="30"/>
        <v>1505.1477746955677</v>
      </c>
      <c r="H71">
        <f t="shared" ca="1" si="30"/>
        <v>1505.1477746955679</v>
      </c>
      <c r="I71">
        <f t="shared" ca="1" si="30"/>
        <v>1750.5629694824095</v>
      </c>
      <c r="J71">
        <f t="shared" ca="1" si="30"/>
        <v>1664.6063175329095</v>
      </c>
      <c r="K71">
        <f t="shared" ca="1" si="30"/>
        <v>1840.9582360980601</v>
      </c>
      <c r="L71">
        <f t="shared" ca="1" si="30"/>
        <v>1360.964331211143</v>
      </c>
      <c r="M71">
        <f t="shared" ca="1" si="30"/>
        <v>1294.1378648840334</v>
      </c>
      <c r="N71">
        <f t="shared" ca="1" si="30"/>
        <v>1230.5927311380613</v>
      </c>
      <c r="O71">
        <f t="shared" ca="1" si="30"/>
        <v>1170.167809026693</v>
      </c>
      <c r="P71">
        <f t="shared" ca="1" si="30"/>
        <v>1112.7098890109642</v>
      </c>
      <c r="Q71">
        <f t="shared" ca="1" si="30"/>
        <v>1230.5927311380613</v>
      </c>
      <c r="R71">
        <f t="shared" ca="1" si="30"/>
        <v>1664.6063175329091</v>
      </c>
      <c r="S71">
        <f t="shared" ca="1" si="30"/>
        <v>1294.1378648840339</v>
      </c>
      <c r="T71">
        <f t="shared" ca="1" si="28"/>
        <v>956.71669201467887</v>
      </c>
      <c r="U71">
        <f t="shared" ca="1" si="28"/>
        <v>1360.9643312111432</v>
      </c>
      <c r="V71">
        <f t="shared" ca="1" si="28"/>
        <v>1431.2415710013781</v>
      </c>
      <c r="W71">
        <f t="shared" ca="1" si="28"/>
        <v>1431.2415710013781</v>
      </c>
      <c r="X71">
        <f t="shared" ca="1" si="28"/>
        <v>909.73971081296975</v>
      </c>
      <c r="Y71">
        <f t="shared" ca="1" si="28"/>
        <v>1360.964331211143</v>
      </c>
      <c r="Z71">
        <f t="shared" ca="1" si="28"/>
        <v>1582.8703341015785</v>
      </c>
      <c r="AA71">
        <f t="shared" ca="1" si="28"/>
        <v>1360.9643312111427</v>
      </c>
      <c r="AB71">
        <f t="shared" ca="1" si="28"/>
        <v>1505.1477746955675</v>
      </c>
      <c r="AC71">
        <f t="shared" ca="1" si="28"/>
        <v>1230.5927311380608</v>
      </c>
      <c r="AD71">
        <f t="shared" ca="1" si="28"/>
        <v>1360.9643312111432</v>
      </c>
      <c r="AE71">
        <f t="shared" ca="1" si="28"/>
        <v>1058.0732844912407</v>
      </c>
      <c r="AF71">
        <f t="shared" ca="1" si="28"/>
        <v>1360.9643312111432</v>
      </c>
      <c r="AG71">
        <f t="shared" ca="1" si="28"/>
        <v>1431.2415710013786</v>
      </c>
      <c r="AH71">
        <f t="shared" ca="1" si="28"/>
        <v>909.73971081296975</v>
      </c>
      <c r="AI71">
        <f t="shared" ca="1" si="25"/>
        <v>1058.0732844912409</v>
      </c>
      <c r="AJ71">
        <f t="shared" ca="1" si="25"/>
        <v>1006.1194624136668</v>
      </c>
      <c r="AK71">
        <f t="shared" ca="1" si="25"/>
        <v>1294.1378648840334</v>
      </c>
      <c r="AL71">
        <f t="shared" ca="1" si="25"/>
        <v>1431.2415710013781</v>
      </c>
      <c r="AM71">
        <f t="shared" ca="1" si="25"/>
        <v>1294.1378648840334</v>
      </c>
      <c r="AN71">
        <f t="shared" ca="1" si="25"/>
        <v>1112.7098890109644</v>
      </c>
      <c r="AO71">
        <f t="shared" ca="1" si="24"/>
        <v>956.71669201467887</v>
      </c>
      <c r="AP71">
        <f t="shared" ca="1" si="24"/>
        <v>1170.1678090266926</v>
      </c>
      <c r="AQ71">
        <f t="shared" ca="1" si="24"/>
        <v>1294.1378648840334</v>
      </c>
      <c r="AR71">
        <f t="shared" ref="AR71:BG86" ca="1" si="32">AR70*(IF(RAND()&lt;$B$11,$B$9,$B$10))</f>
        <v>1058.0732844912411</v>
      </c>
      <c r="AS71">
        <f t="shared" ca="1" si="32"/>
        <v>1294.1378648840334</v>
      </c>
      <c r="AT71">
        <f t="shared" ca="1" si="32"/>
        <v>1230.5927311380608</v>
      </c>
      <c r="AU71">
        <f t="shared" ca="1" si="32"/>
        <v>822.59251743784137</v>
      </c>
      <c r="AV71">
        <f t="shared" ca="1" si="32"/>
        <v>956.71669201467898</v>
      </c>
      <c r="AW71">
        <f t="shared" ca="1" si="32"/>
        <v>1431.2415710013781</v>
      </c>
      <c r="AX71">
        <f t="shared" ca="1" si="32"/>
        <v>1230.5927311380608</v>
      </c>
      <c r="AY71">
        <f t="shared" ca="1" si="32"/>
        <v>1112.7098890109642</v>
      </c>
      <c r="AZ71">
        <f t="shared" ca="1" si="32"/>
        <v>1431.2415710013781</v>
      </c>
      <c r="BA71">
        <f t="shared" ca="1" si="32"/>
        <v>1294.1378648840334</v>
      </c>
      <c r="BB71">
        <f t="shared" ca="1" si="32"/>
        <v>956.71669201467864</v>
      </c>
      <c r="BC71">
        <f t="shared" ca="1" si="32"/>
        <v>1230.5927311380613</v>
      </c>
      <c r="BD71">
        <f t="shared" ca="1" si="32"/>
        <v>1112.7098890109644</v>
      </c>
      <c r="BE71">
        <f t="shared" ca="1" si="32"/>
        <v>1294.1378648840334</v>
      </c>
      <c r="BF71">
        <f t="shared" ca="1" si="32"/>
        <v>1112.7098890109644</v>
      </c>
      <c r="BG71">
        <f t="shared" ca="1" si="29"/>
        <v>1170.167809026693</v>
      </c>
      <c r="BH71">
        <f t="shared" ca="1" si="29"/>
        <v>1582.870334101578</v>
      </c>
      <c r="BI71">
        <f t="shared" ca="1" si="29"/>
        <v>1431.2415710013786</v>
      </c>
      <c r="BJ71">
        <f t="shared" ca="1" si="29"/>
        <v>1112.7098890109642</v>
      </c>
      <c r="BK71">
        <f t="shared" ca="1" si="29"/>
        <v>956.71669201467876</v>
      </c>
      <c r="BL71">
        <f t="shared" ca="1" si="29"/>
        <v>1230.5927311380606</v>
      </c>
      <c r="BM71">
        <f t="shared" ca="1" si="29"/>
        <v>1505.1477746955675</v>
      </c>
      <c r="BN71">
        <f t="shared" ca="1" si="29"/>
        <v>1112.7098890109644</v>
      </c>
      <c r="BO71">
        <f t="shared" ca="1" si="29"/>
        <v>1294.1378648840334</v>
      </c>
      <c r="BP71">
        <f t="shared" ca="1" si="29"/>
        <v>1230.5927311380608</v>
      </c>
      <c r="BQ71">
        <f t="shared" ca="1" si="29"/>
        <v>1058.0732844912411</v>
      </c>
      <c r="BR71">
        <f t="shared" ca="1" si="29"/>
        <v>1294.1378648840339</v>
      </c>
      <c r="BS71">
        <f t="shared" ca="1" si="29"/>
        <v>1294.1378648840334</v>
      </c>
      <c r="BT71">
        <f t="shared" ca="1" si="29"/>
        <v>1112.7098890109644</v>
      </c>
      <c r="BU71">
        <f t="shared" ca="1" si="29"/>
        <v>822.59251743784137</v>
      </c>
      <c r="BV71">
        <f t="shared" ca="1" si="27"/>
        <v>1170.1678090266932</v>
      </c>
      <c r="BW71">
        <f t="shared" ca="1" si="27"/>
        <v>1058.0732844912409</v>
      </c>
      <c r="BX71">
        <f t="shared" ca="1" si="27"/>
        <v>1112.7098890109644</v>
      </c>
      <c r="BY71">
        <f t="shared" ca="1" si="27"/>
        <v>1170.167809026693</v>
      </c>
      <c r="BZ71">
        <f t="shared" ca="1" si="27"/>
        <v>1505.1477746955677</v>
      </c>
      <c r="CA71">
        <f t="shared" ca="1" si="27"/>
        <v>1505.1477746955677</v>
      </c>
      <c r="CB71">
        <f t="shared" ca="1" si="27"/>
        <v>1058.0732844912407</v>
      </c>
      <c r="CC71">
        <f t="shared" ca="1" si="27"/>
        <v>1360.9643312111427</v>
      </c>
      <c r="CD71">
        <f t="shared" ca="1" si="27"/>
        <v>1112.7098890109639</v>
      </c>
      <c r="CE71">
        <f t="shared" ca="1" si="27"/>
        <v>1294.1378648840334</v>
      </c>
      <c r="CF71">
        <f t="shared" ca="1" si="27"/>
        <v>909.73971081296975</v>
      </c>
      <c r="CG71">
        <f t="shared" ca="1" si="27"/>
        <v>1170.167809026693</v>
      </c>
      <c r="CH71">
        <f t="shared" ca="1" si="27"/>
        <v>1360.9643312111427</v>
      </c>
      <c r="CI71">
        <f t="shared" ca="1" si="27"/>
        <v>1505.1477746955675</v>
      </c>
      <c r="CJ71">
        <f t="shared" ca="1" si="27"/>
        <v>1058.0732844912411</v>
      </c>
      <c r="CK71">
        <f t="shared" ca="1" si="27"/>
        <v>1294.1378648840339</v>
      </c>
      <c r="CL71">
        <f t="shared" ca="1" si="31"/>
        <v>956.71669201467876</v>
      </c>
      <c r="CM71">
        <f t="shared" ca="1" si="26"/>
        <v>1360.9643312111427</v>
      </c>
      <c r="CN71">
        <f t="shared" ca="1" si="26"/>
        <v>1505.1477746955677</v>
      </c>
      <c r="CO71">
        <f t="shared" ca="1" si="26"/>
        <v>1505.1477746955677</v>
      </c>
      <c r="CP71">
        <f t="shared" ca="1" si="26"/>
        <v>1750.5629694824095</v>
      </c>
      <c r="CQ71">
        <f t="shared" ca="1" si="26"/>
        <v>1112.7098890109644</v>
      </c>
      <c r="CR71">
        <f t="shared" ca="1" si="26"/>
        <v>1294.1378648840334</v>
      </c>
      <c r="CS71">
        <f t="shared" ca="1" si="26"/>
        <v>956.71669201467876</v>
      </c>
      <c r="CT71">
        <f t="shared" ca="1" si="26"/>
        <v>1431.2415710013781</v>
      </c>
      <c r="CU71">
        <f t="shared" ca="1" si="26"/>
        <v>1112.7098890109644</v>
      </c>
      <c r="CV71">
        <f t="shared" ca="1" si="26"/>
        <v>1112.7098890109644</v>
      </c>
      <c r="CW71">
        <f t="shared" ca="1" si="26"/>
        <v>909.73971081296986</v>
      </c>
      <c r="CX71">
        <f t="shared" ca="1" si="26"/>
        <v>1170.167809026693</v>
      </c>
      <c r="CY71">
        <f t="shared" ca="1" si="26"/>
        <v>956.71669201467898</v>
      </c>
    </row>
    <row r="72" spans="1:103">
      <c r="A72">
        <v>56</v>
      </c>
      <c r="B72">
        <v>56</v>
      </c>
      <c r="C72">
        <v>56</v>
      </c>
      <c r="D72">
        <f t="shared" ca="1" si="30"/>
        <v>1085.0477440885795</v>
      </c>
      <c r="E72">
        <f t="shared" ca="1" si="30"/>
        <v>802.14273654332578</v>
      </c>
      <c r="F72">
        <f t="shared" ca="1" si="30"/>
        <v>1141.0772510686097</v>
      </c>
      <c r="G72">
        <f t="shared" ca="1" si="30"/>
        <v>1543.5199256908284</v>
      </c>
      <c r="H72">
        <f t="shared" ca="1" si="30"/>
        <v>1543.5199256908286</v>
      </c>
      <c r="I72">
        <f t="shared" ca="1" si="30"/>
        <v>1795.1917213704276</v>
      </c>
      <c r="J72">
        <f t="shared" ca="1" si="30"/>
        <v>1707.043695468745</v>
      </c>
      <c r="K72">
        <f t="shared" ca="1" si="30"/>
        <v>1887.8915197258498</v>
      </c>
      <c r="L72">
        <f t="shared" ca="1" si="30"/>
        <v>1327.1305413473519</v>
      </c>
      <c r="M72">
        <f t="shared" ca="1" si="30"/>
        <v>1261.9653916081936</v>
      </c>
      <c r="N72">
        <f t="shared" ca="1" si="30"/>
        <v>1200</v>
      </c>
      <c r="O72">
        <f t="shared" ca="1" si="30"/>
        <v>1141.0772510686097</v>
      </c>
      <c r="P72">
        <f t="shared" ca="1" si="30"/>
        <v>1141.0772510686095</v>
      </c>
      <c r="Q72">
        <f t="shared" ca="1" si="30"/>
        <v>1261.9653916081941</v>
      </c>
      <c r="R72">
        <f t="shared" ca="1" si="30"/>
        <v>1623.2239395662305</v>
      </c>
      <c r="S72">
        <f t="shared" ca="1" si="30"/>
        <v>1261.9653916081941</v>
      </c>
      <c r="T72">
        <f t="shared" ca="1" si="28"/>
        <v>981.10717245976264</v>
      </c>
      <c r="U72">
        <f t="shared" ca="1" si="28"/>
        <v>1327.1305413473522</v>
      </c>
      <c r="V72">
        <f t="shared" ca="1" si="28"/>
        <v>1467.7295614807629</v>
      </c>
      <c r="W72">
        <f t="shared" ca="1" si="28"/>
        <v>1395.6606777721711</v>
      </c>
      <c r="X72">
        <f t="shared" ca="1" si="28"/>
        <v>932.93256279506875</v>
      </c>
      <c r="Y72">
        <f t="shared" ca="1" si="28"/>
        <v>1395.6606777721713</v>
      </c>
      <c r="Z72">
        <f t="shared" ca="1" si="28"/>
        <v>1543.5199256908286</v>
      </c>
      <c r="AA72">
        <f t="shared" ca="1" si="28"/>
        <v>1327.1305413473517</v>
      </c>
      <c r="AB72">
        <f t="shared" ca="1" si="28"/>
        <v>1467.7295614807629</v>
      </c>
      <c r="AC72">
        <f t="shared" ca="1" si="28"/>
        <v>1261.9653916081936</v>
      </c>
      <c r="AD72">
        <f t="shared" ca="1" si="28"/>
        <v>1395.6606777721715</v>
      </c>
      <c r="AE72">
        <f t="shared" ca="1" si="28"/>
        <v>1085.0477440885791</v>
      </c>
      <c r="AF72">
        <f t="shared" ca="1" si="28"/>
        <v>1395.6606777721715</v>
      </c>
      <c r="AG72">
        <f t="shared" ca="1" si="28"/>
        <v>1395.6606777721715</v>
      </c>
      <c r="AH72">
        <f t="shared" ca="1" si="28"/>
        <v>932.93256279506875</v>
      </c>
      <c r="AI72">
        <f t="shared" ca="1" si="25"/>
        <v>1085.0477440885793</v>
      </c>
      <c r="AJ72">
        <f t="shared" ca="1" si="25"/>
        <v>981.10717245976264</v>
      </c>
      <c r="AK72">
        <f t="shared" ca="1" si="25"/>
        <v>1327.1305413473517</v>
      </c>
      <c r="AL72">
        <f t="shared" ca="1" si="25"/>
        <v>1467.7295614807629</v>
      </c>
      <c r="AM72">
        <f t="shared" ca="1" si="25"/>
        <v>1327.1305413473517</v>
      </c>
      <c r="AN72">
        <f t="shared" ca="1" si="25"/>
        <v>1141.0772510686097</v>
      </c>
      <c r="AO72">
        <f t="shared" ca="1" si="25"/>
        <v>932.93256279506875</v>
      </c>
      <c r="AP72">
        <f t="shared" ca="1" si="25"/>
        <v>1141.0772510686093</v>
      </c>
      <c r="AQ72">
        <f t="shared" ca="1" si="25"/>
        <v>1327.1305413473517</v>
      </c>
      <c r="AR72">
        <f t="shared" ca="1" si="32"/>
        <v>1085.0477440885795</v>
      </c>
      <c r="AS72">
        <f t="shared" ca="1" si="32"/>
        <v>1327.1305413473517</v>
      </c>
      <c r="AT72">
        <f t="shared" ca="1" si="32"/>
        <v>1261.9653916081936</v>
      </c>
      <c r="AU72">
        <f t="shared" ca="1" si="32"/>
        <v>802.14273654332578</v>
      </c>
      <c r="AV72">
        <f t="shared" ca="1" si="32"/>
        <v>981.10717245976275</v>
      </c>
      <c r="AW72">
        <f t="shared" ca="1" si="32"/>
        <v>1467.7295614807629</v>
      </c>
      <c r="AX72">
        <f t="shared" ca="1" si="32"/>
        <v>1261.9653916081936</v>
      </c>
      <c r="AY72">
        <f t="shared" ca="1" si="32"/>
        <v>1141.0772510686095</v>
      </c>
      <c r="AZ72">
        <f t="shared" ca="1" si="32"/>
        <v>1395.6606777721711</v>
      </c>
      <c r="BA72">
        <f t="shared" ca="1" si="32"/>
        <v>1327.1305413473517</v>
      </c>
      <c r="BB72">
        <f t="shared" ca="1" si="32"/>
        <v>981.10717245976241</v>
      </c>
      <c r="BC72">
        <f t="shared" ca="1" si="32"/>
        <v>1261.9653916081941</v>
      </c>
      <c r="BD72">
        <f t="shared" ca="1" si="32"/>
        <v>1141.0772510686097</v>
      </c>
      <c r="BE72">
        <f t="shared" ca="1" si="32"/>
        <v>1261.9653916081936</v>
      </c>
      <c r="BF72">
        <f t="shared" ca="1" si="32"/>
        <v>1141.0772510686097</v>
      </c>
      <c r="BG72">
        <f t="shared" ca="1" si="29"/>
        <v>1199.9999999999995</v>
      </c>
      <c r="BH72">
        <f t="shared" ca="1" si="29"/>
        <v>1623.2239395662305</v>
      </c>
      <c r="BI72">
        <f t="shared" ca="1" si="29"/>
        <v>1395.6606777721715</v>
      </c>
      <c r="BJ72">
        <f t="shared" ca="1" si="29"/>
        <v>1141.0772510686095</v>
      </c>
      <c r="BK72">
        <f t="shared" ca="1" si="29"/>
        <v>932.93256279506875</v>
      </c>
      <c r="BL72">
        <f t="shared" ca="1" si="29"/>
        <v>1261.9653916081934</v>
      </c>
      <c r="BM72">
        <f t="shared" ca="1" si="29"/>
        <v>1467.7295614807629</v>
      </c>
      <c r="BN72">
        <f t="shared" ca="1" si="29"/>
        <v>1085.0477440885795</v>
      </c>
      <c r="BO72">
        <f t="shared" ca="1" si="29"/>
        <v>1327.1305413473517</v>
      </c>
      <c r="BP72">
        <f t="shared" ca="1" si="29"/>
        <v>1261.9653916081936</v>
      </c>
      <c r="BQ72">
        <f t="shared" ca="1" si="29"/>
        <v>1085.0477440885795</v>
      </c>
      <c r="BR72">
        <f t="shared" ca="1" si="29"/>
        <v>1261.9653916081941</v>
      </c>
      <c r="BS72">
        <f t="shared" ca="1" si="29"/>
        <v>1327.1305413473517</v>
      </c>
      <c r="BT72">
        <f t="shared" ca="1" si="29"/>
        <v>1085.0477440885795</v>
      </c>
      <c r="BU72">
        <f t="shared" ca="1" si="29"/>
        <v>843.56364387297208</v>
      </c>
      <c r="BV72">
        <f t="shared" ca="1" si="27"/>
        <v>1141.0772510686097</v>
      </c>
      <c r="BW72">
        <f t="shared" ca="1" si="27"/>
        <v>1085.0477440885793</v>
      </c>
      <c r="BX72">
        <f t="shared" ca="1" si="27"/>
        <v>1085.0477440885795</v>
      </c>
      <c r="BY72">
        <f t="shared" ca="1" si="27"/>
        <v>1199.9999999999995</v>
      </c>
      <c r="BZ72">
        <f t="shared" ca="1" si="27"/>
        <v>1467.7295614807629</v>
      </c>
      <c r="CA72">
        <f t="shared" ca="1" si="27"/>
        <v>1543.5199256908284</v>
      </c>
      <c r="CB72">
        <f t="shared" ca="1" si="27"/>
        <v>1031.7694142523269</v>
      </c>
      <c r="CC72">
        <f t="shared" ca="1" si="27"/>
        <v>1327.1305413473517</v>
      </c>
      <c r="CD72">
        <f t="shared" ca="1" si="27"/>
        <v>1141.0772510686093</v>
      </c>
      <c r="CE72">
        <f t="shared" ca="1" si="27"/>
        <v>1261.9653916081936</v>
      </c>
      <c r="CF72">
        <f t="shared" ca="1" si="27"/>
        <v>932.93256279506875</v>
      </c>
      <c r="CG72">
        <f t="shared" ca="1" si="27"/>
        <v>1199.9999999999995</v>
      </c>
      <c r="CH72">
        <f t="shared" ca="1" si="27"/>
        <v>1395.6606777721711</v>
      </c>
      <c r="CI72">
        <f t="shared" ca="1" si="27"/>
        <v>1467.7295614807629</v>
      </c>
      <c r="CJ72">
        <f t="shared" ca="1" si="27"/>
        <v>1085.0477440885795</v>
      </c>
      <c r="CK72">
        <f t="shared" ca="1" si="27"/>
        <v>1261.9653916081941</v>
      </c>
      <c r="CL72">
        <f t="shared" ca="1" si="31"/>
        <v>981.10717245976252</v>
      </c>
      <c r="CM72">
        <f t="shared" ca="1" si="26"/>
        <v>1327.1305413473517</v>
      </c>
      <c r="CN72">
        <f t="shared" ca="1" si="26"/>
        <v>1467.7295614807629</v>
      </c>
      <c r="CO72">
        <f t="shared" ca="1" si="26"/>
        <v>1467.7295614807629</v>
      </c>
      <c r="CP72">
        <f t="shared" ca="1" si="26"/>
        <v>1795.1917213704276</v>
      </c>
      <c r="CQ72">
        <f t="shared" ca="1" si="26"/>
        <v>1141.0772510686097</v>
      </c>
      <c r="CR72">
        <f t="shared" ca="1" si="26"/>
        <v>1261.9653916081936</v>
      </c>
      <c r="CS72">
        <f t="shared" ca="1" si="26"/>
        <v>932.93256279506875</v>
      </c>
      <c r="CT72">
        <f t="shared" ca="1" si="26"/>
        <v>1467.7295614807629</v>
      </c>
      <c r="CU72">
        <f t="shared" ca="1" si="26"/>
        <v>1085.0477440885795</v>
      </c>
      <c r="CV72">
        <f t="shared" ca="1" si="26"/>
        <v>1085.0477440885795</v>
      </c>
      <c r="CW72">
        <f t="shared" ca="1" si="26"/>
        <v>887.12343682215885</v>
      </c>
      <c r="CX72">
        <f t="shared" ca="1" si="26"/>
        <v>1199.9999999999995</v>
      </c>
      <c r="CY72">
        <f t="shared" ca="1" si="26"/>
        <v>932.93256279506886</v>
      </c>
    </row>
    <row r="73" spans="1:103">
      <c r="A73">
        <v>57</v>
      </c>
      <c r="B73">
        <v>57</v>
      </c>
      <c r="C73">
        <v>57</v>
      </c>
      <c r="D73">
        <f t="shared" ca="1" si="30"/>
        <v>1058.0732844912411</v>
      </c>
      <c r="E73">
        <f t="shared" ca="1" si="30"/>
        <v>822.59251743784137</v>
      </c>
      <c r="F73">
        <f t="shared" ca="1" si="30"/>
        <v>1112.7098890109644</v>
      </c>
      <c r="G73">
        <f t="shared" ca="1" si="30"/>
        <v>1505.1477746955677</v>
      </c>
      <c r="H73">
        <f t="shared" ca="1" si="30"/>
        <v>1505.1477746955679</v>
      </c>
      <c r="I73">
        <f t="shared" ca="1" si="30"/>
        <v>1750.5629694824095</v>
      </c>
      <c r="J73">
        <f t="shared" ca="1" si="30"/>
        <v>1750.5629694824099</v>
      </c>
      <c r="K73">
        <f t="shared" ca="1" si="30"/>
        <v>1840.9582360980601</v>
      </c>
      <c r="L73">
        <f t="shared" ca="1" si="30"/>
        <v>1360.964331211143</v>
      </c>
      <c r="M73">
        <f t="shared" ca="1" si="30"/>
        <v>1294.1378648840334</v>
      </c>
      <c r="N73">
        <f t="shared" ca="1" si="30"/>
        <v>1170.1678090266935</v>
      </c>
      <c r="O73">
        <f t="shared" ca="1" si="30"/>
        <v>1112.7098890109644</v>
      </c>
      <c r="P73">
        <f t="shared" ca="1" si="30"/>
        <v>1112.7098890109642</v>
      </c>
      <c r="Q73">
        <f t="shared" ca="1" si="30"/>
        <v>1294.1378648840339</v>
      </c>
      <c r="R73">
        <f t="shared" ca="1" si="30"/>
        <v>1582.870334101578</v>
      </c>
      <c r="S73">
        <f t="shared" ca="1" si="30"/>
        <v>1294.1378648840339</v>
      </c>
      <c r="T73">
        <f t="shared" ca="1" si="28"/>
        <v>1006.1194624136668</v>
      </c>
      <c r="U73">
        <f t="shared" ca="1" si="28"/>
        <v>1360.9643312111432</v>
      </c>
      <c r="V73">
        <f t="shared" ca="1" si="28"/>
        <v>1505.1477746955675</v>
      </c>
      <c r="W73">
        <f t="shared" ca="1" si="28"/>
        <v>1431.2415710013781</v>
      </c>
      <c r="X73">
        <f t="shared" ca="1" si="28"/>
        <v>909.73971081296975</v>
      </c>
      <c r="Y73">
        <f t="shared" ca="1" si="28"/>
        <v>1431.2415710013784</v>
      </c>
      <c r="Z73">
        <f t="shared" ca="1" si="28"/>
        <v>1582.8703341015785</v>
      </c>
      <c r="AA73">
        <f t="shared" ca="1" si="28"/>
        <v>1360.9643312111427</v>
      </c>
      <c r="AB73">
        <f t="shared" ca="1" si="28"/>
        <v>1505.1477746955675</v>
      </c>
      <c r="AC73">
        <f t="shared" ca="1" si="28"/>
        <v>1294.1378648840334</v>
      </c>
      <c r="AD73">
        <f t="shared" ca="1" si="28"/>
        <v>1431.2415710013786</v>
      </c>
      <c r="AE73">
        <f t="shared" ca="1" si="28"/>
        <v>1058.0732844912407</v>
      </c>
      <c r="AF73">
        <f t="shared" ca="1" si="28"/>
        <v>1360.9643312111432</v>
      </c>
      <c r="AG73">
        <f t="shared" ca="1" si="28"/>
        <v>1360.9643312111432</v>
      </c>
      <c r="AH73">
        <f t="shared" ca="1" si="28"/>
        <v>956.71669201467876</v>
      </c>
      <c r="AI73">
        <f t="shared" ca="1" si="25"/>
        <v>1058.0732844912409</v>
      </c>
      <c r="AJ73">
        <f t="shared" ca="1" si="25"/>
        <v>1006.1194624136668</v>
      </c>
      <c r="AK73">
        <f t="shared" ca="1" si="25"/>
        <v>1360.9643312111427</v>
      </c>
      <c r="AL73">
        <f t="shared" ca="1" si="25"/>
        <v>1505.1477746955675</v>
      </c>
      <c r="AM73">
        <f t="shared" ca="1" si="25"/>
        <v>1360.9643312111427</v>
      </c>
      <c r="AN73">
        <f t="shared" ca="1" si="25"/>
        <v>1170.167809026693</v>
      </c>
      <c r="AO73">
        <f t="shared" ca="1" si="25"/>
        <v>909.73971081296975</v>
      </c>
      <c r="AP73">
        <f t="shared" ca="1" si="25"/>
        <v>1170.1678090266926</v>
      </c>
      <c r="AQ73">
        <f t="shared" ca="1" si="25"/>
        <v>1294.1378648840334</v>
      </c>
      <c r="AR73">
        <f t="shared" ca="1" si="32"/>
        <v>1058.0732844912411</v>
      </c>
      <c r="AS73">
        <f t="shared" ca="1" si="32"/>
        <v>1294.1378648840334</v>
      </c>
      <c r="AT73">
        <f t="shared" ca="1" si="32"/>
        <v>1294.1378648840334</v>
      </c>
      <c r="AU73">
        <f t="shared" ca="1" si="32"/>
        <v>822.59251743784137</v>
      </c>
      <c r="AV73">
        <f t="shared" ca="1" si="32"/>
        <v>956.71669201467898</v>
      </c>
      <c r="AW73">
        <f t="shared" ca="1" si="32"/>
        <v>1505.1477746955675</v>
      </c>
      <c r="AX73">
        <f t="shared" ca="1" si="32"/>
        <v>1230.5927311380608</v>
      </c>
      <c r="AY73">
        <f t="shared" ca="1" si="32"/>
        <v>1170.1678090266928</v>
      </c>
      <c r="AZ73">
        <f t="shared" ca="1" si="32"/>
        <v>1360.9643312111427</v>
      </c>
      <c r="BA73">
        <f t="shared" ca="1" si="32"/>
        <v>1294.1378648840334</v>
      </c>
      <c r="BB73">
        <f t="shared" ca="1" si="32"/>
        <v>956.71669201467864</v>
      </c>
      <c r="BC73">
        <f t="shared" ca="1" si="32"/>
        <v>1294.1378648840339</v>
      </c>
      <c r="BD73">
        <f t="shared" ca="1" si="32"/>
        <v>1170.167809026693</v>
      </c>
      <c r="BE73">
        <f t="shared" ca="1" si="32"/>
        <v>1294.1378648840334</v>
      </c>
      <c r="BF73">
        <f t="shared" ca="1" si="32"/>
        <v>1112.7098890109644</v>
      </c>
      <c r="BG73">
        <f t="shared" ca="1" si="29"/>
        <v>1170.167809026693</v>
      </c>
      <c r="BH73">
        <f t="shared" ca="1" si="29"/>
        <v>1582.870334101578</v>
      </c>
      <c r="BI73">
        <f t="shared" ca="1" si="29"/>
        <v>1360.9643312111432</v>
      </c>
      <c r="BJ73">
        <f t="shared" ca="1" si="29"/>
        <v>1112.7098890109642</v>
      </c>
      <c r="BK73">
        <f t="shared" ca="1" si="29"/>
        <v>956.71669201467876</v>
      </c>
      <c r="BL73">
        <f t="shared" ca="1" si="29"/>
        <v>1294.1378648840332</v>
      </c>
      <c r="BM73">
        <f t="shared" ca="1" si="29"/>
        <v>1431.2415710013781</v>
      </c>
      <c r="BN73">
        <f t="shared" ca="1" si="29"/>
        <v>1058.0732844912411</v>
      </c>
      <c r="BO73">
        <f t="shared" ca="1" si="29"/>
        <v>1294.1378648840334</v>
      </c>
      <c r="BP73">
        <f t="shared" ca="1" si="29"/>
        <v>1294.1378648840334</v>
      </c>
      <c r="BQ73">
        <f t="shared" ca="1" si="29"/>
        <v>1112.7098890109644</v>
      </c>
      <c r="BR73">
        <f t="shared" ca="1" si="29"/>
        <v>1294.1378648840339</v>
      </c>
      <c r="BS73">
        <f t="shared" ca="1" si="29"/>
        <v>1294.1378648840334</v>
      </c>
      <c r="BT73">
        <f t="shared" ca="1" si="29"/>
        <v>1112.7098890109644</v>
      </c>
      <c r="BU73">
        <f t="shared" ca="1" si="29"/>
        <v>865.06940700201301</v>
      </c>
      <c r="BV73">
        <f t="shared" ca="1" si="27"/>
        <v>1170.167809026693</v>
      </c>
      <c r="BW73">
        <f t="shared" ca="1" si="27"/>
        <v>1112.7098890109642</v>
      </c>
      <c r="BX73">
        <f t="shared" ca="1" si="27"/>
        <v>1112.7098890109644</v>
      </c>
      <c r="BY73">
        <f t="shared" ca="1" si="27"/>
        <v>1230.5927311380608</v>
      </c>
      <c r="BZ73">
        <f t="shared" ca="1" si="27"/>
        <v>1431.2415710013781</v>
      </c>
      <c r="CA73">
        <f t="shared" ca="1" si="27"/>
        <v>1582.8703341015782</v>
      </c>
      <c r="CB73">
        <f t="shared" ca="1" si="27"/>
        <v>1058.0732844912407</v>
      </c>
      <c r="CC73">
        <f t="shared" ca="1" si="27"/>
        <v>1360.9643312111427</v>
      </c>
      <c r="CD73">
        <f t="shared" ca="1" si="27"/>
        <v>1112.7098890109639</v>
      </c>
      <c r="CE73">
        <f t="shared" ca="1" si="27"/>
        <v>1294.1378648840334</v>
      </c>
      <c r="CF73">
        <f t="shared" ca="1" si="27"/>
        <v>909.73971081296975</v>
      </c>
      <c r="CG73">
        <f t="shared" ca="1" si="27"/>
        <v>1170.167809026693</v>
      </c>
      <c r="CH73">
        <f t="shared" ca="1" si="27"/>
        <v>1360.9643312111427</v>
      </c>
      <c r="CI73">
        <f t="shared" ca="1" si="27"/>
        <v>1431.2415710013781</v>
      </c>
      <c r="CJ73">
        <f t="shared" ca="1" si="27"/>
        <v>1058.0732844912411</v>
      </c>
      <c r="CK73">
        <f t="shared" ca="1" si="27"/>
        <v>1294.1378648840339</v>
      </c>
      <c r="CL73">
        <f t="shared" ca="1" si="31"/>
        <v>956.71669201467876</v>
      </c>
      <c r="CM73">
        <f t="shared" ca="1" si="26"/>
        <v>1294.1378648840334</v>
      </c>
      <c r="CN73">
        <f t="shared" ca="1" si="26"/>
        <v>1431.2415710013781</v>
      </c>
      <c r="CO73">
        <f t="shared" ca="1" si="26"/>
        <v>1505.1477746955675</v>
      </c>
      <c r="CP73">
        <f t="shared" ca="1" si="26"/>
        <v>1750.5629694824095</v>
      </c>
      <c r="CQ73">
        <f t="shared" ca="1" si="26"/>
        <v>1112.7098890109644</v>
      </c>
      <c r="CR73">
        <f t="shared" ca="1" si="26"/>
        <v>1230.5927311380608</v>
      </c>
      <c r="CS73">
        <f t="shared" ca="1" si="26"/>
        <v>956.71669201467876</v>
      </c>
      <c r="CT73">
        <f t="shared" ca="1" si="26"/>
        <v>1505.1477746955675</v>
      </c>
      <c r="CU73">
        <f t="shared" ca="1" si="26"/>
        <v>1112.7098890109644</v>
      </c>
      <c r="CV73">
        <f t="shared" ca="1" si="26"/>
        <v>1058.0732844912411</v>
      </c>
      <c r="CW73">
        <f t="shared" ca="1" si="26"/>
        <v>865.06940700201324</v>
      </c>
      <c r="CX73">
        <f t="shared" ca="1" si="26"/>
        <v>1230.5927311380608</v>
      </c>
      <c r="CY73">
        <f t="shared" ca="1" si="26"/>
        <v>909.73971081296975</v>
      </c>
    </row>
    <row r="74" spans="1:103">
      <c r="A74">
        <v>58</v>
      </c>
      <c r="B74">
        <v>58</v>
      </c>
      <c r="C74">
        <v>58</v>
      </c>
      <c r="D74">
        <f t="shared" ca="1" si="30"/>
        <v>1031.7694142523274</v>
      </c>
      <c r="E74">
        <f t="shared" ca="1" si="30"/>
        <v>843.56364387297208</v>
      </c>
      <c r="F74">
        <f t="shared" ca="1" si="30"/>
        <v>1141.0772510686097</v>
      </c>
      <c r="G74">
        <f t="shared" ca="1" si="30"/>
        <v>1467.7295614807629</v>
      </c>
      <c r="H74">
        <f t="shared" ca="1" si="30"/>
        <v>1543.5199256908286</v>
      </c>
      <c r="I74">
        <f t="shared" ca="1" si="30"/>
        <v>1795.1917213704276</v>
      </c>
      <c r="J74">
        <f t="shared" ca="1" si="30"/>
        <v>1707.043695468745</v>
      </c>
      <c r="K74">
        <f t="shared" ca="1" si="30"/>
        <v>1887.8915197258498</v>
      </c>
      <c r="L74">
        <f t="shared" ca="1" si="30"/>
        <v>1395.6606777721713</v>
      </c>
      <c r="M74">
        <f t="shared" ca="1" si="30"/>
        <v>1327.1305413473517</v>
      </c>
      <c r="N74">
        <f t="shared" ca="1" si="30"/>
        <v>1200</v>
      </c>
      <c r="O74">
        <f t="shared" ca="1" si="30"/>
        <v>1085.0477440885795</v>
      </c>
      <c r="P74">
        <f t="shared" ca="1" si="30"/>
        <v>1085.0477440885793</v>
      </c>
      <c r="Q74">
        <f t="shared" ca="1" si="30"/>
        <v>1327.1305413473522</v>
      </c>
      <c r="R74">
        <f t="shared" ca="1" si="30"/>
        <v>1543.5199256908281</v>
      </c>
      <c r="S74">
        <f t="shared" ca="1" si="30"/>
        <v>1327.1305413473522</v>
      </c>
      <c r="T74">
        <f t="shared" ca="1" si="28"/>
        <v>1031.7694142523269</v>
      </c>
      <c r="U74">
        <f t="shared" ca="1" si="28"/>
        <v>1395.6606777721715</v>
      </c>
      <c r="V74">
        <f t="shared" ca="1" si="28"/>
        <v>1543.5199256908281</v>
      </c>
      <c r="W74">
        <f t="shared" ca="1" si="28"/>
        <v>1395.6606777721711</v>
      </c>
      <c r="X74">
        <f t="shared" ca="1" si="28"/>
        <v>932.93256279506875</v>
      </c>
      <c r="Y74">
        <f t="shared" ca="1" si="28"/>
        <v>1467.7295614807631</v>
      </c>
      <c r="Z74">
        <f t="shared" ca="1" si="28"/>
        <v>1623.2239395662309</v>
      </c>
      <c r="AA74">
        <f t="shared" ca="1" si="28"/>
        <v>1395.6606777721711</v>
      </c>
      <c r="AB74">
        <f t="shared" ca="1" si="28"/>
        <v>1467.7295614807629</v>
      </c>
      <c r="AC74">
        <f t="shared" ca="1" si="28"/>
        <v>1327.1305413473517</v>
      </c>
      <c r="AD74">
        <f t="shared" ca="1" si="28"/>
        <v>1395.6606777721715</v>
      </c>
      <c r="AE74">
        <f t="shared" ca="1" si="28"/>
        <v>1085.0477440885791</v>
      </c>
      <c r="AF74">
        <f t="shared" ca="1" si="28"/>
        <v>1327.1305413473522</v>
      </c>
      <c r="AG74">
        <f t="shared" ca="1" si="28"/>
        <v>1395.6606777721715</v>
      </c>
      <c r="AH74">
        <f t="shared" ca="1" si="28"/>
        <v>932.93256279506875</v>
      </c>
      <c r="AI74">
        <f t="shared" ca="1" si="28"/>
        <v>1085.0477440885793</v>
      </c>
      <c r="AJ74">
        <f t="shared" ref="AJ74:AY89" ca="1" si="33">AJ73*(IF(RAND()&lt;$B$11,$B$9,$B$10))</f>
        <v>981.10717245976264</v>
      </c>
      <c r="AK74">
        <f t="shared" ca="1" si="33"/>
        <v>1395.6606777721711</v>
      </c>
      <c r="AL74">
        <f t="shared" ca="1" si="33"/>
        <v>1543.5199256908281</v>
      </c>
      <c r="AM74">
        <f t="shared" ca="1" si="33"/>
        <v>1395.6606777721711</v>
      </c>
      <c r="AN74">
        <f t="shared" ca="1" si="33"/>
        <v>1141.0772510686097</v>
      </c>
      <c r="AO74">
        <f t="shared" ca="1" si="33"/>
        <v>932.93256279506875</v>
      </c>
      <c r="AP74">
        <f t="shared" ca="1" si="33"/>
        <v>1199.9999999999991</v>
      </c>
      <c r="AQ74">
        <f t="shared" ca="1" si="33"/>
        <v>1261.9653916081936</v>
      </c>
      <c r="AR74">
        <f t="shared" ca="1" si="32"/>
        <v>1031.7694142523274</v>
      </c>
      <c r="AS74">
        <f t="shared" ca="1" si="32"/>
        <v>1327.1305413473517</v>
      </c>
      <c r="AT74">
        <f t="shared" ca="1" si="32"/>
        <v>1261.9653916081936</v>
      </c>
      <c r="AU74">
        <f t="shared" ca="1" si="32"/>
        <v>802.14273654332578</v>
      </c>
      <c r="AV74">
        <f t="shared" ca="1" si="32"/>
        <v>981.10717245976275</v>
      </c>
      <c r="AW74">
        <f t="shared" ca="1" si="32"/>
        <v>1467.7295614807629</v>
      </c>
      <c r="AX74">
        <f t="shared" ca="1" si="32"/>
        <v>1261.9653916081936</v>
      </c>
      <c r="AY74">
        <f t="shared" ca="1" si="32"/>
        <v>1199.9999999999993</v>
      </c>
      <c r="AZ74">
        <f t="shared" ca="1" si="32"/>
        <v>1395.6606777721711</v>
      </c>
      <c r="BA74">
        <f t="shared" ca="1" si="32"/>
        <v>1327.1305413473517</v>
      </c>
      <c r="BB74">
        <f t="shared" ca="1" si="32"/>
        <v>932.93256279506863</v>
      </c>
      <c r="BC74">
        <f t="shared" ca="1" si="32"/>
        <v>1261.9653916081941</v>
      </c>
      <c r="BD74">
        <f t="shared" ca="1" si="32"/>
        <v>1141.0772510686097</v>
      </c>
      <c r="BE74">
        <f t="shared" ca="1" si="32"/>
        <v>1261.9653916081936</v>
      </c>
      <c r="BF74">
        <f t="shared" ca="1" si="32"/>
        <v>1085.0477440885795</v>
      </c>
      <c r="BG74">
        <f t="shared" ca="1" si="29"/>
        <v>1141.0772510686097</v>
      </c>
      <c r="BH74">
        <f t="shared" ca="1" si="29"/>
        <v>1543.5199256908281</v>
      </c>
      <c r="BI74">
        <f t="shared" ca="1" si="29"/>
        <v>1395.6606777721715</v>
      </c>
      <c r="BJ74">
        <f t="shared" ca="1" si="29"/>
        <v>1141.0772510686095</v>
      </c>
      <c r="BK74">
        <f t="shared" ca="1" si="29"/>
        <v>981.10717245976252</v>
      </c>
      <c r="BL74">
        <f t="shared" ca="1" si="29"/>
        <v>1261.9653916081934</v>
      </c>
      <c r="BM74">
        <f t="shared" ca="1" si="29"/>
        <v>1395.6606777721711</v>
      </c>
      <c r="BN74">
        <f t="shared" ca="1" si="29"/>
        <v>1031.7694142523274</v>
      </c>
      <c r="BO74">
        <f t="shared" ca="1" si="29"/>
        <v>1327.1305413473517</v>
      </c>
      <c r="BP74">
        <f t="shared" ca="1" si="29"/>
        <v>1261.9653916081936</v>
      </c>
      <c r="BQ74">
        <f t="shared" ca="1" si="29"/>
        <v>1085.0477440885795</v>
      </c>
      <c r="BR74">
        <f t="shared" ca="1" si="29"/>
        <v>1261.9653916081941</v>
      </c>
      <c r="BS74">
        <f t="shared" ca="1" si="29"/>
        <v>1261.9653916081936</v>
      </c>
      <c r="BT74">
        <f t="shared" ca="1" si="29"/>
        <v>1141.0772510686097</v>
      </c>
      <c r="BU74">
        <f t="shared" ca="1" si="29"/>
        <v>843.56364387297208</v>
      </c>
      <c r="BV74">
        <f t="shared" ca="1" si="27"/>
        <v>1199.9999999999995</v>
      </c>
      <c r="BW74">
        <f t="shared" ca="1" si="27"/>
        <v>1141.0772510686095</v>
      </c>
      <c r="BX74">
        <f t="shared" ca="1" si="27"/>
        <v>1085.0477440885795</v>
      </c>
      <c r="BY74">
        <f t="shared" ca="1" si="27"/>
        <v>1199.9999999999995</v>
      </c>
      <c r="BZ74">
        <f t="shared" ca="1" si="27"/>
        <v>1395.6606777721711</v>
      </c>
      <c r="CA74">
        <f t="shared" ca="1" si="27"/>
        <v>1543.5199256908284</v>
      </c>
      <c r="CB74">
        <f t="shared" ca="1" si="27"/>
        <v>1031.7694142523269</v>
      </c>
      <c r="CC74">
        <f t="shared" ca="1" si="27"/>
        <v>1327.1305413473517</v>
      </c>
      <c r="CD74">
        <f t="shared" ca="1" si="27"/>
        <v>1141.0772510686093</v>
      </c>
      <c r="CE74">
        <f t="shared" ca="1" si="27"/>
        <v>1261.9653916081936</v>
      </c>
      <c r="CF74">
        <f t="shared" ca="1" si="27"/>
        <v>887.12343682215874</v>
      </c>
      <c r="CG74">
        <f t="shared" ca="1" si="27"/>
        <v>1141.0772510686097</v>
      </c>
      <c r="CH74">
        <f t="shared" ca="1" si="27"/>
        <v>1327.1305413473517</v>
      </c>
      <c r="CI74">
        <f t="shared" ca="1" si="27"/>
        <v>1395.6606777721711</v>
      </c>
      <c r="CJ74">
        <f t="shared" ca="1" si="27"/>
        <v>1031.7694142523274</v>
      </c>
      <c r="CK74">
        <f t="shared" ca="1" si="27"/>
        <v>1327.1305413473522</v>
      </c>
      <c r="CL74">
        <f t="shared" ca="1" si="31"/>
        <v>981.10717245976252</v>
      </c>
      <c r="CM74">
        <f t="shared" ca="1" si="26"/>
        <v>1261.9653916081936</v>
      </c>
      <c r="CN74">
        <f t="shared" ca="1" si="26"/>
        <v>1395.6606777721711</v>
      </c>
      <c r="CO74">
        <f t="shared" ca="1" si="26"/>
        <v>1467.7295614807629</v>
      </c>
      <c r="CP74">
        <f t="shared" ca="1" si="26"/>
        <v>1707.0436954687445</v>
      </c>
      <c r="CQ74">
        <f t="shared" ca="1" si="26"/>
        <v>1085.0477440885795</v>
      </c>
      <c r="CR74">
        <f t="shared" ca="1" si="26"/>
        <v>1261.9653916081936</v>
      </c>
      <c r="CS74">
        <f t="shared" ca="1" si="26"/>
        <v>981.10717245976252</v>
      </c>
      <c r="CT74">
        <f t="shared" ca="1" si="26"/>
        <v>1543.5199256908281</v>
      </c>
      <c r="CU74">
        <f t="shared" ca="1" si="26"/>
        <v>1085.0477440885795</v>
      </c>
      <c r="CV74">
        <f t="shared" ca="1" si="26"/>
        <v>1031.7694142523274</v>
      </c>
      <c r="CW74">
        <f t="shared" ca="1" si="26"/>
        <v>887.12343682215885</v>
      </c>
      <c r="CX74">
        <f t="shared" ca="1" si="26"/>
        <v>1199.9999999999995</v>
      </c>
      <c r="CY74">
        <f t="shared" ca="1" si="26"/>
        <v>887.12343682215874</v>
      </c>
    </row>
    <row r="75" spans="1:103">
      <c r="A75">
        <v>59</v>
      </c>
      <c r="B75">
        <v>59</v>
      </c>
      <c r="C75">
        <v>59</v>
      </c>
      <c r="D75">
        <f t="shared" ca="1" si="30"/>
        <v>1006.1194624136672</v>
      </c>
      <c r="E75">
        <f t="shared" ca="1" si="30"/>
        <v>822.59251743784137</v>
      </c>
      <c r="F75">
        <f t="shared" ca="1" si="30"/>
        <v>1112.7098890109644</v>
      </c>
      <c r="G75">
        <f t="shared" ca="1" si="30"/>
        <v>1505.1477746955675</v>
      </c>
      <c r="H75">
        <f t="shared" ca="1" si="30"/>
        <v>1582.8703341015785</v>
      </c>
      <c r="I75">
        <f t="shared" ca="1" si="30"/>
        <v>1750.5629694824095</v>
      </c>
      <c r="J75">
        <f t="shared" ca="1" si="30"/>
        <v>1750.5629694824099</v>
      </c>
      <c r="K75">
        <f t="shared" ca="1" si="30"/>
        <v>1936.0213177931823</v>
      </c>
      <c r="L75">
        <f t="shared" ca="1" si="30"/>
        <v>1431.2415710013784</v>
      </c>
      <c r="M75">
        <f t="shared" ca="1" si="30"/>
        <v>1360.9643312111427</v>
      </c>
      <c r="N75">
        <f t="shared" ca="1" si="30"/>
        <v>1170.1678090266935</v>
      </c>
      <c r="O75">
        <f t="shared" ca="1" si="30"/>
        <v>1112.7098890109644</v>
      </c>
      <c r="P75">
        <f t="shared" ca="1" si="30"/>
        <v>1058.0732844912409</v>
      </c>
      <c r="Q75">
        <f t="shared" ca="1" si="30"/>
        <v>1360.9643312111432</v>
      </c>
      <c r="R75">
        <f t="shared" ca="1" si="30"/>
        <v>1505.1477746955675</v>
      </c>
      <c r="S75">
        <f t="shared" ca="1" si="30"/>
        <v>1294.1378648840339</v>
      </c>
      <c r="T75">
        <f t="shared" ca="1" si="28"/>
        <v>1058.0732844912407</v>
      </c>
      <c r="U75">
        <f t="shared" ca="1" si="28"/>
        <v>1431.2415710013786</v>
      </c>
      <c r="V75">
        <f t="shared" ca="1" si="28"/>
        <v>1582.870334101578</v>
      </c>
      <c r="W75">
        <f t="shared" ca="1" si="28"/>
        <v>1431.2415710013781</v>
      </c>
      <c r="X75">
        <f t="shared" ca="1" si="28"/>
        <v>956.71669201467876</v>
      </c>
      <c r="Y75">
        <f t="shared" ca="1" si="28"/>
        <v>1431.2415710013784</v>
      </c>
      <c r="Z75">
        <f t="shared" ca="1" si="28"/>
        <v>1582.8703341015785</v>
      </c>
      <c r="AA75">
        <f t="shared" ca="1" si="28"/>
        <v>1360.9643312111427</v>
      </c>
      <c r="AB75">
        <f t="shared" ca="1" si="28"/>
        <v>1431.2415710013781</v>
      </c>
      <c r="AC75">
        <f t="shared" ca="1" si="28"/>
        <v>1360.9643312111427</v>
      </c>
      <c r="AD75">
        <f t="shared" ca="1" si="28"/>
        <v>1360.9643312111432</v>
      </c>
      <c r="AE75">
        <f t="shared" ca="1" si="28"/>
        <v>1112.7098890109639</v>
      </c>
      <c r="AF75">
        <f t="shared" ca="1" si="28"/>
        <v>1360.9643312111432</v>
      </c>
      <c r="AG75">
        <f t="shared" ca="1" si="28"/>
        <v>1431.2415710013786</v>
      </c>
      <c r="AH75">
        <f t="shared" ca="1" si="28"/>
        <v>909.73971081296975</v>
      </c>
      <c r="AI75">
        <f t="shared" ca="1" si="28"/>
        <v>1058.0732844912409</v>
      </c>
      <c r="AJ75">
        <f t="shared" ca="1" si="33"/>
        <v>956.71669201467887</v>
      </c>
      <c r="AK75">
        <f t="shared" ca="1" si="33"/>
        <v>1431.2415710013781</v>
      </c>
      <c r="AL75">
        <f t="shared" ca="1" si="33"/>
        <v>1505.1477746955675</v>
      </c>
      <c r="AM75">
        <f t="shared" ca="1" si="33"/>
        <v>1360.9643312111427</v>
      </c>
      <c r="AN75">
        <f t="shared" ca="1" si="33"/>
        <v>1112.7098890109644</v>
      </c>
      <c r="AO75">
        <f t="shared" ca="1" si="33"/>
        <v>956.71669201467876</v>
      </c>
      <c r="AP75">
        <f t="shared" ca="1" si="33"/>
        <v>1230.5927311380603</v>
      </c>
      <c r="AQ75">
        <f t="shared" ca="1" si="33"/>
        <v>1230.5927311380608</v>
      </c>
      <c r="AR75">
        <f t="shared" ca="1" si="32"/>
        <v>1006.1194624136672</v>
      </c>
      <c r="AS75">
        <f t="shared" ca="1" si="32"/>
        <v>1360.9643312111427</v>
      </c>
      <c r="AT75">
        <f t="shared" ca="1" si="32"/>
        <v>1230.5927311380608</v>
      </c>
      <c r="AU75">
        <f t="shared" ca="1" si="32"/>
        <v>822.59251743784137</v>
      </c>
      <c r="AV75">
        <f t="shared" ca="1" si="32"/>
        <v>1006.119462413667</v>
      </c>
      <c r="AW75">
        <f t="shared" ca="1" si="32"/>
        <v>1431.2415710013781</v>
      </c>
      <c r="AX75">
        <f t="shared" ca="1" si="32"/>
        <v>1294.1378648840334</v>
      </c>
      <c r="AY75">
        <f t="shared" ca="1" si="32"/>
        <v>1170.1678090266928</v>
      </c>
      <c r="AZ75">
        <f t="shared" ca="1" si="32"/>
        <v>1360.9643312111427</v>
      </c>
      <c r="BA75">
        <f t="shared" ca="1" si="32"/>
        <v>1294.1378648840334</v>
      </c>
      <c r="BB75">
        <f t="shared" ca="1" si="32"/>
        <v>909.73971081296963</v>
      </c>
      <c r="BC75">
        <f t="shared" ca="1" si="32"/>
        <v>1230.5927311380613</v>
      </c>
      <c r="BD75">
        <f t="shared" ca="1" si="32"/>
        <v>1170.167809026693</v>
      </c>
      <c r="BE75">
        <f t="shared" ca="1" si="32"/>
        <v>1294.1378648840334</v>
      </c>
      <c r="BF75">
        <f t="shared" ca="1" si="32"/>
        <v>1058.0732844912411</v>
      </c>
      <c r="BG75">
        <f t="shared" ca="1" si="29"/>
        <v>1170.167809026693</v>
      </c>
      <c r="BH75">
        <f t="shared" ca="1" si="29"/>
        <v>1582.870334101578</v>
      </c>
      <c r="BI75">
        <f t="shared" ca="1" si="29"/>
        <v>1431.2415710013786</v>
      </c>
      <c r="BJ75">
        <f t="shared" ca="1" si="29"/>
        <v>1112.7098890109642</v>
      </c>
      <c r="BK75">
        <f t="shared" ca="1" si="29"/>
        <v>956.71669201467876</v>
      </c>
      <c r="BL75">
        <f t="shared" ca="1" si="29"/>
        <v>1294.1378648840332</v>
      </c>
      <c r="BM75">
        <f t="shared" ca="1" si="29"/>
        <v>1360.9643312111427</v>
      </c>
      <c r="BN75">
        <f t="shared" ca="1" si="29"/>
        <v>1058.0732844912411</v>
      </c>
      <c r="BO75">
        <f t="shared" ca="1" si="29"/>
        <v>1360.9643312111427</v>
      </c>
      <c r="BP75">
        <f t="shared" ca="1" si="29"/>
        <v>1230.5927311380608</v>
      </c>
      <c r="BQ75">
        <f t="shared" ca="1" si="29"/>
        <v>1058.0732844912411</v>
      </c>
      <c r="BR75">
        <f t="shared" ca="1" si="29"/>
        <v>1230.5927311380613</v>
      </c>
      <c r="BS75">
        <f t="shared" ca="1" si="29"/>
        <v>1294.1378648840334</v>
      </c>
      <c r="BT75">
        <f t="shared" ca="1" si="29"/>
        <v>1112.7098890109644</v>
      </c>
      <c r="BU75">
        <f t="shared" ca="1" si="29"/>
        <v>822.59251743784137</v>
      </c>
      <c r="BV75">
        <f t="shared" ca="1" si="27"/>
        <v>1170.167809026693</v>
      </c>
      <c r="BW75">
        <f t="shared" ca="1" si="27"/>
        <v>1170.1678090266928</v>
      </c>
      <c r="BX75">
        <f t="shared" ca="1" si="27"/>
        <v>1112.7098890109644</v>
      </c>
      <c r="BY75">
        <f t="shared" ca="1" si="27"/>
        <v>1170.167809026693</v>
      </c>
      <c r="BZ75">
        <f t="shared" ca="1" si="27"/>
        <v>1360.9643312111427</v>
      </c>
      <c r="CA75">
        <f t="shared" ca="1" si="27"/>
        <v>1505.1477746955677</v>
      </c>
      <c r="CB75">
        <f t="shared" ca="1" si="27"/>
        <v>1058.0732844912407</v>
      </c>
      <c r="CC75">
        <f t="shared" ca="1" si="27"/>
        <v>1360.9643312111427</v>
      </c>
      <c r="CD75">
        <f t="shared" ca="1" si="27"/>
        <v>1112.7098890109639</v>
      </c>
      <c r="CE75">
        <f t="shared" ca="1" si="27"/>
        <v>1294.1378648840334</v>
      </c>
      <c r="CF75">
        <f t="shared" ca="1" si="27"/>
        <v>909.73971081296975</v>
      </c>
      <c r="CG75">
        <f t="shared" ca="1" si="27"/>
        <v>1112.7098890109644</v>
      </c>
      <c r="CH75">
        <f t="shared" ca="1" si="27"/>
        <v>1360.9643312111427</v>
      </c>
      <c r="CI75">
        <f t="shared" ca="1" si="27"/>
        <v>1360.9643312111427</v>
      </c>
      <c r="CJ75">
        <f t="shared" ca="1" si="27"/>
        <v>1058.0732844912411</v>
      </c>
      <c r="CK75">
        <f t="shared" ca="1" si="27"/>
        <v>1360.9643312111432</v>
      </c>
      <c r="CL75">
        <f t="shared" ca="1" si="31"/>
        <v>956.71669201467876</v>
      </c>
      <c r="CM75">
        <f t="shared" ca="1" si="26"/>
        <v>1230.5927311380608</v>
      </c>
      <c r="CN75">
        <f t="shared" ca="1" si="26"/>
        <v>1360.9643312111427</v>
      </c>
      <c r="CO75">
        <f t="shared" ca="1" si="26"/>
        <v>1505.1477746955675</v>
      </c>
      <c r="CP75">
        <f t="shared" ca="1" si="26"/>
        <v>1664.6063175329091</v>
      </c>
      <c r="CQ75">
        <f t="shared" ca="1" si="26"/>
        <v>1112.7098890109644</v>
      </c>
      <c r="CR75">
        <f t="shared" ca="1" si="26"/>
        <v>1230.5927311380608</v>
      </c>
      <c r="CS75">
        <f t="shared" ca="1" si="26"/>
        <v>956.71669201467876</v>
      </c>
      <c r="CT75">
        <f t="shared" ca="1" si="26"/>
        <v>1505.1477746955675</v>
      </c>
      <c r="CU75">
        <f t="shared" ca="1" si="26"/>
        <v>1112.7098890109644</v>
      </c>
      <c r="CV75">
        <f t="shared" ca="1" si="26"/>
        <v>1006.1194624136672</v>
      </c>
      <c r="CW75">
        <f t="shared" ca="1" si="26"/>
        <v>865.06940700201324</v>
      </c>
      <c r="CX75">
        <f t="shared" ca="1" si="26"/>
        <v>1170.167809026693</v>
      </c>
      <c r="CY75">
        <f t="shared" ca="1" si="26"/>
        <v>865.06940700201312</v>
      </c>
    </row>
    <row r="76" spans="1:103">
      <c r="A76">
        <v>60</v>
      </c>
      <c r="B76">
        <v>60</v>
      </c>
      <c r="C76">
        <v>60</v>
      </c>
      <c r="D76">
        <f t="shared" ca="1" si="30"/>
        <v>1031.7694142523274</v>
      </c>
      <c r="E76">
        <f t="shared" ca="1" si="30"/>
        <v>843.56364387297208</v>
      </c>
      <c r="F76">
        <f t="shared" ca="1" si="30"/>
        <v>1085.0477440885795</v>
      </c>
      <c r="G76">
        <f t="shared" ca="1" si="30"/>
        <v>1467.7295614807629</v>
      </c>
      <c r="H76">
        <f t="shared" ca="1" si="30"/>
        <v>1543.5199256908286</v>
      </c>
      <c r="I76">
        <f t="shared" ca="1" si="30"/>
        <v>1707.0436954687445</v>
      </c>
      <c r="J76">
        <f t="shared" ca="1" si="30"/>
        <v>1707.043695468745</v>
      </c>
      <c r="K76">
        <f t="shared" ca="1" si="30"/>
        <v>1985.3781341705173</v>
      </c>
      <c r="L76">
        <f t="shared" ca="1" si="30"/>
        <v>1467.7295614807631</v>
      </c>
      <c r="M76">
        <f t="shared" ca="1" si="30"/>
        <v>1395.6606777721711</v>
      </c>
      <c r="N76">
        <f t="shared" ca="1" si="30"/>
        <v>1200</v>
      </c>
      <c r="O76">
        <f t="shared" ca="1" si="30"/>
        <v>1085.0477440885795</v>
      </c>
      <c r="P76">
        <f t="shared" ca="1" si="30"/>
        <v>1085.0477440885793</v>
      </c>
      <c r="Q76">
        <f t="shared" ca="1" si="30"/>
        <v>1395.6606777721715</v>
      </c>
      <c r="R76">
        <f t="shared" ca="1" si="30"/>
        <v>1467.7295614807629</v>
      </c>
      <c r="S76">
        <f t="shared" ca="1" si="30"/>
        <v>1327.1305413473522</v>
      </c>
      <c r="T76">
        <f t="shared" ca="1" si="28"/>
        <v>1031.7694142523269</v>
      </c>
      <c r="U76">
        <f t="shared" ca="1" si="28"/>
        <v>1467.7295614807633</v>
      </c>
      <c r="V76">
        <f t="shared" ca="1" si="28"/>
        <v>1623.2239395662305</v>
      </c>
      <c r="W76">
        <f t="shared" ca="1" si="28"/>
        <v>1395.6606777721711</v>
      </c>
      <c r="X76">
        <f t="shared" ca="1" si="28"/>
        <v>981.10717245976252</v>
      </c>
      <c r="Y76">
        <f t="shared" ca="1" si="28"/>
        <v>1467.7295614807631</v>
      </c>
      <c r="Z76">
        <f t="shared" ca="1" si="28"/>
        <v>1623.2239395662309</v>
      </c>
      <c r="AA76">
        <f t="shared" ca="1" si="28"/>
        <v>1395.6606777721711</v>
      </c>
      <c r="AB76">
        <f t="shared" ca="1" si="28"/>
        <v>1467.7295614807629</v>
      </c>
      <c r="AC76">
        <f t="shared" ca="1" si="28"/>
        <v>1327.1305413473517</v>
      </c>
      <c r="AD76">
        <f t="shared" ca="1" si="28"/>
        <v>1327.1305413473522</v>
      </c>
      <c r="AE76">
        <f t="shared" ca="1" si="28"/>
        <v>1141.0772510686093</v>
      </c>
      <c r="AF76">
        <f t="shared" ca="1" si="28"/>
        <v>1395.6606777721715</v>
      </c>
      <c r="AG76">
        <f t="shared" ca="1" si="28"/>
        <v>1467.7295614807633</v>
      </c>
      <c r="AH76">
        <f t="shared" ca="1" si="28"/>
        <v>932.93256279506875</v>
      </c>
      <c r="AI76">
        <f t="shared" ca="1" si="28"/>
        <v>1085.0477440885793</v>
      </c>
      <c r="AJ76">
        <f t="shared" ca="1" si="33"/>
        <v>981.10717245976264</v>
      </c>
      <c r="AK76">
        <f t="shared" ca="1" si="33"/>
        <v>1467.7295614807629</v>
      </c>
      <c r="AL76">
        <f t="shared" ca="1" si="33"/>
        <v>1543.5199256908281</v>
      </c>
      <c r="AM76">
        <f t="shared" ca="1" si="33"/>
        <v>1327.1305413473517</v>
      </c>
      <c r="AN76">
        <f t="shared" ca="1" si="33"/>
        <v>1141.0772510686097</v>
      </c>
      <c r="AO76">
        <f t="shared" ca="1" si="33"/>
        <v>932.93256279506875</v>
      </c>
      <c r="AP76">
        <f t="shared" ca="1" si="33"/>
        <v>1261.9653916081932</v>
      </c>
      <c r="AQ76">
        <f t="shared" ca="1" si="33"/>
        <v>1261.9653916081936</v>
      </c>
      <c r="AR76">
        <f t="shared" ca="1" si="32"/>
        <v>1031.7694142523274</v>
      </c>
      <c r="AS76">
        <f t="shared" ca="1" si="32"/>
        <v>1327.1305413473517</v>
      </c>
      <c r="AT76">
        <f t="shared" ca="1" si="32"/>
        <v>1199.9999999999995</v>
      </c>
      <c r="AU76">
        <f t="shared" ca="1" si="32"/>
        <v>802.14273654332578</v>
      </c>
      <c r="AV76">
        <f t="shared" ca="1" si="32"/>
        <v>1031.7694142523271</v>
      </c>
      <c r="AW76">
        <f t="shared" ca="1" si="32"/>
        <v>1467.7295614807629</v>
      </c>
      <c r="AX76">
        <f t="shared" ca="1" si="32"/>
        <v>1261.9653916081936</v>
      </c>
      <c r="AY76">
        <f t="shared" ca="1" si="32"/>
        <v>1199.9999999999993</v>
      </c>
      <c r="AZ76">
        <f t="shared" ca="1" si="32"/>
        <v>1395.6606777721711</v>
      </c>
      <c r="BA76">
        <f t="shared" ca="1" si="32"/>
        <v>1327.1305413473517</v>
      </c>
      <c r="BB76">
        <f t="shared" ca="1" si="32"/>
        <v>932.93256279506863</v>
      </c>
      <c r="BC76">
        <f t="shared" ca="1" si="32"/>
        <v>1200</v>
      </c>
      <c r="BD76">
        <f t="shared" ca="1" si="32"/>
        <v>1199.9999999999995</v>
      </c>
      <c r="BE76">
        <f t="shared" ca="1" si="32"/>
        <v>1261.9653916081936</v>
      </c>
      <c r="BF76">
        <f t="shared" ca="1" si="32"/>
        <v>1085.0477440885795</v>
      </c>
      <c r="BG76">
        <f t="shared" ca="1" si="29"/>
        <v>1141.0772510686097</v>
      </c>
      <c r="BH76">
        <f t="shared" ca="1" si="29"/>
        <v>1623.2239395662305</v>
      </c>
      <c r="BI76">
        <f t="shared" ca="1" si="29"/>
        <v>1395.6606777721715</v>
      </c>
      <c r="BJ76">
        <f t="shared" ca="1" si="29"/>
        <v>1141.0772510686095</v>
      </c>
      <c r="BK76">
        <f t="shared" ca="1" si="29"/>
        <v>981.10717245976252</v>
      </c>
      <c r="BL76">
        <f t="shared" ca="1" si="29"/>
        <v>1261.9653916081934</v>
      </c>
      <c r="BM76">
        <f t="shared" ca="1" si="29"/>
        <v>1395.6606777721711</v>
      </c>
      <c r="BN76">
        <f t="shared" ca="1" si="29"/>
        <v>1031.7694142523274</v>
      </c>
      <c r="BO76">
        <f t="shared" ca="1" si="29"/>
        <v>1327.1305413473517</v>
      </c>
      <c r="BP76">
        <f t="shared" ca="1" si="29"/>
        <v>1261.9653916081936</v>
      </c>
      <c r="BQ76">
        <f t="shared" ca="1" si="29"/>
        <v>1031.7694142523274</v>
      </c>
      <c r="BR76">
        <f t="shared" ca="1" si="29"/>
        <v>1261.9653916081941</v>
      </c>
      <c r="BS76">
        <f t="shared" ca="1" si="29"/>
        <v>1261.9653916081936</v>
      </c>
      <c r="BT76">
        <f t="shared" ca="1" si="29"/>
        <v>1085.0477440885795</v>
      </c>
      <c r="BU76">
        <f t="shared" ca="1" si="29"/>
        <v>802.14273654332578</v>
      </c>
      <c r="BV76">
        <f t="shared" ca="1" si="27"/>
        <v>1141.0772510686097</v>
      </c>
      <c r="BW76">
        <f t="shared" ca="1" si="27"/>
        <v>1199.9999999999993</v>
      </c>
      <c r="BX76">
        <f t="shared" ca="1" si="27"/>
        <v>1085.0477440885795</v>
      </c>
      <c r="BY76">
        <f t="shared" ca="1" si="27"/>
        <v>1141.0772510686097</v>
      </c>
      <c r="BZ76">
        <f t="shared" ca="1" si="27"/>
        <v>1327.1305413473517</v>
      </c>
      <c r="CA76">
        <f t="shared" ca="1" si="27"/>
        <v>1543.5199256908284</v>
      </c>
      <c r="CB76">
        <f t="shared" ca="1" si="27"/>
        <v>1085.0477440885791</v>
      </c>
      <c r="CC76">
        <f t="shared" ca="1" si="27"/>
        <v>1327.1305413473517</v>
      </c>
      <c r="CD76">
        <f t="shared" ca="1" si="27"/>
        <v>1085.0477440885791</v>
      </c>
      <c r="CE76">
        <f t="shared" ca="1" si="27"/>
        <v>1261.9653916081936</v>
      </c>
      <c r="CF76">
        <f t="shared" ca="1" si="27"/>
        <v>932.93256279506875</v>
      </c>
      <c r="CG76">
        <f t="shared" ca="1" si="27"/>
        <v>1085.0477440885795</v>
      </c>
      <c r="CH76">
        <f t="shared" ca="1" si="27"/>
        <v>1395.6606777721711</v>
      </c>
      <c r="CI76">
        <f t="shared" ca="1" si="27"/>
        <v>1395.6606777721711</v>
      </c>
      <c r="CJ76">
        <f t="shared" ca="1" si="27"/>
        <v>1031.7694142523274</v>
      </c>
      <c r="CK76">
        <f t="shared" ca="1" si="27"/>
        <v>1395.6606777721715</v>
      </c>
      <c r="CL76">
        <f t="shared" ca="1" si="31"/>
        <v>981.10717245976252</v>
      </c>
      <c r="CM76">
        <f t="shared" ca="1" si="26"/>
        <v>1261.9653916081936</v>
      </c>
      <c r="CN76">
        <f t="shared" ca="1" si="26"/>
        <v>1395.6606777721711</v>
      </c>
      <c r="CO76">
        <f t="shared" ca="1" si="26"/>
        <v>1467.7295614807629</v>
      </c>
      <c r="CP76">
        <f t="shared" ca="1" si="26"/>
        <v>1623.2239395662305</v>
      </c>
      <c r="CQ76">
        <f t="shared" ca="1" si="26"/>
        <v>1085.0477440885795</v>
      </c>
      <c r="CR76">
        <f t="shared" ca="1" si="26"/>
        <v>1261.9653916081936</v>
      </c>
      <c r="CS76">
        <f t="shared" ca="1" si="26"/>
        <v>932.93256279506875</v>
      </c>
      <c r="CT76">
        <f t="shared" ca="1" si="26"/>
        <v>1467.7295614807629</v>
      </c>
      <c r="CU76">
        <f t="shared" ca="1" si="26"/>
        <v>1085.0477440885795</v>
      </c>
      <c r="CV76">
        <f t="shared" ca="1" si="26"/>
        <v>1031.7694142523274</v>
      </c>
      <c r="CW76">
        <f t="shared" ca="1" si="26"/>
        <v>887.12343682215885</v>
      </c>
      <c r="CX76">
        <f t="shared" ca="1" si="26"/>
        <v>1199.9999999999995</v>
      </c>
      <c r="CY76">
        <f t="shared" ca="1" si="26"/>
        <v>887.12343682215874</v>
      </c>
    </row>
    <row r="77" spans="1:103">
      <c r="A77">
        <v>61</v>
      </c>
      <c r="B77">
        <v>61</v>
      </c>
      <c r="C77">
        <v>61</v>
      </c>
      <c r="D77">
        <f t="shared" ca="1" si="30"/>
        <v>1006.1194624136672</v>
      </c>
      <c r="E77">
        <f t="shared" ca="1" si="30"/>
        <v>822.59251743784137</v>
      </c>
      <c r="F77">
        <f t="shared" ca="1" si="30"/>
        <v>1112.7098890109644</v>
      </c>
      <c r="G77">
        <f t="shared" ca="1" si="30"/>
        <v>1505.1477746955675</v>
      </c>
      <c r="H77">
        <f t="shared" ca="1" si="30"/>
        <v>1582.8703341015785</v>
      </c>
      <c r="I77">
        <f t="shared" ca="1" si="30"/>
        <v>1664.6063175329091</v>
      </c>
      <c r="J77">
        <f t="shared" ca="1" si="30"/>
        <v>1664.6063175329095</v>
      </c>
      <c r="K77">
        <f t="shared" ca="1" si="30"/>
        <v>1936.0213177931823</v>
      </c>
      <c r="L77">
        <f t="shared" ca="1" si="30"/>
        <v>1505.1477746955677</v>
      </c>
      <c r="M77">
        <f t="shared" ca="1" si="30"/>
        <v>1360.9643312111427</v>
      </c>
      <c r="N77">
        <f t="shared" ca="1" si="30"/>
        <v>1170.1678090266935</v>
      </c>
      <c r="O77">
        <f t="shared" ca="1" si="30"/>
        <v>1112.7098890109644</v>
      </c>
      <c r="P77">
        <f t="shared" ca="1" si="30"/>
        <v>1112.7098890109642</v>
      </c>
      <c r="Q77">
        <f t="shared" ca="1" si="30"/>
        <v>1360.9643312111432</v>
      </c>
      <c r="R77">
        <f t="shared" ca="1" si="30"/>
        <v>1505.1477746955675</v>
      </c>
      <c r="S77">
        <f t="shared" ca="1" si="30"/>
        <v>1360.9643312111432</v>
      </c>
      <c r="T77">
        <f t="shared" ca="1" si="28"/>
        <v>1058.0732844912407</v>
      </c>
      <c r="U77">
        <f t="shared" ca="1" si="28"/>
        <v>1431.2415710013786</v>
      </c>
      <c r="V77">
        <f t="shared" ca="1" si="28"/>
        <v>1664.6063175329091</v>
      </c>
      <c r="W77">
        <f t="shared" ca="1" si="28"/>
        <v>1431.2415710013781</v>
      </c>
      <c r="X77">
        <f t="shared" ca="1" si="28"/>
        <v>956.71669201467876</v>
      </c>
      <c r="Y77">
        <f t="shared" ca="1" si="28"/>
        <v>1431.2415710013784</v>
      </c>
      <c r="Z77">
        <f t="shared" ca="1" si="28"/>
        <v>1664.6063175329095</v>
      </c>
      <c r="AA77">
        <f t="shared" ca="1" si="28"/>
        <v>1360.9643312111427</v>
      </c>
      <c r="AB77">
        <f t="shared" ca="1" si="28"/>
        <v>1431.2415710013781</v>
      </c>
      <c r="AC77">
        <f t="shared" ca="1" si="28"/>
        <v>1360.9643312111427</v>
      </c>
      <c r="AD77">
        <f t="shared" ca="1" si="28"/>
        <v>1360.9643312111432</v>
      </c>
      <c r="AE77">
        <f t="shared" ca="1" si="28"/>
        <v>1170.1678090266926</v>
      </c>
      <c r="AF77">
        <f t="shared" ca="1" si="28"/>
        <v>1360.9643312111432</v>
      </c>
      <c r="AG77">
        <f t="shared" ca="1" si="28"/>
        <v>1505.1477746955679</v>
      </c>
      <c r="AH77">
        <f t="shared" ca="1" si="28"/>
        <v>956.71669201467876</v>
      </c>
      <c r="AI77">
        <f t="shared" ca="1" si="28"/>
        <v>1112.7098890109642</v>
      </c>
      <c r="AJ77">
        <f t="shared" ca="1" si="33"/>
        <v>956.71669201467887</v>
      </c>
      <c r="AK77">
        <f t="shared" ca="1" si="33"/>
        <v>1505.1477746955675</v>
      </c>
      <c r="AL77">
        <f t="shared" ca="1" si="33"/>
        <v>1582.870334101578</v>
      </c>
      <c r="AM77">
        <f t="shared" ca="1" si="33"/>
        <v>1294.1378648840334</v>
      </c>
      <c r="AN77">
        <f t="shared" ca="1" si="33"/>
        <v>1112.7098890109644</v>
      </c>
      <c r="AO77">
        <f t="shared" ca="1" si="33"/>
        <v>956.71669201467876</v>
      </c>
      <c r="AP77">
        <f t="shared" ca="1" si="33"/>
        <v>1294.137864884033</v>
      </c>
      <c r="AQ77">
        <f t="shared" ca="1" si="33"/>
        <v>1294.1378648840334</v>
      </c>
      <c r="AR77">
        <f t="shared" ca="1" si="32"/>
        <v>1058.0732844912411</v>
      </c>
      <c r="AS77">
        <f t="shared" ca="1" si="32"/>
        <v>1360.9643312111427</v>
      </c>
      <c r="AT77">
        <f t="shared" ca="1" si="32"/>
        <v>1170.167809026693</v>
      </c>
      <c r="AU77">
        <f t="shared" ca="1" si="32"/>
        <v>822.59251743784137</v>
      </c>
      <c r="AV77">
        <f t="shared" ca="1" si="32"/>
        <v>1058.0732844912409</v>
      </c>
      <c r="AW77">
        <f t="shared" ca="1" si="32"/>
        <v>1431.2415710013781</v>
      </c>
      <c r="AX77">
        <f t="shared" ca="1" si="32"/>
        <v>1294.1378648840334</v>
      </c>
      <c r="AY77">
        <f t="shared" ca="1" si="32"/>
        <v>1230.5927311380606</v>
      </c>
      <c r="AZ77">
        <f t="shared" ca="1" si="32"/>
        <v>1431.2415710013781</v>
      </c>
      <c r="BA77">
        <f t="shared" ca="1" si="32"/>
        <v>1294.1378648840334</v>
      </c>
      <c r="BB77">
        <f t="shared" ca="1" si="32"/>
        <v>909.73971081296963</v>
      </c>
      <c r="BC77">
        <f t="shared" ca="1" si="32"/>
        <v>1230.5927311380613</v>
      </c>
      <c r="BD77">
        <f t="shared" ca="1" si="32"/>
        <v>1170.167809026693</v>
      </c>
      <c r="BE77">
        <f t="shared" ca="1" si="32"/>
        <v>1230.5927311380608</v>
      </c>
      <c r="BF77">
        <f t="shared" ca="1" si="32"/>
        <v>1112.7098890109644</v>
      </c>
      <c r="BG77">
        <f t="shared" ca="1" si="29"/>
        <v>1170.167809026693</v>
      </c>
      <c r="BH77">
        <f t="shared" ca="1" si="29"/>
        <v>1582.870334101578</v>
      </c>
      <c r="BI77">
        <f t="shared" ca="1" si="29"/>
        <v>1360.9643312111432</v>
      </c>
      <c r="BJ77">
        <f t="shared" ca="1" si="29"/>
        <v>1170.1678090266928</v>
      </c>
      <c r="BK77">
        <f t="shared" ca="1" si="29"/>
        <v>1006.1194624136667</v>
      </c>
      <c r="BL77">
        <f t="shared" ca="1" si="29"/>
        <v>1230.5927311380606</v>
      </c>
      <c r="BM77">
        <f t="shared" ca="1" si="29"/>
        <v>1431.2415710013781</v>
      </c>
      <c r="BN77">
        <f t="shared" ca="1" si="29"/>
        <v>1006.1194624136672</v>
      </c>
      <c r="BO77">
        <f t="shared" ca="1" si="29"/>
        <v>1360.9643312111427</v>
      </c>
      <c r="BP77">
        <f t="shared" ca="1" si="29"/>
        <v>1294.1378648840334</v>
      </c>
      <c r="BQ77">
        <f t="shared" ca="1" si="29"/>
        <v>1058.0732844912411</v>
      </c>
      <c r="BR77">
        <f t="shared" ca="1" si="29"/>
        <v>1294.1378648840339</v>
      </c>
      <c r="BS77">
        <f t="shared" ca="1" si="29"/>
        <v>1230.5927311380608</v>
      </c>
      <c r="BT77">
        <f t="shared" ca="1" si="29"/>
        <v>1112.7098890109644</v>
      </c>
      <c r="BU77">
        <f t="shared" ca="1" si="29"/>
        <v>782.20134045631642</v>
      </c>
      <c r="BV77">
        <f t="shared" ca="1" si="27"/>
        <v>1170.167809026693</v>
      </c>
      <c r="BW77">
        <f t="shared" ca="1" si="27"/>
        <v>1230.5927311380606</v>
      </c>
      <c r="BX77">
        <f t="shared" ca="1" si="27"/>
        <v>1112.7098890109644</v>
      </c>
      <c r="BY77">
        <f t="shared" ca="1" si="27"/>
        <v>1170.167809026693</v>
      </c>
      <c r="BZ77">
        <f t="shared" ca="1" si="27"/>
        <v>1360.9643312111427</v>
      </c>
      <c r="CA77">
        <f t="shared" ca="1" si="27"/>
        <v>1505.1477746955677</v>
      </c>
      <c r="CB77">
        <f t="shared" ca="1" si="27"/>
        <v>1112.7098890109639</v>
      </c>
      <c r="CC77">
        <f t="shared" ca="1" si="27"/>
        <v>1360.9643312111427</v>
      </c>
      <c r="CD77">
        <f t="shared" ca="1" si="27"/>
        <v>1058.0732844912407</v>
      </c>
      <c r="CE77">
        <f t="shared" ca="1" si="27"/>
        <v>1294.1378648840334</v>
      </c>
      <c r="CF77">
        <f t="shared" ca="1" si="27"/>
        <v>956.71669201467876</v>
      </c>
      <c r="CG77">
        <f t="shared" ca="1" si="27"/>
        <v>1058.0732844912411</v>
      </c>
      <c r="CH77">
        <f t="shared" ca="1" si="27"/>
        <v>1360.9643312111427</v>
      </c>
      <c r="CI77">
        <f t="shared" ca="1" si="27"/>
        <v>1360.9643312111427</v>
      </c>
      <c r="CJ77">
        <f t="shared" ca="1" si="27"/>
        <v>1006.1194624136672</v>
      </c>
      <c r="CK77">
        <f t="shared" ca="1" si="27"/>
        <v>1431.2415710013786</v>
      </c>
      <c r="CL77">
        <f t="shared" ca="1" si="31"/>
        <v>1006.1194624136667</v>
      </c>
      <c r="CM77">
        <f t="shared" ca="1" si="26"/>
        <v>1294.1378648840334</v>
      </c>
      <c r="CN77">
        <f t="shared" ca="1" si="26"/>
        <v>1360.9643312111427</v>
      </c>
      <c r="CO77">
        <f t="shared" ca="1" si="26"/>
        <v>1505.1477746955675</v>
      </c>
      <c r="CP77">
        <f t="shared" ca="1" si="26"/>
        <v>1582.870334101578</v>
      </c>
      <c r="CQ77">
        <f t="shared" ca="1" si="26"/>
        <v>1058.0732844912411</v>
      </c>
      <c r="CR77">
        <f t="shared" ca="1" si="26"/>
        <v>1294.1378648840334</v>
      </c>
      <c r="CS77">
        <f t="shared" ca="1" si="26"/>
        <v>956.71669201467876</v>
      </c>
      <c r="CT77">
        <f t="shared" ca="1" si="26"/>
        <v>1431.2415710013781</v>
      </c>
      <c r="CU77">
        <f t="shared" ca="1" si="26"/>
        <v>1112.7098890109644</v>
      </c>
      <c r="CV77">
        <f t="shared" ca="1" si="26"/>
        <v>1058.0732844912411</v>
      </c>
      <c r="CW77">
        <f t="shared" ca="1" si="26"/>
        <v>865.06940700201324</v>
      </c>
      <c r="CX77">
        <f t="shared" ca="1" si="26"/>
        <v>1230.5927311380608</v>
      </c>
      <c r="CY77">
        <f t="shared" ca="1" si="26"/>
        <v>865.06940700201312</v>
      </c>
    </row>
    <row r="78" spans="1:103">
      <c r="A78">
        <v>62</v>
      </c>
      <c r="B78">
        <v>62</v>
      </c>
      <c r="C78">
        <v>62</v>
      </c>
      <c r="D78">
        <f t="shared" ca="1" si="30"/>
        <v>981.10717245976286</v>
      </c>
      <c r="E78">
        <f t="shared" ca="1" si="30"/>
        <v>843.56364387297208</v>
      </c>
      <c r="F78">
        <f t="shared" ca="1" si="30"/>
        <v>1085.0477440885795</v>
      </c>
      <c r="G78">
        <f t="shared" ca="1" si="30"/>
        <v>1543.5199256908281</v>
      </c>
      <c r="H78">
        <f t="shared" ca="1" si="30"/>
        <v>1543.5199256908286</v>
      </c>
      <c r="I78">
        <f t="shared" ca="1" si="30"/>
        <v>1623.2239395662305</v>
      </c>
      <c r="J78">
        <f t="shared" ca="1" si="30"/>
        <v>1707.043695468745</v>
      </c>
      <c r="K78">
        <f t="shared" ca="1" si="30"/>
        <v>1887.8915197258498</v>
      </c>
      <c r="L78">
        <f t="shared" ca="1" si="30"/>
        <v>1543.5199256908284</v>
      </c>
      <c r="M78">
        <f t="shared" ca="1" si="30"/>
        <v>1327.1305413473517</v>
      </c>
      <c r="N78">
        <f t="shared" ca="1" si="30"/>
        <v>1141.0772510686099</v>
      </c>
      <c r="O78">
        <f t="shared" ca="1" si="30"/>
        <v>1085.0477440885795</v>
      </c>
      <c r="P78">
        <f t="shared" ca="1" si="30"/>
        <v>1085.0477440885793</v>
      </c>
      <c r="Q78">
        <f t="shared" ca="1" si="30"/>
        <v>1395.6606777721715</v>
      </c>
      <c r="R78">
        <f t="shared" ca="1" si="30"/>
        <v>1467.7295614807629</v>
      </c>
      <c r="S78">
        <f t="shared" ca="1" si="30"/>
        <v>1395.6606777721715</v>
      </c>
      <c r="T78">
        <f t="shared" ca="1" si="28"/>
        <v>1031.7694142523269</v>
      </c>
      <c r="U78">
        <f t="shared" ca="1" si="28"/>
        <v>1395.6606777721715</v>
      </c>
      <c r="V78">
        <f t="shared" ca="1" si="28"/>
        <v>1623.2239395662305</v>
      </c>
      <c r="W78">
        <f t="shared" ca="1" si="28"/>
        <v>1467.7295614807629</v>
      </c>
      <c r="X78">
        <f t="shared" ca="1" si="28"/>
        <v>981.10717245976252</v>
      </c>
      <c r="Y78">
        <f t="shared" ca="1" si="28"/>
        <v>1467.7295614807631</v>
      </c>
      <c r="Z78">
        <f t="shared" ca="1" si="28"/>
        <v>1623.2239395662309</v>
      </c>
      <c r="AA78">
        <f t="shared" ca="1" si="28"/>
        <v>1395.6606777721711</v>
      </c>
      <c r="AB78">
        <f t="shared" ca="1" si="28"/>
        <v>1467.7295614807629</v>
      </c>
      <c r="AC78">
        <f t="shared" ca="1" si="28"/>
        <v>1395.6606777721711</v>
      </c>
      <c r="AD78">
        <f t="shared" ca="1" si="28"/>
        <v>1395.6606777721715</v>
      </c>
      <c r="AE78">
        <f t="shared" ca="1" si="28"/>
        <v>1141.0772510686093</v>
      </c>
      <c r="AF78">
        <f t="shared" ca="1" si="28"/>
        <v>1327.1305413473522</v>
      </c>
      <c r="AG78">
        <f t="shared" ca="1" si="28"/>
        <v>1543.5199256908286</v>
      </c>
      <c r="AH78">
        <f t="shared" ca="1" si="28"/>
        <v>932.93256279506875</v>
      </c>
      <c r="AI78">
        <f t="shared" ca="1" si="28"/>
        <v>1085.0477440885793</v>
      </c>
      <c r="AJ78">
        <f t="shared" ca="1" si="33"/>
        <v>932.93256279506875</v>
      </c>
      <c r="AK78">
        <f t="shared" ca="1" si="33"/>
        <v>1543.5199256908281</v>
      </c>
      <c r="AL78">
        <f t="shared" ca="1" si="33"/>
        <v>1543.5199256908281</v>
      </c>
      <c r="AM78">
        <f t="shared" ca="1" si="33"/>
        <v>1261.9653916081936</v>
      </c>
      <c r="AN78">
        <f t="shared" ca="1" si="33"/>
        <v>1085.0477440885795</v>
      </c>
      <c r="AO78">
        <f t="shared" ca="1" si="33"/>
        <v>981.10717245976252</v>
      </c>
      <c r="AP78">
        <f t="shared" ca="1" si="33"/>
        <v>1261.9653916081932</v>
      </c>
      <c r="AQ78">
        <f t="shared" ca="1" si="33"/>
        <v>1327.1305413473517</v>
      </c>
      <c r="AR78">
        <f t="shared" ca="1" si="32"/>
        <v>1031.7694142523274</v>
      </c>
      <c r="AS78">
        <f t="shared" ca="1" si="32"/>
        <v>1327.1305413473517</v>
      </c>
      <c r="AT78">
        <f t="shared" ca="1" si="32"/>
        <v>1141.0772510686097</v>
      </c>
      <c r="AU78">
        <f t="shared" ca="1" si="32"/>
        <v>843.56364387297208</v>
      </c>
      <c r="AV78">
        <f t="shared" ca="1" si="32"/>
        <v>1085.0477440885793</v>
      </c>
      <c r="AW78">
        <f t="shared" ca="1" si="32"/>
        <v>1395.6606777721711</v>
      </c>
      <c r="AX78">
        <f t="shared" ca="1" si="32"/>
        <v>1327.1305413473517</v>
      </c>
      <c r="AY78">
        <f t="shared" ca="1" si="32"/>
        <v>1261.9653916081934</v>
      </c>
      <c r="AZ78">
        <f t="shared" ca="1" si="32"/>
        <v>1467.7295614807629</v>
      </c>
      <c r="BA78">
        <f t="shared" ca="1" si="32"/>
        <v>1261.9653916081936</v>
      </c>
      <c r="BB78">
        <f t="shared" ca="1" si="32"/>
        <v>932.93256279506863</v>
      </c>
      <c r="BC78">
        <f t="shared" ca="1" si="32"/>
        <v>1200</v>
      </c>
      <c r="BD78">
        <f t="shared" ca="1" si="32"/>
        <v>1141.0772510686097</v>
      </c>
      <c r="BE78">
        <f t="shared" ca="1" si="32"/>
        <v>1199.9999999999995</v>
      </c>
      <c r="BF78">
        <f t="shared" ca="1" si="32"/>
        <v>1085.0477440885795</v>
      </c>
      <c r="BG78">
        <f t="shared" ca="1" si="29"/>
        <v>1199.9999999999995</v>
      </c>
      <c r="BH78">
        <f t="shared" ca="1" si="29"/>
        <v>1543.5199256908281</v>
      </c>
      <c r="BI78">
        <f t="shared" ca="1" si="29"/>
        <v>1395.6606777721715</v>
      </c>
      <c r="BJ78">
        <f t="shared" ca="1" si="29"/>
        <v>1141.0772510686095</v>
      </c>
      <c r="BK78">
        <f t="shared" ca="1" si="29"/>
        <v>981.10717245976252</v>
      </c>
      <c r="BL78">
        <f t="shared" ca="1" si="29"/>
        <v>1261.9653916081934</v>
      </c>
      <c r="BM78">
        <f t="shared" ca="1" si="29"/>
        <v>1395.6606777721711</v>
      </c>
      <c r="BN78">
        <f t="shared" ca="1" si="29"/>
        <v>1031.7694142523274</v>
      </c>
      <c r="BO78">
        <f t="shared" ca="1" si="29"/>
        <v>1395.6606777721711</v>
      </c>
      <c r="BP78">
        <f t="shared" ca="1" si="29"/>
        <v>1327.1305413473517</v>
      </c>
      <c r="BQ78">
        <f t="shared" ca="1" si="29"/>
        <v>1031.7694142523274</v>
      </c>
      <c r="BR78">
        <f t="shared" ca="1" si="29"/>
        <v>1327.1305413473522</v>
      </c>
      <c r="BS78">
        <f t="shared" ca="1" si="29"/>
        <v>1261.9653916081936</v>
      </c>
      <c r="BT78">
        <f t="shared" ca="1" si="29"/>
        <v>1141.0772510686097</v>
      </c>
      <c r="BU78">
        <f t="shared" ca="1" si="29"/>
        <v>802.14273654332578</v>
      </c>
      <c r="BV78">
        <f t="shared" ca="1" si="27"/>
        <v>1141.0772510686097</v>
      </c>
      <c r="BW78">
        <f t="shared" ca="1" si="27"/>
        <v>1199.9999999999993</v>
      </c>
      <c r="BX78">
        <f t="shared" ca="1" si="27"/>
        <v>1141.0772510686097</v>
      </c>
      <c r="BY78">
        <f t="shared" ca="1" si="27"/>
        <v>1141.0772510686097</v>
      </c>
      <c r="BZ78">
        <f t="shared" ca="1" si="27"/>
        <v>1327.1305413473517</v>
      </c>
      <c r="CA78">
        <f t="shared" ca="1" si="27"/>
        <v>1467.7295614807629</v>
      </c>
      <c r="CB78">
        <f t="shared" ca="1" si="27"/>
        <v>1141.0772510686093</v>
      </c>
      <c r="CC78">
        <f t="shared" ca="1" si="27"/>
        <v>1327.1305413473517</v>
      </c>
      <c r="CD78">
        <f t="shared" ca="1" si="27"/>
        <v>1085.0477440885791</v>
      </c>
      <c r="CE78">
        <f t="shared" ca="1" si="27"/>
        <v>1261.9653916081936</v>
      </c>
      <c r="CF78">
        <f t="shared" ca="1" si="27"/>
        <v>981.10717245976252</v>
      </c>
      <c r="CG78">
        <f t="shared" ca="1" si="27"/>
        <v>1031.7694142523274</v>
      </c>
      <c r="CH78">
        <f t="shared" ca="1" si="27"/>
        <v>1327.1305413473517</v>
      </c>
      <c r="CI78">
        <f t="shared" ca="1" si="27"/>
        <v>1327.1305413473517</v>
      </c>
      <c r="CJ78">
        <f t="shared" ca="1" si="27"/>
        <v>1031.7694142523274</v>
      </c>
      <c r="CK78">
        <f t="shared" ca="1" si="27"/>
        <v>1395.6606777721715</v>
      </c>
      <c r="CL78">
        <f t="shared" ca="1" si="31"/>
        <v>981.10717245976252</v>
      </c>
      <c r="CM78">
        <f t="shared" ca="1" si="26"/>
        <v>1327.1305413473517</v>
      </c>
      <c r="CN78">
        <f t="shared" ca="1" si="26"/>
        <v>1395.6606777721711</v>
      </c>
      <c r="CO78">
        <f t="shared" ca="1" si="26"/>
        <v>1543.5199256908281</v>
      </c>
      <c r="CP78">
        <f t="shared" ca="1" si="26"/>
        <v>1623.2239395662305</v>
      </c>
      <c r="CQ78">
        <f t="shared" ca="1" si="26"/>
        <v>1085.0477440885795</v>
      </c>
      <c r="CR78">
        <f t="shared" ca="1" si="26"/>
        <v>1327.1305413473517</v>
      </c>
      <c r="CS78">
        <f t="shared" ca="1" si="26"/>
        <v>932.93256279506875</v>
      </c>
      <c r="CT78">
        <f t="shared" ca="1" si="26"/>
        <v>1467.7295614807629</v>
      </c>
      <c r="CU78">
        <f t="shared" ca="1" si="26"/>
        <v>1141.0772510686097</v>
      </c>
      <c r="CV78">
        <f t="shared" ca="1" si="26"/>
        <v>1085.0477440885795</v>
      </c>
      <c r="CW78">
        <f t="shared" ca="1" si="26"/>
        <v>887.12343682215885</v>
      </c>
      <c r="CX78">
        <f t="shared" ca="1" si="26"/>
        <v>1199.9999999999995</v>
      </c>
      <c r="CY78">
        <f t="shared" ca="1" si="26"/>
        <v>887.12343682215874</v>
      </c>
    </row>
    <row r="79" spans="1:103">
      <c r="A79">
        <v>63</v>
      </c>
      <c r="B79">
        <v>63</v>
      </c>
      <c r="C79">
        <v>63</v>
      </c>
      <c r="D79">
        <f t="shared" ca="1" si="30"/>
        <v>956.7166920146791</v>
      </c>
      <c r="E79">
        <f t="shared" ca="1" si="30"/>
        <v>865.06940700201301</v>
      </c>
      <c r="F79">
        <f t="shared" ca="1" si="30"/>
        <v>1058.0732844912411</v>
      </c>
      <c r="G79">
        <f t="shared" ca="1" si="30"/>
        <v>1582.870334101578</v>
      </c>
      <c r="H79">
        <f t="shared" ca="1" si="30"/>
        <v>1582.8703341015785</v>
      </c>
      <c r="I79">
        <f t="shared" ca="1" si="30"/>
        <v>1664.6063175329091</v>
      </c>
      <c r="J79">
        <f t="shared" ca="1" si="30"/>
        <v>1750.5629694824099</v>
      </c>
      <c r="K79">
        <f t="shared" ca="1" si="30"/>
        <v>1840.9582360980601</v>
      </c>
      <c r="L79">
        <f t="shared" ca="1" si="30"/>
        <v>1505.1477746955677</v>
      </c>
      <c r="M79">
        <f t="shared" ca="1" si="30"/>
        <v>1360.9643312111427</v>
      </c>
      <c r="N79">
        <f t="shared" ca="1" si="30"/>
        <v>1170.1678090266932</v>
      </c>
      <c r="O79">
        <f t="shared" ca="1" si="30"/>
        <v>1058.0732844912411</v>
      </c>
      <c r="P79">
        <f t="shared" ca="1" si="30"/>
        <v>1112.7098890109642</v>
      </c>
      <c r="Q79">
        <f t="shared" ca="1" si="30"/>
        <v>1431.2415710013786</v>
      </c>
      <c r="R79">
        <f t="shared" ca="1" si="30"/>
        <v>1505.1477746955675</v>
      </c>
      <c r="S79">
        <f t="shared" ca="1" si="30"/>
        <v>1431.2415710013786</v>
      </c>
      <c r="T79">
        <f t="shared" ca="1" si="28"/>
        <v>1006.1194624136668</v>
      </c>
      <c r="U79">
        <f t="shared" ca="1" si="28"/>
        <v>1431.2415710013786</v>
      </c>
      <c r="V79">
        <f t="shared" ca="1" si="28"/>
        <v>1582.870334101578</v>
      </c>
      <c r="W79">
        <f t="shared" ca="1" si="28"/>
        <v>1431.2415710013781</v>
      </c>
      <c r="X79">
        <f t="shared" ca="1" si="28"/>
        <v>1006.1194624136667</v>
      </c>
      <c r="Y79">
        <f t="shared" ca="1" si="28"/>
        <v>1431.2415710013784</v>
      </c>
      <c r="Z79">
        <f t="shared" ca="1" si="28"/>
        <v>1582.8703341015785</v>
      </c>
      <c r="AA79">
        <f t="shared" ca="1" si="28"/>
        <v>1360.9643312111427</v>
      </c>
      <c r="AB79">
        <f t="shared" ca="1" si="28"/>
        <v>1431.2415710013781</v>
      </c>
      <c r="AC79">
        <f t="shared" ca="1" si="28"/>
        <v>1431.2415710013781</v>
      </c>
      <c r="AD79">
        <f t="shared" ca="1" si="28"/>
        <v>1360.9643312111432</v>
      </c>
      <c r="AE79">
        <f t="shared" ca="1" si="28"/>
        <v>1112.7098890109639</v>
      </c>
      <c r="AF79">
        <f t="shared" ca="1" si="28"/>
        <v>1360.9643312111432</v>
      </c>
      <c r="AG79">
        <f t="shared" ca="1" si="28"/>
        <v>1582.8703341015785</v>
      </c>
      <c r="AH79">
        <f t="shared" ca="1" si="28"/>
        <v>909.73971081296975</v>
      </c>
      <c r="AI79">
        <f t="shared" ca="1" si="28"/>
        <v>1058.0732844912409</v>
      </c>
      <c r="AJ79">
        <f t="shared" ca="1" si="33"/>
        <v>956.71669201467876</v>
      </c>
      <c r="AK79">
        <f t="shared" ca="1" si="33"/>
        <v>1582.870334101578</v>
      </c>
      <c r="AL79">
        <f t="shared" ca="1" si="33"/>
        <v>1505.1477746955675</v>
      </c>
      <c r="AM79">
        <f t="shared" ca="1" si="33"/>
        <v>1230.5927311380608</v>
      </c>
      <c r="AN79">
        <f t="shared" ca="1" si="33"/>
        <v>1112.7098890109644</v>
      </c>
      <c r="AO79">
        <f t="shared" ca="1" si="33"/>
        <v>1006.1194624136667</v>
      </c>
      <c r="AP79">
        <f t="shared" ca="1" si="33"/>
        <v>1294.137864884033</v>
      </c>
      <c r="AQ79">
        <f t="shared" ca="1" si="33"/>
        <v>1360.9643312111427</v>
      </c>
      <c r="AR79">
        <f t="shared" ca="1" si="32"/>
        <v>1058.0732844912411</v>
      </c>
      <c r="AS79">
        <f t="shared" ca="1" si="32"/>
        <v>1294.1378648840334</v>
      </c>
      <c r="AT79">
        <f t="shared" ca="1" si="32"/>
        <v>1170.167809026693</v>
      </c>
      <c r="AU79">
        <f t="shared" ca="1" si="32"/>
        <v>865.06940700201301</v>
      </c>
      <c r="AV79">
        <f t="shared" ca="1" si="32"/>
        <v>1112.7098890109642</v>
      </c>
      <c r="AW79">
        <f t="shared" ca="1" si="32"/>
        <v>1360.9643312111427</v>
      </c>
      <c r="AX79">
        <f t="shared" ca="1" si="32"/>
        <v>1360.9643312111427</v>
      </c>
      <c r="AY79">
        <f t="shared" ca="1" si="32"/>
        <v>1230.5927311380606</v>
      </c>
      <c r="AZ79">
        <f t="shared" ca="1" si="32"/>
        <v>1505.1477746955675</v>
      </c>
      <c r="BA79">
        <f t="shared" ca="1" si="32"/>
        <v>1294.1378648840334</v>
      </c>
      <c r="BB79">
        <f t="shared" ca="1" si="32"/>
        <v>909.73971081296963</v>
      </c>
      <c r="BC79">
        <f t="shared" ca="1" si="32"/>
        <v>1230.5927311380613</v>
      </c>
      <c r="BD79">
        <f t="shared" ca="1" si="32"/>
        <v>1170.167809026693</v>
      </c>
      <c r="BE79">
        <f t="shared" ca="1" si="32"/>
        <v>1170.167809026693</v>
      </c>
      <c r="BF79">
        <f t="shared" ca="1" si="32"/>
        <v>1058.0732844912411</v>
      </c>
      <c r="BG79">
        <f t="shared" ca="1" si="29"/>
        <v>1230.5927311380608</v>
      </c>
      <c r="BH79">
        <f t="shared" ca="1" si="29"/>
        <v>1505.1477746955675</v>
      </c>
      <c r="BI79">
        <f t="shared" ca="1" si="29"/>
        <v>1360.9643312111432</v>
      </c>
      <c r="BJ79">
        <f t="shared" ca="1" si="29"/>
        <v>1112.7098890109642</v>
      </c>
      <c r="BK79">
        <f t="shared" ca="1" si="29"/>
        <v>1006.1194624136667</v>
      </c>
      <c r="BL79">
        <f t="shared" ca="1" si="29"/>
        <v>1294.1378648840332</v>
      </c>
      <c r="BM79">
        <f t="shared" ca="1" si="29"/>
        <v>1360.9643312111427</v>
      </c>
      <c r="BN79">
        <f t="shared" ca="1" si="29"/>
        <v>1058.0732844912411</v>
      </c>
      <c r="BO79">
        <f t="shared" ca="1" si="29"/>
        <v>1360.9643312111427</v>
      </c>
      <c r="BP79">
        <f t="shared" ca="1" si="29"/>
        <v>1360.9643312111427</v>
      </c>
      <c r="BQ79">
        <f t="shared" ca="1" si="29"/>
        <v>1006.1194624136672</v>
      </c>
      <c r="BR79">
        <f t="shared" ca="1" si="29"/>
        <v>1294.1378648840339</v>
      </c>
      <c r="BS79">
        <f t="shared" ca="1" si="29"/>
        <v>1294.1378648840334</v>
      </c>
      <c r="BT79">
        <f t="shared" ca="1" si="29"/>
        <v>1112.7098890109644</v>
      </c>
      <c r="BU79">
        <f t="shared" ca="1" si="29"/>
        <v>822.59251743784137</v>
      </c>
      <c r="BV79">
        <f t="shared" ca="1" si="27"/>
        <v>1112.7098890109644</v>
      </c>
      <c r="BW79">
        <f t="shared" ca="1" si="27"/>
        <v>1170.1678090266928</v>
      </c>
      <c r="BX79">
        <f t="shared" ca="1" si="27"/>
        <v>1170.167809026693</v>
      </c>
      <c r="BY79">
        <f t="shared" ca="1" si="27"/>
        <v>1170.167809026693</v>
      </c>
      <c r="BZ79">
        <f t="shared" ca="1" si="27"/>
        <v>1360.9643312111427</v>
      </c>
      <c r="CA79">
        <f t="shared" ca="1" si="27"/>
        <v>1505.1477746955675</v>
      </c>
      <c r="CB79">
        <f t="shared" ca="1" si="27"/>
        <v>1112.7098890109639</v>
      </c>
      <c r="CC79">
        <f t="shared" ca="1" si="27"/>
        <v>1360.9643312111427</v>
      </c>
      <c r="CD79">
        <f t="shared" ca="1" si="27"/>
        <v>1112.7098890109639</v>
      </c>
      <c r="CE79">
        <f t="shared" ca="1" si="27"/>
        <v>1230.5927311380608</v>
      </c>
      <c r="CF79">
        <f t="shared" ca="1" si="27"/>
        <v>956.71669201467876</v>
      </c>
      <c r="CG79">
        <f t="shared" ca="1" si="27"/>
        <v>1006.1194624136672</v>
      </c>
      <c r="CH79">
        <f t="shared" ca="1" si="27"/>
        <v>1294.1378648840334</v>
      </c>
      <c r="CI79">
        <f t="shared" ca="1" si="27"/>
        <v>1294.1378648840334</v>
      </c>
      <c r="CJ79">
        <f t="shared" ca="1" si="27"/>
        <v>1058.0732844912411</v>
      </c>
      <c r="CK79">
        <f t="shared" ca="1" si="27"/>
        <v>1360.9643312111432</v>
      </c>
      <c r="CL79">
        <f t="shared" ca="1" si="31"/>
        <v>1006.1194624136667</v>
      </c>
      <c r="CM79">
        <f t="shared" ca="1" si="31"/>
        <v>1294.1378648840334</v>
      </c>
      <c r="CN79">
        <f t="shared" ca="1" si="31"/>
        <v>1431.2415710013781</v>
      </c>
      <c r="CO79">
        <f t="shared" ca="1" si="31"/>
        <v>1582.870334101578</v>
      </c>
      <c r="CP79">
        <f t="shared" ca="1" si="31"/>
        <v>1664.6063175329091</v>
      </c>
      <c r="CQ79">
        <f t="shared" ca="1" si="31"/>
        <v>1058.0732844912411</v>
      </c>
      <c r="CR79">
        <f t="shared" ca="1" si="31"/>
        <v>1360.9643312111427</v>
      </c>
      <c r="CS79">
        <f t="shared" ca="1" si="31"/>
        <v>956.71669201467876</v>
      </c>
      <c r="CT79">
        <f t="shared" ca="1" si="31"/>
        <v>1431.2415710013781</v>
      </c>
      <c r="CU79">
        <f t="shared" ca="1" si="31"/>
        <v>1112.7098890109644</v>
      </c>
      <c r="CV79">
        <f t="shared" ca="1" si="31"/>
        <v>1112.7098890109644</v>
      </c>
      <c r="CW79">
        <f t="shared" ca="1" si="31"/>
        <v>909.73971081296986</v>
      </c>
      <c r="CX79">
        <f t="shared" ca="1" si="31"/>
        <v>1230.5927311380608</v>
      </c>
      <c r="CY79">
        <f t="shared" ca="1" si="31"/>
        <v>865.06940700201312</v>
      </c>
    </row>
    <row r="80" spans="1:103">
      <c r="A80">
        <v>64</v>
      </c>
      <c r="B80">
        <v>64</v>
      </c>
      <c r="C80">
        <v>64</v>
      </c>
      <c r="D80">
        <f t="shared" ca="1" si="30"/>
        <v>981.10717245976286</v>
      </c>
      <c r="E80">
        <f t="shared" ca="1" si="30"/>
        <v>843.56364387297208</v>
      </c>
      <c r="F80">
        <f t="shared" ca="1" si="30"/>
        <v>1085.0477440885795</v>
      </c>
      <c r="G80">
        <f t="shared" ca="1" si="30"/>
        <v>1623.2239395662305</v>
      </c>
      <c r="H80">
        <f t="shared" ca="1" si="30"/>
        <v>1623.2239395662309</v>
      </c>
      <c r="I80">
        <f t="shared" ca="1" si="30"/>
        <v>1707.0436954687445</v>
      </c>
      <c r="J80">
        <f t="shared" ca="1" si="30"/>
        <v>1795.191721370428</v>
      </c>
      <c r="K80">
        <f t="shared" ca="1" si="30"/>
        <v>1887.8915197258498</v>
      </c>
      <c r="L80">
        <f t="shared" ca="1" si="30"/>
        <v>1467.7295614807629</v>
      </c>
      <c r="M80">
        <f t="shared" ca="1" si="30"/>
        <v>1327.1305413473517</v>
      </c>
      <c r="N80">
        <f t="shared" ca="1" si="30"/>
        <v>1141.0772510686097</v>
      </c>
      <c r="O80">
        <f t="shared" ca="1" si="30"/>
        <v>1085.0477440885795</v>
      </c>
      <c r="P80">
        <f t="shared" ca="1" si="30"/>
        <v>1085.0477440885793</v>
      </c>
      <c r="Q80">
        <f t="shared" ca="1" si="30"/>
        <v>1467.7295614807633</v>
      </c>
      <c r="R80">
        <f t="shared" ca="1" si="30"/>
        <v>1467.7295614807629</v>
      </c>
      <c r="S80">
        <f t="shared" ca="1" si="30"/>
        <v>1467.7295614807633</v>
      </c>
      <c r="T80">
        <f t="shared" ca="1" si="28"/>
        <v>1031.7694142523269</v>
      </c>
      <c r="U80">
        <f t="shared" ca="1" si="28"/>
        <v>1467.7295614807633</v>
      </c>
      <c r="V80">
        <f t="shared" ca="1" si="28"/>
        <v>1543.5199256908281</v>
      </c>
      <c r="W80">
        <f t="shared" ca="1" si="28"/>
        <v>1467.7295614807629</v>
      </c>
      <c r="X80">
        <f t="shared" ca="1" si="28"/>
        <v>981.10717245976252</v>
      </c>
      <c r="Y80">
        <f t="shared" ca="1" si="28"/>
        <v>1395.6606777721713</v>
      </c>
      <c r="Z80">
        <f t="shared" ca="1" si="28"/>
        <v>1543.5199256908286</v>
      </c>
      <c r="AA80">
        <f t="shared" ca="1" si="28"/>
        <v>1395.6606777721711</v>
      </c>
      <c r="AB80">
        <f t="shared" ca="1" si="28"/>
        <v>1395.6606777721711</v>
      </c>
      <c r="AC80">
        <f t="shared" ca="1" si="28"/>
        <v>1395.6606777721711</v>
      </c>
      <c r="AD80">
        <f t="shared" ca="1" si="28"/>
        <v>1395.6606777721715</v>
      </c>
      <c r="AE80">
        <f t="shared" ca="1" si="28"/>
        <v>1085.0477440885791</v>
      </c>
      <c r="AF80">
        <f t="shared" ca="1" si="28"/>
        <v>1395.6606777721715</v>
      </c>
      <c r="AG80">
        <f t="shared" ca="1" si="28"/>
        <v>1543.5199256908286</v>
      </c>
      <c r="AH80">
        <f t="shared" ca="1" si="28"/>
        <v>932.93256279506875</v>
      </c>
      <c r="AI80">
        <f t="shared" ca="1" si="28"/>
        <v>1085.0477440885793</v>
      </c>
      <c r="AJ80">
        <f t="shared" ca="1" si="33"/>
        <v>981.10717245976252</v>
      </c>
      <c r="AK80">
        <f t="shared" ca="1" si="33"/>
        <v>1543.5199256908281</v>
      </c>
      <c r="AL80">
        <f t="shared" ca="1" si="33"/>
        <v>1467.7295614807629</v>
      </c>
      <c r="AM80">
        <f t="shared" ca="1" si="33"/>
        <v>1261.9653916081936</v>
      </c>
      <c r="AN80">
        <f t="shared" ca="1" si="33"/>
        <v>1141.0772510686097</v>
      </c>
      <c r="AO80">
        <f t="shared" ca="1" si="33"/>
        <v>1031.7694142523269</v>
      </c>
      <c r="AP80">
        <f t="shared" ca="1" si="33"/>
        <v>1327.1305413473513</v>
      </c>
      <c r="AQ80">
        <f t="shared" ca="1" si="33"/>
        <v>1327.1305413473517</v>
      </c>
      <c r="AR80">
        <f t="shared" ca="1" si="32"/>
        <v>1085.0477440885795</v>
      </c>
      <c r="AS80">
        <f t="shared" ca="1" si="32"/>
        <v>1261.9653916081936</v>
      </c>
      <c r="AT80">
        <f t="shared" ca="1" si="32"/>
        <v>1199.9999999999995</v>
      </c>
      <c r="AU80">
        <f t="shared" ca="1" si="32"/>
        <v>887.12343682215862</v>
      </c>
      <c r="AV80">
        <f t="shared" ca="1" si="32"/>
        <v>1141.0772510686095</v>
      </c>
      <c r="AW80">
        <f t="shared" ca="1" si="32"/>
        <v>1395.6606777721711</v>
      </c>
      <c r="AX80">
        <f t="shared" ca="1" si="32"/>
        <v>1327.1305413473517</v>
      </c>
      <c r="AY80">
        <f t="shared" ca="1" si="32"/>
        <v>1199.9999999999993</v>
      </c>
      <c r="AZ80">
        <f t="shared" ca="1" si="32"/>
        <v>1467.7295614807629</v>
      </c>
      <c r="BA80">
        <f t="shared" ca="1" si="32"/>
        <v>1327.1305413473517</v>
      </c>
      <c r="BB80">
        <f t="shared" ca="1" si="32"/>
        <v>932.93256279506863</v>
      </c>
      <c r="BC80">
        <f t="shared" ca="1" si="32"/>
        <v>1200</v>
      </c>
      <c r="BD80">
        <f t="shared" ca="1" si="32"/>
        <v>1141.0772510686097</v>
      </c>
      <c r="BE80">
        <f t="shared" ca="1" si="32"/>
        <v>1199.9999999999995</v>
      </c>
      <c r="BF80">
        <f t="shared" ca="1" si="32"/>
        <v>1085.0477440885795</v>
      </c>
      <c r="BG80">
        <f t="shared" ca="1" si="29"/>
        <v>1261.9653916081936</v>
      </c>
      <c r="BH80">
        <f t="shared" ca="1" si="29"/>
        <v>1467.7295614807629</v>
      </c>
      <c r="BI80">
        <f t="shared" ca="1" si="29"/>
        <v>1395.6606777721715</v>
      </c>
      <c r="BJ80">
        <f t="shared" ca="1" si="29"/>
        <v>1085.0477440885793</v>
      </c>
      <c r="BK80">
        <f t="shared" ca="1" si="29"/>
        <v>1031.7694142523269</v>
      </c>
      <c r="BL80">
        <f t="shared" ca="1" si="29"/>
        <v>1327.1305413473515</v>
      </c>
      <c r="BM80">
        <f t="shared" ca="1" si="29"/>
        <v>1395.6606777721711</v>
      </c>
      <c r="BN80">
        <f t="shared" ca="1" si="29"/>
        <v>1031.7694142523274</v>
      </c>
      <c r="BO80">
        <f t="shared" ca="1" si="29"/>
        <v>1395.6606777721711</v>
      </c>
      <c r="BP80">
        <f t="shared" ca="1" si="29"/>
        <v>1327.1305413473517</v>
      </c>
      <c r="BQ80">
        <f t="shared" ca="1" si="29"/>
        <v>981.10717245976286</v>
      </c>
      <c r="BR80">
        <f t="shared" ca="1" si="29"/>
        <v>1261.9653916081941</v>
      </c>
      <c r="BS80">
        <f t="shared" ca="1" si="29"/>
        <v>1261.9653916081936</v>
      </c>
      <c r="BT80">
        <f t="shared" ca="1" si="29"/>
        <v>1141.0772510686097</v>
      </c>
      <c r="BU80">
        <f t="shared" ca="1" si="29"/>
        <v>802.14273654332578</v>
      </c>
      <c r="BV80">
        <f t="shared" ca="1" si="29"/>
        <v>1141.0772510686097</v>
      </c>
      <c r="BW80">
        <f t="shared" ref="BW80:CL95" ca="1" si="34">BW79*(IF(RAND()&lt;$B$11,$B$9,$B$10))</f>
        <v>1199.9999999999993</v>
      </c>
      <c r="BX80">
        <f t="shared" ca="1" si="34"/>
        <v>1141.0772510686097</v>
      </c>
      <c r="BY80">
        <f t="shared" ca="1" si="34"/>
        <v>1199.9999999999995</v>
      </c>
      <c r="BZ80">
        <f t="shared" ca="1" si="34"/>
        <v>1327.1305413473517</v>
      </c>
      <c r="CA80">
        <f t="shared" ca="1" si="34"/>
        <v>1467.7295614807629</v>
      </c>
      <c r="CB80">
        <f t="shared" ca="1" si="34"/>
        <v>1085.0477440885791</v>
      </c>
      <c r="CC80">
        <f t="shared" ca="1" si="34"/>
        <v>1395.6606777721711</v>
      </c>
      <c r="CD80">
        <f t="shared" ca="1" si="34"/>
        <v>1085.0477440885791</v>
      </c>
      <c r="CE80">
        <f t="shared" ca="1" si="34"/>
        <v>1199.9999999999995</v>
      </c>
      <c r="CF80">
        <f t="shared" ca="1" si="34"/>
        <v>981.10717245976252</v>
      </c>
      <c r="CG80">
        <f t="shared" ca="1" si="34"/>
        <v>981.10717245976286</v>
      </c>
      <c r="CH80">
        <f t="shared" ca="1" si="34"/>
        <v>1327.1305413473517</v>
      </c>
      <c r="CI80">
        <f t="shared" ca="1" si="34"/>
        <v>1327.1305413473517</v>
      </c>
      <c r="CJ80">
        <f t="shared" ca="1" si="34"/>
        <v>1031.7694142523274</v>
      </c>
      <c r="CK80">
        <f t="shared" ca="1" si="34"/>
        <v>1395.6606777721715</v>
      </c>
      <c r="CL80">
        <f t="shared" ca="1" si="31"/>
        <v>981.10717245976252</v>
      </c>
      <c r="CM80">
        <f t="shared" ca="1" si="31"/>
        <v>1327.1305413473517</v>
      </c>
      <c r="CN80">
        <f t="shared" ca="1" si="31"/>
        <v>1467.7295614807629</v>
      </c>
      <c r="CO80">
        <f t="shared" ca="1" si="31"/>
        <v>1623.2239395662305</v>
      </c>
      <c r="CP80">
        <f t="shared" ca="1" si="31"/>
        <v>1623.2239395662305</v>
      </c>
      <c r="CQ80">
        <f t="shared" ca="1" si="31"/>
        <v>1031.7694142523274</v>
      </c>
      <c r="CR80">
        <f t="shared" ca="1" si="31"/>
        <v>1327.1305413473517</v>
      </c>
      <c r="CS80">
        <f t="shared" ca="1" si="31"/>
        <v>981.10717245976252</v>
      </c>
      <c r="CT80">
        <f t="shared" ca="1" si="31"/>
        <v>1467.7295614807629</v>
      </c>
      <c r="CU80">
        <f t="shared" ca="1" si="31"/>
        <v>1141.0772510686097</v>
      </c>
      <c r="CV80">
        <f t="shared" ca="1" si="31"/>
        <v>1141.0772510686097</v>
      </c>
      <c r="CW80">
        <f t="shared" ca="1" si="31"/>
        <v>932.93256279506886</v>
      </c>
      <c r="CX80">
        <f t="shared" ca="1" si="31"/>
        <v>1261.9653916081936</v>
      </c>
      <c r="CY80">
        <f t="shared" ca="1" si="31"/>
        <v>887.12343682215874</v>
      </c>
    </row>
    <row r="81" spans="1:103">
      <c r="A81">
        <v>65</v>
      </c>
      <c r="B81">
        <v>65</v>
      </c>
      <c r="C81">
        <v>65</v>
      </c>
      <c r="D81">
        <f t="shared" ca="1" si="30"/>
        <v>1006.1194624136671</v>
      </c>
      <c r="E81">
        <f t="shared" ca="1" si="30"/>
        <v>822.59251743784137</v>
      </c>
      <c r="F81">
        <f t="shared" ca="1" si="30"/>
        <v>1112.7098890109644</v>
      </c>
      <c r="G81">
        <f t="shared" ca="1" si="30"/>
        <v>1664.6063175329091</v>
      </c>
      <c r="H81">
        <f t="shared" ca="1" si="30"/>
        <v>1582.8703341015785</v>
      </c>
      <c r="I81">
        <f t="shared" ca="1" si="30"/>
        <v>1750.5629694824095</v>
      </c>
      <c r="J81">
        <f t="shared" ca="1" si="30"/>
        <v>1840.9582360980605</v>
      </c>
      <c r="K81">
        <f t="shared" ca="1" si="30"/>
        <v>1840.9582360980601</v>
      </c>
      <c r="L81">
        <f t="shared" ca="1" si="30"/>
        <v>1431.2415710013781</v>
      </c>
      <c r="M81">
        <f t="shared" ca="1" si="30"/>
        <v>1360.9643312111427</v>
      </c>
      <c r="N81">
        <f t="shared" ca="1" si="30"/>
        <v>1170.167809026693</v>
      </c>
      <c r="O81">
        <f t="shared" ca="1" si="30"/>
        <v>1058.0732844912411</v>
      </c>
      <c r="P81">
        <f t="shared" ca="1" si="30"/>
        <v>1058.0732844912409</v>
      </c>
      <c r="Q81">
        <f t="shared" ca="1" si="30"/>
        <v>1431.2415710013786</v>
      </c>
      <c r="R81">
        <f t="shared" ca="1" si="30"/>
        <v>1431.2415710013781</v>
      </c>
      <c r="S81">
        <f t="shared" ref="S81:AI95" ca="1" si="35">S80*(IF(RAND()&lt;$B$11,$B$9,$B$10))</f>
        <v>1505.1477746955679</v>
      </c>
      <c r="T81">
        <f t="shared" ca="1" si="35"/>
        <v>1058.0732844912407</v>
      </c>
      <c r="U81">
        <f t="shared" ca="1" si="35"/>
        <v>1431.2415710013786</v>
      </c>
      <c r="V81">
        <f t="shared" ca="1" si="35"/>
        <v>1505.1477746955675</v>
      </c>
      <c r="W81">
        <f t="shared" ca="1" si="35"/>
        <v>1505.1477746955675</v>
      </c>
      <c r="X81">
        <f t="shared" ca="1" si="35"/>
        <v>1006.1194624136667</v>
      </c>
      <c r="Y81">
        <f t="shared" ca="1" si="35"/>
        <v>1431.2415710013784</v>
      </c>
      <c r="Z81">
        <f t="shared" ca="1" si="35"/>
        <v>1582.8703341015785</v>
      </c>
      <c r="AA81">
        <f t="shared" ca="1" si="35"/>
        <v>1431.2415710013781</v>
      </c>
      <c r="AB81">
        <f t="shared" ca="1" si="35"/>
        <v>1431.2415710013781</v>
      </c>
      <c r="AC81">
        <f t="shared" ca="1" si="35"/>
        <v>1360.9643312111427</v>
      </c>
      <c r="AD81">
        <f t="shared" ca="1" si="35"/>
        <v>1360.9643312111432</v>
      </c>
      <c r="AE81">
        <f t="shared" ca="1" si="35"/>
        <v>1058.0732844912407</v>
      </c>
      <c r="AF81">
        <f t="shared" ca="1" si="35"/>
        <v>1431.2415710013786</v>
      </c>
      <c r="AG81">
        <f t="shared" ca="1" si="35"/>
        <v>1582.8703341015785</v>
      </c>
      <c r="AH81">
        <f t="shared" ca="1" si="35"/>
        <v>956.71669201467876</v>
      </c>
      <c r="AI81">
        <f t="shared" ca="1" si="35"/>
        <v>1058.0732844912409</v>
      </c>
      <c r="AJ81">
        <f t="shared" ca="1" si="33"/>
        <v>956.71669201467876</v>
      </c>
      <c r="AK81">
        <f t="shared" ca="1" si="33"/>
        <v>1505.1477746955675</v>
      </c>
      <c r="AL81">
        <f t="shared" ca="1" si="33"/>
        <v>1505.1477746955675</v>
      </c>
      <c r="AM81">
        <f t="shared" ca="1" si="33"/>
        <v>1294.1378648840334</v>
      </c>
      <c r="AN81">
        <f t="shared" ca="1" si="33"/>
        <v>1170.167809026693</v>
      </c>
      <c r="AO81">
        <f t="shared" ca="1" si="33"/>
        <v>1006.1194624136668</v>
      </c>
      <c r="AP81">
        <f t="shared" ca="1" si="33"/>
        <v>1294.137864884033</v>
      </c>
      <c r="AQ81">
        <f t="shared" ca="1" si="33"/>
        <v>1294.1378648840334</v>
      </c>
      <c r="AR81">
        <f t="shared" ca="1" si="32"/>
        <v>1112.7098890109644</v>
      </c>
      <c r="AS81">
        <f t="shared" ca="1" si="32"/>
        <v>1230.5927311380608</v>
      </c>
      <c r="AT81">
        <f t="shared" ca="1" si="32"/>
        <v>1170.167809026693</v>
      </c>
      <c r="AU81">
        <f t="shared" ca="1" si="32"/>
        <v>865.06940700201301</v>
      </c>
      <c r="AV81">
        <f t="shared" ca="1" si="32"/>
        <v>1112.7098890109642</v>
      </c>
      <c r="AW81">
        <f t="shared" ca="1" si="32"/>
        <v>1431.2415710013781</v>
      </c>
      <c r="AX81">
        <f t="shared" ca="1" si="32"/>
        <v>1294.1378648840334</v>
      </c>
      <c r="AY81">
        <f t="shared" ca="1" si="32"/>
        <v>1170.1678090266928</v>
      </c>
      <c r="AZ81">
        <f t="shared" ca="1" si="32"/>
        <v>1431.2415710013781</v>
      </c>
      <c r="BA81">
        <f t="shared" ca="1" si="32"/>
        <v>1360.9643312111427</v>
      </c>
      <c r="BB81">
        <f t="shared" ca="1" si="32"/>
        <v>956.71669201467864</v>
      </c>
      <c r="BC81">
        <f t="shared" ca="1" si="32"/>
        <v>1170.1678090266935</v>
      </c>
      <c r="BD81">
        <f t="shared" ca="1" si="32"/>
        <v>1112.7098890109644</v>
      </c>
      <c r="BE81">
        <f t="shared" ca="1" si="32"/>
        <v>1170.167809026693</v>
      </c>
      <c r="BF81">
        <f t="shared" ca="1" si="32"/>
        <v>1058.0732844912411</v>
      </c>
      <c r="BG81">
        <f t="shared" ca="1" si="32"/>
        <v>1294.1378648840334</v>
      </c>
      <c r="BH81">
        <f t="shared" ref="BH81:BW96" ca="1" si="36">BH80*(IF(RAND()&lt;$B$11,$B$9,$B$10))</f>
        <v>1505.1477746955675</v>
      </c>
      <c r="BI81">
        <f t="shared" ca="1" si="36"/>
        <v>1431.2415710013786</v>
      </c>
      <c r="BJ81">
        <f t="shared" ca="1" si="36"/>
        <v>1112.7098890109642</v>
      </c>
      <c r="BK81">
        <f t="shared" ca="1" si="36"/>
        <v>1058.0732844912407</v>
      </c>
      <c r="BL81">
        <f t="shared" ca="1" si="36"/>
        <v>1360.9643312111425</v>
      </c>
      <c r="BM81">
        <f t="shared" ca="1" si="36"/>
        <v>1360.9643312111427</v>
      </c>
      <c r="BN81">
        <f t="shared" ca="1" si="36"/>
        <v>1058.0732844912411</v>
      </c>
      <c r="BO81">
        <f t="shared" ca="1" si="36"/>
        <v>1431.2415710013781</v>
      </c>
      <c r="BP81">
        <f t="shared" ca="1" si="36"/>
        <v>1360.9643312111427</v>
      </c>
      <c r="BQ81">
        <f t="shared" ca="1" si="36"/>
        <v>956.7166920146791</v>
      </c>
      <c r="BR81">
        <f t="shared" ca="1" si="36"/>
        <v>1294.1378648840339</v>
      </c>
      <c r="BS81">
        <f t="shared" ca="1" si="36"/>
        <v>1294.1378648840334</v>
      </c>
      <c r="BT81">
        <f t="shared" ca="1" si="36"/>
        <v>1112.7098890109644</v>
      </c>
      <c r="BU81">
        <f t="shared" ca="1" si="36"/>
        <v>822.59251743784137</v>
      </c>
      <c r="BV81">
        <f t="shared" ca="1" si="36"/>
        <v>1170.167809026693</v>
      </c>
      <c r="BW81">
        <f t="shared" ca="1" si="34"/>
        <v>1230.5927311380606</v>
      </c>
      <c r="BX81">
        <f t="shared" ca="1" si="34"/>
        <v>1170.167809026693</v>
      </c>
      <c r="BY81">
        <f t="shared" ca="1" si="34"/>
        <v>1230.5927311380608</v>
      </c>
      <c r="BZ81">
        <f t="shared" ca="1" si="34"/>
        <v>1360.9643312111427</v>
      </c>
      <c r="CA81">
        <f t="shared" ca="1" si="34"/>
        <v>1431.2415710013781</v>
      </c>
      <c r="CB81">
        <f t="shared" ca="1" si="34"/>
        <v>1112.7098890109639</v>
      </c>
      <c r="CC81">
        <f t="shared" ca="1" si="34"/>
        <v>1431.2415710013781</v>
      </c>
      <c r="CD81">
        <f t="shared" ca="1" si="34"/>
        <v>1058.0732844912407</v>
      </c>
      <c r="CE81">
        <f t="shared" ca="1" si="34"/>
        <v>1170.167809026693</v>
      </c>
      <c r="CF81">
        <f t="shared" ca="1" si="34"/>
        <v>1006.1194624136667</v>
      </c>
      <c r="CG81">
        <f t="shared" ca="1" si="34"/>
        <v>1006.1194624136671</v>
      </c>
      <c r="CH81">
        <f t="shared" ca="1" si="34"/>
        <v>1360.9643312111427</v>
      </c>
      <c r="CI81">
        <f t="shared" ca="1" si="34"/>
        <v>1294.1378648840334</v>
      </c>
      <c r="CJ81">
        <f t="shared" ca="1" si="34"/>
        <v>1058.0732844912411</v>
      </c>
      <c r="CK81">
        <f t="shared" ca="1" si="34"/>
        <v>1360.9643312111432</v>
      </c>
      <c r="CL81">
        <f t="shared" ca="1" si="31"/>
        <v>1006.1194624136667</v>
      </c>
      <c r="CM81">
        <f t="shared" ca="1" si="31"/>
        <v>1294.1378648840334</v>
      </c>
      <c r="CN81">
        <f t="shared" ca="1" si="31"/>
        <v>1431.2415710013781</v>
      </c>
      <c r="CO81">
        <f t="shared" ca="1" si="31"/>
        <v>1664.6063175329091</v>
      </c>
      <c r="CP81">
        <f t="shared" ca="1" si="31"/>
        <v>1664.6063175329091</v>
      </c>
      <c r="CQ81">
        <f t="shared" ca="1" si="31"/>
        <v>1058.0732844912411</v>
      </c>
      <c r="CR81">
        <f t="shared" ca="1" si="31"/>
        <v>1360.9643312111427</v>
      </c>
      <c r="CS81">
        <f t="shared" ca="1" si="31"/>
        <v>1006.1194624136667</v>
      </c>
      <c r="CT81">
        <f t="shared" ca="1" si="31"/>
        <v>1431.2415710013781</v>
      </c>
      <c r="CU81">
        <f t="shared" ca="1" si="31"/>
        <v>1170.167809026693</v>
      </c>
      <c r="CV81">
        <f t="shared" ca="1" si="31"/>
        <v>1170.167809026693</v>
      </c>
      <c r="CW81">
        <f t="shared" ca="1" si="31"/>
        <v>956.71669201467887</v>
      </c>
      <c r="CX81">
        <f t="shared" ca="1" si="31"/>
        <v>1230.5927311380608</v>
      </c>
      <c r="CY81">
        <f t="shared" ca="1" si="31"/>
        <v>865.06940700201312</v>
      </c>
    </row>
    <row r="82" spans="1:103">
      <c r="A82">
        <v>66</v>
      </c>
      <c r="B82">
        <v>66</v>
      </c>
      <c r="C82">
        <v>66</v>
      </c>
      <c r="D82">
        <f t="shared" ref="D82:S97" ca="1" si="37">D81*(IF(RAND()&lt;$B$11,$B$9,$B$10))</f>
        <v>981.10717245976275</v>
      </c>
      <c r="E82">
        <f t="shared" ca="1" si="37"/>
        <v>843.56364387297208</v>
      </c>
      <c r="F82">
        <f t="shared" ca="1" si="37"/>
        <v>1141.0772510686097</v>
      </c>
      <c r="G82">
        <f t="shared" ca="1" si="37"/>
        <v>1623.2239395662305</v>
      </c>
      <c r="H82">
        <f t="shared" ca="1" si="37"/>
        <v>1543.5199256908286</v>
      </c>
      <c r="I82">
        <f t="shared" ca="1" si="37"/>
        <v>1707.0436954687445</v>
      </c>
      <c r="J82">
        <f t="shared" ca="1" si="37"/>
        <v>1887.8915197258502</v>
      </c>
      <c r="K82">
        <f t="shared" ca="1" si="37"/>
        <v>1887.8915197258498</v>
      </c>
      <c r="L82">
        <f t="shared" ca="1" si="37"/>
        <v>1467.7295614807629</v>
      </c>
      <c r="M82">
        <f t="shared" ca="1" si="37"/>
        <v>1395.6606777721711</v>
      </c>
      <c r="N82">
        <f t="shared" ca="1" si="37"/>
        <v>1199.9999999999995</v>
      </c>
      <c r="O82">
        <f t="shared" ca="1" si="37"/>
        <v>1085.0477440885795</v>
      </c>
      <c r="P82">
        <f t="shared" ca="1" si="37"/>
        <v>1085.0477440885793</v>
      </c>
      <c r="Q82">
        <f t="shared" ca="1" si="37"/>
        <v>1467.7295614807633</v>
      </c>
      <c r="R82">
        <f t="shared" ca="1" si="37"/>
        <v>1395.6606777721711</v>
      </c>
      <c r="S82">
        <f t="shared" ca="1" si="35"/>
        <v>1467.7295614807631</v>
      </c>
      <c r="T82">
        <f t="shared" ca="1" si="35"/>
        <v>1031.7694142523269</v>
      </c>
      <c r="U82">
        <f t="shared" ca="1" si="35"/>
        <v>1467.7295614807633</v>
      </c>
      <c r="V82">
        <f t="shared" ca="1" si="35"/>
        <v>1543.5199256908281</v>
      </c>
      <c r="W82">
        <f t="shared" ca="1" si="35"/>
        <v>1543.5199256908281</v>
      </c>
      <c r="X82">
        <f t="shared" ca="1" si="35"/>
        <v>981.10717245976252</v>
      </c>
      <c r="Y82">
        <f t="shared" ca="1" si="35"/>
        <v>1395.6606777721713</v>
      </c>
      <c r="Z82">
        <f t="shared" ca="1" si="35"/>
        <v>1623.2239395662309</v>
      </c>
      <c r="AA82">
        <f t="shared" ca="1" si="35"/>
        <v>1395.6606777721711</v>
      </c>
      <c r="AB82">
        <f t="shared" ca="1" si="35"/>
        <v>1395.6606777721711</v>
      </c>
      <c r="AC82">
        <f t="shared" ca="1" si="35"/>
        <v>1395.6606777721711</v>
      </c>
      <c r="AD82">
        <f t="shared" ca="1" si="35"/>
        <v>1395.6606777721715</v>
      </c>
      <c r="AE82">
        <f t="shared" ca="1" si="35"/>
        <v>1031.7694142523269</v>
      </c>
      <c r="AF82">
        <f t="shared" ca="1" si="35"/>
        <v>1395.6606777721715</v>
      </c>
      <c r="AG82">
        <f t="shared" ca="1" si="35"/>
        <v>1623.2239395662309</v>
      </c>
      <c r="AH82">
        <f t="shared" ca="1" si="35"/>
        <v>981.10717245976252</v>
      </c>
      <c r="AI82">
        <f t="shared" ca="1" si="35"/>
        <v>1031.7694142523271</v>
      </c>
      <c r="AJ82">
        <f t="shared" ca="1" si="33"/>
        <v>932.93256279506875</v>
      </c>
      <c r="AK82">
        <f t="shared" ca="1" si="33"/>
        <v>1467.7295614807629</v>
      </c>
      <c r="AL82">
        <f t="shared" ca="1" si="33"/>
        <v>1543.5199256908281</v>
      </c>
      <c r="AM82">
        <f t="shared" ca="1" si="33"/>
        <v>1327.1305413473517</v>
      </c>
      <c r="AN82">
        <f t="shared" ca="1" si="33"/>
        <v>1141.0772510686097</v>
      </c>
      <c r="AO82">
        <f t="shared" ca="1" si="33"/>
        <v>1031.7694142523269</v>
      </c>
      <c r="AP82">
        <f t="shared" ca="1" si="33"/>
        <v>1327.1305413473513</v>
      </c>
      <c r="AQ82">
        <f t="shared" ca="1" si="33"/>
        <v>1327.1305413473517</v>
      </c>
      <c r="AR82">
        <f t="shared" ca="1" si="32"/>
        <v>1141.0772510686097</v>
      </c>
      <c r="AS82">
        <f t="shared" ca="1" si="32"/>
        <v>1199.9999999999995</v>
      </c>
      <c r="AT82">
        <f t="shared" ca="1" si="32"/>
        <v>1141.0772510686097</v>
      </c>
      <c r="AU82">
        <f t="shared" ca="1" si="32"/>
        <v>887.12343682215862</v>
      </c>
      <c r="AV82">
        <f t="shared" ca="1" si="32"/>
        <v>1085.0477440885793</v>
      </c>
      <c r="AW82">
        <f t="shared" ca="1" si="32"/>
        <v>1395.6606777721711</v>
      </c>
      <c r="AX82">
        <f t="shared" ca="1" si="32"/>
        <v>1327.1305413473517</v>
      </c>
      <c r="AY82">
        <f t="shared" ca="1" si="32"/>
        <v>1141.0772510686095</v>
      </c>
      <c r="AZ82">
        <f t="shared" ca="1" si="32"/>
        <v>1395.6606777721711</v>
      </c>
      <c r="BA82">
        <f t="shared" ca="1" si="32"/>
        <v>1327.1305413473517</v>
      </c>
      <c r="BB82">
        <f t="shared" ca="1" si="32"/>
        <v>981.10717245976241</v>
      </c>
      <c r="BC82">
        <f t="shared" ca="1" si="32"/>
        <v>1200</v>
      </c>
      <c r="BD82">
        <f t="shared" ca="1" si="32"/>
        <v>1085.0477440885795</v>
      </c>
      <c r="BE82">
        <f t="shared" ca="1" si="32"/>
        <v>1199.9999999999995</v>
      </c>
      <c r="BF82">
        <f t="shared" ca="1" si="32"/>
        <v>1031.7694142523274</v>
      </c>
      <c r="BG82">
        <f t="shared" ca="1" si="32"/>
        <v>1327.1305413473517</v>
      </c>
      <c r="BH82">
        <f t="shared" ca="1" si="36"/>
        <v>1467.7295614807629</v>
      </c>
      <c r="BI82">
        <f t="shared" ca="1" si="36"/>
        <v>1395.6606777721715</v>
      </c>
      <c r="BJ82">
        <f t="shared" ca="1" si="36"/>
        <v>1085.0477440885793</v>
      </c>
      <c r="BK82">
        <f t="shared" ca="1" si="36"/>
        <v>1085.0477440885791</v>
      </c>
      <c r="BL82">
        <f t="shared" ca="1" si="36"/>
        <v>1395.6606777721709</v>
      </c>
      <c r="BM82">
        <f t="shared" ca="1" si="36"/>
        <v>1395.6606777721711</v>
      </c>
      <c r="BN82">
        <f t="shared" ca="1" si="36"/>
        <v>1031.7694142523274</v>
      </c>
      <c r="BO82">
        <f t="shared" ca="1" si="36"/>
        <v>1395.6606777721711</v>
      </c>
      <c r="BP82">
        <f t="shared" ca="1" si="36"/>
        <v>1327.1305413473517</v>
      </c>
      <c r="BQ82">
        <f t="shared" ca="1" si="36"/>
        <v>932.93256279506897</v>
      </c>
      <c r="BR82">
        <f t="shared" ca="1" si="36"/>
        <v>1261.9653916081941</v>
      </c>
      <c r="BS82">
        <f t="shared" ca="1" si="36"/>
        <v>1327.1305413473517</v>
      </c>
      <c r="BT82">
        <f t="shared" ca="1" si="36"/>
        <v>1141.0772510686097</v>
      </c>
      <c r="BU82">
        <f t="shared" ca="1" si="36"/>
        <v>843.56364387297208</v>
      </c>
      <c r="BV82">
        <f t="shared" ca="1" si="36"/>
        <v>1141.0772510686097</v>
      </c>
      <c r="BW82">
        <f t="shared" ca="1" si="34"/>
        <v>1261.9653916081934</v>
      </c>
      <c r="BX82">
        <f t="shared" ca="1" si="34"/>
        <v>1199.9999999999995</v>
      </c>
      <c r="BY82">
        <f t="shared" ca="1" si="34"/>
        <v>1199.9999999999995</v>
      </c>
      <c r="BZ82">
        <f t="shared" ca="1" si="34"/>
        <v>1327.1305413473517</v>
      </c>
      <c r="CA82">
        <f t="shared" ca="1" si="34"/>
        <v>1467.7295614807629</v>
      </c>
      <c r="CB82">
        <f t="shared" ca="1" si="34"/>
        <v>1085.0477440885791</v>
      </c>
      <c r="CC82">
        <f t="shared" ca="1" si="34"/>
        <v>1395.6606777721711</v>
      </c>
      <c r="CD82">
        <f t="shared" ca="1" si="34"/>
        <v>1085.0477440885791</v>
      </c>
      <c r="CE82">
        <f t="shared" ca="1" si="34"/>
        <v>1199.9999999999995</v>
      </c>
      <c r="CF82">
        <f t="shared" ca="1" si="34"/>
        <v>981.10717245976252</v>
      </c>
      <c r="CG82">
        <f t="shared" ca="1" si="34"/>
        <v>981.10717245976275</v>
      </c>
      <c r="CH82">
        <f t="shared" ca="1" si="34"/>
        <v>1395.6606777721711</v>
      </c>
      <c r="CI82">
        <f t="shared" ca="1" si="34"/>
        <v>1327.1305413473517</v>
      </c>
      <c r="CJ82">
        <f t="shared" ca="1" si="34"/>
        <v>1031.7694142523274</v>
      </c>
      <c r="CK82">
        <f t="shared" ca="1" si="34"/>
        <v>1395.6606777721715</v>
      </c>
      <c r="CL82">
        <f t="shared" ca="1" si="31"/>
        <v>1031.7694142523269</v>
      </c>
      <c r="CM82">
        <f t="shared" ca="1" si="31"/>
        <v>1327.1305413473517</v>
      </c>
      <c r="CN82">
        <f t="shared" ca="1" si="31"/>
        <v>1467.7295614807629</v>
      </c>
      <c r="CO82">
        <f t="shared" ca="1" si="31"/>
        <v>1707.0436954687445</v>
      </c>
      <c r="CP82">
        <f t="shared" ca="1" si="31"/>
        <v>1707.0436954687445</v>
      </c>
      <c r="CQ82">
        <f t="shared" ca="1" si="31"/>
        <v>1085.0477440885795</v>
      </c>
      <c r="CR82">
        <f t="shared" ca="1" si="31"/>
        <v>1395.6606777721711</v>
      </c>
      <c r="CS82">
        <f t="shared" ca="1" si="31"/>
        <v>981.10717245976252</v>
      </c>
      <c r="CT82">
        <f t="shared" ca="1" si="31"/>
        <v>1395.6606777721711</v>
      </c>
      <c r="CU82">
        <f t="shared" ca="1" si="31"/>
        <v>1141.0772510686097</v>
      </c>
      <c r="CV82">
        <f t="shared" ca="1" si="31"/>
        <v>1141.0772510686097</v>
      </c>
      <c r="CW82">
        <f t="shared" ca="1" si="31"/>
        <v>981.10717245976264</v>
      </c>
      <c r="CX82">
        <f t="shared" ca="1" si="31"/>
        <v>1261.9653916081936</v>
      </c>
      <c r="CY82">
        <f t="shared" ca="1" si="31"/>
        <v>843.56364387297219</v>
      </c>
    </row>
    <row r="83" spans="1:103">
      <c r="A83">
        <v>67</v>
      </c>
      <c r="B83">
        <v>67</v>
      </c>
      <c r="C83">
        <v>67</v>
      </c>
      <c r="D83">
        <f t="shared" ca="1" si="37"/>
        <v>1006.119462413667</v>
      </c>
      <c r="E83">
        <f t="shared" ca="1" si="37"/>
        <v>865.06940700201301</v>
      </c>
      <c r="F83">
        <f t="shared" ca="1" si="37"/>
        <v>1170.167809026693</v>
      </c>
      <c r="G83">
        <f t="shared" ca="1" si="37"/>
        <v>1582.870334101578</v>
      </c>
      <c r="H83">
        <f t="shared" ca="1" si="37"/>
        <v>1505.1477746955679</v>
      </c>
      <c r="I83">
        <f t="shared" ca="1" si="37"/>
        <v>1750.5629694824095</v>
      </c>
      <c r="J83">
        <f t="shared" ca="1" si="37"/>
        <v>1936.0213177931828</v>
      </c>
      <c r="K83">
        <f t="shared" ca="1" si="37"/>
        <v>1936.0213177931823</v>
      </c>
      <c r="L83">
        <f t="shared" ca="1" si="37"/>
        <v>1431.2415710013781</v>
      </c>
      <c r="M83">
        <f t="shared" ca="1" si="37"/>
        <v>1360.9643312111427</v>
      </c>
      <c r="N83">
        <f t="shared" ca="1" si="37"/>
        <v>1170.167809026693</v>
      </c>
      <c r="O83">
        <f t="shared" ca="1" si="37"/>
        <v>1112.7098890109644</v>
      </c>
      <c r="P83">
        <f t="shared" ca="1" si="37"/>
        <v>1058.0732844912409</v>
      </c>
      <c r="Q83">
        <f t="shared" ca="1" si="37"/>
        <v>1431.2415710013786</v>
      </c>
      <c r="R83">
        <f t="shared" ca="1" si="37"/>
        <v>1431.2415710013781</v>
      </c>
      <c r="S83">
        <f t="shared" ca="1" si="35"/>
        <v>1431.2415710013784</v>
      </c>
      <c r="T83">
        <f t="shared" ca="1" si="35"/>
        <v>1058.0732844912407</v>
      </c>
      <c r="U83">
        <f t="shared" ca="1" si="35"/>
        <v>1431.2415710013786</v>
      </c>
      <c r="V83">
        <f t="shared" ca="1" si="35"/>
        <v>1582.870334101578</v>
      </c>
      <c r="W83">
        <f t="shared" ca="1" si="35"/>
        <v>1582.870334101578</v>
      </c>
      <c r="X83">
        <f t="shared" ca="1" si="35"/>
        <v>956.71669201467876</v>
      </c>
      <c r="Y83">
        <f t="shared" ca="1" si="35"/>
        <v>1431.2415710013784</v>
      </c>
      <c r="Z83">
        <f t="shared" ca="1" si="35"/>
        <v>1664.6063175329095</v>
      </c>
      <c r="AA83">
        <f t="shared" ca="1" si="35"/>
        <v>1360.9643312111427</v>
      </c>
      <c r="AB83">
        <f t="shared" ca="1" si="35"/>
        <v>1360.9643312111427</v>
      </c>
      <c r="AC83">
        <f t="shared" ca="1" si="35"/>
        <v>1431.2415710013781</v>
      </c>
      <c r="AD83">
        <f t="shared" ca="1" si="35"/>
        <v>1360.9643312111432</v>
      </c>
      <c r="AE83">
        <f t="shared" ca="1" si="35"/>
        <v>1058.0732844912407</v>
      </c>
      <c r="AF83">
        <f t="shared" ca="1" si="35"/>
        <v>1431.2415710013786</v>
      </c>
      <c r="AG83">
        <f t="shared" ca="1" si="35"/>
        <v>1582.8703341015785</v>
      </c>
      <c r="AH83">
        <f t="shared" ca="1" si="35"/>
        <v>956.71669201467876</v>
      </c>
      <c r="AI83">
        <f t="shared" ca="1" si="35"/>
        <v>1006.119462413667</v>
      </c>
      <c r="AJ83">
        <f t="shared" ca="1" si="33"/>
        <v>909.73971081296975</v>
      </c>
      <c r="AK83">
        <f t="shared" ca="1" si="33"/>
        <v>1431.2415710013781</v>
      </c>
      <c r="AL83">
        <f t="shared" ca="1" si="33"/>
        <v>1505.1477746955675</v>
      </c>
      <c r="AM83">
        <f t="shared" ca="1" si="33"/>
        <v>1294.1378648840334</v>
      </c>
      <c r="AN83">
        <f t="shared" ca="1" si="33"/>
        <v>1112.7098890109644</v>
      </c>
      <c r="AO83">
        <f t="shared" ca="1" si="33"/>
        <v>1058.0732844912407</v>
      </c>
      <c r="AP83">
        <f t="shared" ca="1" si="33"/>
        <v>1294.137864884033</v>
      </c>
      <c r="AQ83">
        <f t="shared" ca="1" si="33"/>
        <v>1294.1378648840334</v>
      </c>
      <c r="AR83">
        <f t="shared" ca="1" si="32"/>
        <v>1112.7098890109644</v>
      </c>
      <c r="AS83">
        <f t="shared" ca="1" si="32"/>
        <v>1170.167809026693</v>
      </c>
      <c r="AT83">
        <f t="shared" ca="1" si="32"/>
        <v>1170.167809026693</v>
      </c>
      <c r="AU83">
        <f t="shared" ca="1" si="32"/>
        <v>909.73971081296963</v>
      </c>
      <c r="AV83">
        <f t="shared" ca="1" si="32"/>
        <v>1112.7098890109642</v>
      </c>
      <c r="AW83">
        <f t="shared" ca="1" si="32"/>
        <v>1431.2415710013781</v>
      </c>
      <c r="AX83">
        <f t="shared" ca="1" si="32"/>
        <v>1360.9643312111427</v>
      </c>
      <c r="AY83">
        <f t="shared" ca="1" si="32"/>
        <v>1170.1678090266928</v>
      </c>
      <c r="AZ83">
        <f t="shared" ca="1" si="32"/>
        <v>1431.2415710013781</v>
      </c>
      <c r="BA83">
        <f t="shared" ca="1" si="32"/>
        <v>1294.1378648840334</v>
      </c>
      <c r="BB83">
        <f t="shared" ca="1" si="32"/>
        <v>956.71669201467864</v>
      </c>
      <c r="BC83">
        <f t="shared" ca="1" si="32"/>
        <v>1170.1678090266935</v>
      </c>
      <c r="BD83">
        <f t="shared" ca="1" si="32"/>
        <v>1058.0732844912411</v>
      </c>
      <c r="BE83">
        <f t="shared" ca="1" si="32"/>
        <v>1170.167809026693</v>
      </c>
      <c r="BF83">
        <f t="shared" ca="1" si="32"/>
        <v>1006.1194624136672</v>
      </c>
      <c r="BG83">
        <f t="shared" ca="1" si="32"/>
        <v>1294.1378648840334</v>
      </c>
      <c r="BH83">
        <f t="shared" ca="1" si="36"/>
        <v>1431.2415710013781</v>
      </c>
      <c r="BI83">
        <f t="shared" ca="1" si="36"/>
        <v>1431.2415710013786</v>
      </c>
      <c r="BJ83">
        <f t="shared" ca="1" si="36"/>
        <v>1112.7098890109642</v>
      </c>
      <c r="BK83">
        <f t="shared" ca="1" si="36"/>
        <v>1112.7098890109639</v>
      </c>
      <c r="BL83">
        <f t="shared" ca="1" si="36"/>
        <v>1431.2415710013779</v>
      </c>
      <c r="BM83">
        <f t="shared" ca="1" si="36"/>
        <v>1431.2415710013781</v>
      </c>
      <c r="BN83">
        <f t="shared" ca="1" si="36"/>
        <v>1058.0732844912411</v>
      </c>
      <c r="BO83">
        <f t="shared" ca="1" si="36"/>
        <v>1431.2415710013781</v>
      </c>
      <c r="BP83">
        <f t="shared" ca="1" si="36"/>
        <v>1294.1378648840334</v>
      </c>
      <c r="BQ83">
        <f t="shared" ca="1" si="36"/>
        <v>956.71669201467898</v>
      </c>
      <c r="BR83">
        <f t="shared" ca="1" si="36"/>
        <v>1294.1378648840339</v>
      </c>
      <c r="BS83">
        <f t="shared" ca="1" si="36"/>
        <v>1360.9643312111427</v>
      </c>
      <c r="BT83">
        <f t="shared" ca="1" si="36"/>
        <v>1170.167809026693</v>
      </c>
      <c r="BU83">
        <f t="shared" ca="1" si="36"/>
        <v>822.59251743784137</v>
      </c>
      <c r="BV83">
        <f t="shared" ca="1" si="36"/>
        <v>1112.7098890109644</v>
      </c>
      <c r="BW83">
        <f t="shared" ca="1" si="34"/>
        <v>1294.1378648840332</v>
      </c>
      <c r="BX83">
        <f t="shared" ca="1" si="34"/>
        <v>1230.5927311380608</v>
      </c>
      <c r="BY83">
        <f t="shared" ca="1" si="34"/>
        <v>1230.5927311380608</v>
      </c>
      <c r="BZ83">
        <f t="shared" ca="1" si="34"/>
        <v>1360.9643312111427</v>
      </c>
      <c r="CA83">
        <f t="shared" ca="1" si="34"/>
        <v>1505.1477746955675</v>
      </c>
      <c r="CB83">
        <f t="shared" ca="1" si="34"/>
        <v>1058.0732844912407</v>
      </c>
      <c r="CC83">
        <f t="shared" ca="1" si="34"/>
        <v>1360.9643312111427</v>
      </c>
      <c r="CD83">
        <f t="shared" ca="1" si="34"/>
        <v>1112.7098890109639</v>
      </c>
      <c r="CE83">
        <f t="shared" ca="1" si="34"/>
        <v>1230.5927311380608</v>
      </c>
      <c r="CF83">
        <f t="shared" ca="1" si="34"/>
        <v>956.71669201467876</v>
      </c>
      <c r="CG83">
        <f t="shared" ca="1" si="34"/>
        <v>956.71669201467898</v>
      </c>
      <c r="CH83">
        <f t="shared" ca="1" si="34"/>
        <v>1431.2415710013781</v>
      </c>
      <c r="CI83">
        <f t="shared" ca="1" si="34"/>
        <v>1294.1378648840334</v>
      </c>
      <c r="CJ83">
        <f t="shared" ca="1" si="34"/>
        <v>1058.0732844912411</v>
      </c>
      <c r="CK83">
        <f t="shared" ca="1" si="34"/>
        <v>1360.9643312111432</v>
      </c>
      <c r="CL83">
        <f t="shared" ca="1" si="34"/>
        <v>1006.1194624136668</v>
      </c>
      <c r="CM83">
        <f t="shared" ref="CM83:CY98" ca="1" si="38">CM82*(IF(RAND()&lt;$B$11,$B$9,$B$10))</f>
        <v>1294.1378648840334</v>
      </c>
      <c r="CN83">
        <f t="shared" ca="1" si="38"/>
        <v>1505.1477746955675</v>
      </c>
      <c r="CO83">
        <f t="shared" ca="1" si="38"/>
        <v>1664.6063175329091</v>
      </c>
      <c r="CP83">
        <f t="shared" ca="1" si="38"/>
        <v>1664.6063175329091</v>
      </c>
      <c r="CQ83">
        <f t="shared" ca="1" si="38"/>
        <v>1112.7098890109644</v>
      </c>
      <c r="CR83">
        <f t="shared" ca="1" si="38"/>
        <v>1431.2415710013781</v>
      </c>
      <c r="CS83">
        <f t="shared" ca="1" si="38"/>
        <v>956.71669201467876</v>
      </c>
      <c r="CT83">
        <f t="shared" ca="1" si="38"/>
        <v>1431.2415710013781</v>
      </c>
      <c r="CU83">
        <f t="shared" ca="1" si="38"/>
        <v>1170.167809026693</v>
      </c>
      <c r="CV83">
        <f t="shared" ca="1" si="38"/>
        <v>1112.7098890109644</v>
      </c>
      <c r="CW83">
        <f t="shared" ca="1" si="38"/>
        <v>1006.1194624136668</v>
      </c>
      <c r="CX83">
        <f t="shared" ca="1" si="38"/>
        <v>1230.5927311380608</v>
      </c>
      <c r="CY83">
        <f t="shared" ca="1" si="38"/>
        <v>822.59251743784137</v>
      </c>
    </row>
    <row r="84" spans="1:103">
      <c r="A84">
        <v>68</v>
      </c>
      <c r="B84">
        <v>68</v>
      </c>
      <c r="C84">
        <v>68</v>
      </c>
      <c r="D84">
        <f t="shared" ca="1" si="37"/>
        <v>981.10717245976264</v>
      </c>
      <c r="E84">
        <f t="shared" ca="1" si="37"/>
        <v>887.12343682215862</v>
      </c>
      <c r="F84">
        <f t="shared" ca="1" si="37"/>
        <v>1141.0772510686097</v>
      </c>
      <c r="G84">
        <f t="shared" ca="1" si="37"/>
        <v>1543.5199256908281</v>
      </c>
      <c r="H84">
        <f t="shared" ca="1" si="37"/>
        <v>1467.7295614807631</v>
      </c>
      <c r="I84">
        <f t="shared" ca="1" si="37"/>
        <v>1795.1917213704276</v>
      </c>
      <c r="J84">
        <f t="shared" ca="1" si="37"/>
        <v>1887.8915197258502</v>
      </c>
      <c r="K84">
        <f t="shared" ca="1" si="37"/>
        <v>1887.8915197258498</v>
      </c>
      <c r="L84">
        <f t="shared" ca="1" si="37"/>
        <v>1467.7295614807629</v>
      </c>
      <c r="M84">
        <f t="shared" ca="1" si="37"/>
        <v>1327.1305413473517</v>
      </c>
      <c r="N84">
        <f t="shared" ca="1" si="37"/>
        <v>1141.0772510686097</v>
      </c>
      <c r="O84">
        <f t="shared" ca="1" si="37"/>
        <v>1141.0772510686097</v>
      </c>
      <c r="P84">
        <f t="shared" ca="1" si="37"/>
        <v>1031.7694142523271</v>
      </c>
      <c r="Q84">
        <f t="shared" ca="1" si="37"/>
        <v>1467.7295614807633</v>
      </c>
      <c r="R84">
        <f t="shared" ca="1" si="37"/>
        <v>1467.7295614807629</v>
      </c>
      <c r="S84">
        <f t="shared" ca="1" si="35"/>
        <v>1395.6606777721713</v>
      </c>
      <c r="T84">
        <f t="shared" ca="1" si="35"/>
        <v>1085.0477440885791</v>
      </c>
      <c r="U84">
        <f t="shared" ca="1" si="35"/>
        <v>1395.6606777721715</v>
      </c>
      <c r="V84">
        <f t="shared" ca="1" si="35"/>
        <v>1543.5199256908281</v>
      </c>
      <c r="W84">
        <f t="shared" ca="1" si="35"/>
        <v>1543.5199256908281</v>
      </c>
      <c r="X84">
        <f t="shared" ca="1" si="35"/>
        <v>981.10717245976252</v>
      </c>
      <c r="Y84">
        <f t="shared" ca="1" si="35"/>
        <v>1467.7295614807631</v>
      </c>
      <c r="Z84">
        <f t="shared" ca="1" si="35"/>
        <v>1623.2239395662309</v>
      </c>
      <c r="AA84">
        <f t="shared" ca="1" si="35"/>
        <v>1395.6606777721711</v>
      </c>
      <c r="AB84">
        <f t="shared" ca="1" si="35"/>
        <v>1395.6606777721711</v>
      </c>
      <c r="AC84">
        <f t="shared" ca="1" si="35"/>
        <v>1467.7295614807629</v>
      </c>
      <c r="AD84">
        <f t="shared" ca="1" si="35"/>
        <v>1395.6606777721715</v>
      </c>
      <c r="AE84">
        <f t="shared" ca="1" si="35"/>
        <v>1085.0477440885791</v>
      </c>
      <c r="AF84">
        <f t="shared" ca="1" si="35"/>
        <v>1467.7295614807633</v>
      </c>
      <c r="AG84">
        <f t="shared" ca="1" si="35"/>
        <v>1543.5199256908286</v>
      </c>
      <c r="AH84">
        <f t="shared" ca="1" si="35"/>
        <v>981.10717245976252</v>
      </c>
      <c r="AI84">
        <f t="shared" ca="1" si="35"/>
        <v>981.10717245976264</v>
      </c>
      <c r="AJ84">
        <f t="shared" ca="1" si="33"/>
        <v>887.12343682215874</v>
      </c>
      <c r="AK84">
        <f t="shared" ca="1" si="33"/>
        <v>1467.7295614807629</v>
      </c>
      <c r="AL84">
        <f t="shared" ca="1" si="33"/>
        <v>1467.7295614807629</v>
      </c>
      <c r="AM84">
        <f t="shared" ca="1" si="33"/>
        <v>1327.1305413473517</v>
      </c>
      <c r="AN84">
        <f t="shared" ca="1" si="33"/>
        <v>1085.0477440885795</v>
      </c>
      <c r="AO84">
        <f t="shared" ca="1" si="33"/>
        <v>1031.7694142523269</v>
      </c>
      <c r="AP84">
        <f t="shared" ca="1" si="33"/>
        <v>1261.9653916081932</v>
      </c>
      <c r="AQ84">
        <f t="shared" ca="1" si="33"/>
        <v>1261.9653916081936</v>
      </c>
      <c r="AR84">
        <f t="shared" ca="1" si="32"/>
        <v>1085.0477440885795</v>
      </c>
      <c r="AS84">
        <f t="shared" ca="1" si="32"/>
        <v>1199.9999999999995</v>
      </c>
      <c r="AT84">
        <f t="shared" ca="1" si="32"/>
        <v>1199.9999999999995</v>
      </c>
      <c r="AU84">
        <f t="shared" ca="1" si="32"/>
        <v>887.12343682215862</v>
      </c>
      <c r="AV84">
        <f t="shared" ca="1" si="32"/>
        <v>1141.0772510686095</v>
      </c>
      <c r="AW84">
        <f t="shared" ca="1" si="32"/>
        <v>1467.7295614807629</v>
      </c>
      <c r="AX84">
        <f t="shared" ca="1" si="32"/>
        <v>1327.1305413473517</v>
      </c>
      <c r="AY84">
        <f t="shared" ca="1" si="32"/>
        <v>1199.9999999999993</v>
      </c>
      <c r="AZ84">
        <f t="shared" ca="1" si="32"/>
        <v>1395.6606777721711</v>
      </c>
      <c r="BA84">
        <f t="shared" ca="1" si="32"/>
        <v>1261.9653916081936</v>
      </c>
      <c r="BB84">
        <f t="shared" ca="1" si="32"/>
        <v>932.93256279506863</v>
      </c>
      <c r="BC84">
        <f t="shared" ca="1" si="32"/>
        <v>1141.0772510686099</v>
      </c>
      <c r="BD84">
        <f t="shared" ca="1" si="32"/>
        <v>1031.7694142523274</v>
      </c>
      <c r="BE84">
        <f t="shared" ca="1" si="32"/>
        <v>1141.0772510686097</v>
      </c>
      <c r="BF84">
        <f t="shared" ca="1" si="32"/>
        <v>981.10717245976286</v>
      </c>
      <c r="BG84">
        <f t="shared" ca="1" si="32"/>
        <v>1261.9653916081936</v>
      </c>
      <c r="BH84">
        <f t="shared" ca="1" si="36"/>
        <v>1395.6606777721711</v>
      </c>
      <c r="BI84">
        <f t="shared" ca="1" si="36"/>
        <v>1395.6606777721715</v>
      </c>
      <c r="BJ84">
        <f t="shared" ca="1" si="36"/>
        <v>1085.0477440885793</v>
      </c>
      <c r="BK84">
        <f t="shared" ca="1" si="36"/>
        <v>1085.0477440885791</v>
      </c>
      <c r="BL84">
        <f t="shared" ca="1" si="36"/>
        <v>1467.7295614807626</v>
      </c>
      <c r="BM84">
        <f t="shared" ca="1" si="36"/>
        <v>1395.6606777721711</v>
      </c>
      <c r="BN84">
        <f t="shared" ca="1" si="36"/>
        <v>1031.7694142523274</v>
      </c>
      <c r="BO84">
        <f t="shared" ca="1" si="36"/>
        <v>1467.7295614807629</v>
      </c>
      <c r="BP84">
        <f t="shared" ca="1" si="36"/>
        <v>1261.9653916081936</v>
      </c>
      <c r="BQ84">
        <f t="shared" ca="1" si="36"/>
        <v>981.10717245976275</v>
      </c>
      <c r="BR84">
        <f t="shared" ca="1" si="36"/>
        <v>1261.9653916081941</v>
      </c>
      <c r="BS84">
        <f t="shared" ca="1" si="36"/>
        <v>1395.6606777721711</v>
      </c>
      <c r="BT84">
        <f t="shared" ca="1" si="36"/>
        <v>1199.9999999999995</v>
      </c>
      <c r="BU84">
        <f t="shared" ca="1" si="36"/>
        <v>802.14273654332578</v>
      </c>
      <c r="BV84">
        <f t="shared" ca="1" si="36"/>
        <v>1085.0477440885795</v>
      </c>
      <c r="BW84">
        <f t="shared" ca="1" si="34"/>
        <v>1261.9653916081934</v>
      </c>
      <c r="BX84">
        <f t="shared" ca="1" si="34"/>
        <v>1199.9999999999995</v>
      </c>
      <c r="BY84">
        <f t="shared" ca="1" si="34"/>
        <v>1261.9653916081936</v>
      </c>
      <c r="BZ84">
        <f t="shared" ca="1" si="34"/>
        <v>1327.1305413473517</v>
      </c>
      <c r="CA84">
        <f t="shared" ca="1" si="34"/>
        <v>1543.5199256908281</v>
      </c>
      <c r="CB84">
        <f t="shared" ca="1" si="34"/>
        <v>1085.0477440885791</v>
      </c>
      <c r="CC84">
        <f t="shared" ca="1" si="34"/>
        <v>1395.6606777721711</v>
      </c>
      <c r="CD84">
        <f t="shared" ca="1" si="34"/>
        <v>1085.0477440885791</v>
      </c>
      <c r="CE84">
        <f t="shared" ca="1" si="34"/>
        <v>1199.9999999999995</v>
      </c>
      <c r="CF84">
        <f t="shared" ca="1" si="34"/>
        <v>932.93256279506875</v>
      </c>
      <c r="CG84">
        <f t="shared" ca="1" si="34"/>
        <v>932.93256279506886</v>
      </c>
      <c r="CH84">
        <f t="shared" ca="1" si="34"/>
        <v>1467.7295614807629</v>
      </c>
      <c r="CI84">
        <f t="shared" ca="1" si="34"/>
        <v>1261.9653916081936</v>
      </c>
      <c r="CJ84">
        <f t="shared" ca="1" si="34"/>
        <v>1031.7694142523274</v>
      </c>
      <c r="CK84">
        <f t="shared" ca="1" si="34"/>
        <v>1395.6606777721715</v>
      </c>
      <c r="CL84">
        <f t="shared" ca="1" si="34"/>
        <v>1031.7694142523269</v>
      </c>
      <c r="CM84">
        <f t="shared" ca="1" si="38"/>
        <v>1261.9653916081936</v>
      </c>
      <c r="CN84">
        <f t="shared" ca="1" si="38"/>
        <v>1543.5199256908281</v>
      </c>
      <c r="CO84">
        <f t="shared" ca="1" si="38"/>
        <v>1623.2239395662305</v>
      </c>
      <c r="CP84">
        <f t="shared" ca="1" si="38"/>
        <v>1623.2239395662305</v>
      </c>
      <c r="CQ84">
        <f t="shared" ca="1" si="38"/>
        <v>1085.0477440885795</v>
      </c>
      <c r="CR84">
        <f t="shared" ca="1" si="38"/>
        <v>1467.7295614807629</v>
      </c>
      <c r="CS84">
        <f t="shared" ca="1" si="38"/>
        <v>932.93256279506875</v>
      </c>
      <c r="CT84">
        <f t="shared" ca="1" si="38"/>
        <v>1395.6606777721711</v>
      </c>
      <c r="CU84">
        <f t="shared" ca="1" si="38"/>
        <v>1199.9999999999995</v>
      </c>
      <c r="CV84">
        <f t="shared" ca="1" si="38"/>
        <v>1085.0477440885795</v>
      </c>
      <c r="CW84">
        <f t="shared" ca="1" si="38"/>
        <v>1031.7694142523269</v>
      </c>
      <c r="CX84">
        <f t="shared" ca="1" si="38"/>
        <v>1199.9999999999995</v>
      </c>
      <c r="CY84">
        <f t="shared" ca="1" si="38"/>
        <v>802.14273654332578</v>
      </c>
    </row>
    <row r="85" spans="1:103">
      <c r="A85">
        <v>69</v>
      </c>
      <c r="B85">
        <v>69</v>
      </c>
      <c r="C85">
        <v>69</v>
      </c>
      <c r="D85">
        <f t="shared" ca="1" si="37"/>
        <v>1006.1194624136668</v>
      </c>
      <c r="E85">
        <f t="shared" ca="1" si="37"/>
        <v>909.73971081296963</v>
      </c>
      <c r="F85">
        <f t="shared" ca="1" si="37"/>
        <v>1170.167809026693</v>
      </c>
      <c r="G85">
        <f t="shared" ca="1" si="37"/>
        <v>1582.870334101578</v>
      </c>
      <c r="H85">
        <f t="shared" ca="1" si="37"/>
        <v>1505.1477746955677</v>
      </c>
      <c r="I85">
        <f t="shared" ca="1" si="37"/>
        <v>1750.5629694824095</v>
      </c>
      <c r="J85">
        <f t="shared" ca="1" si="37"/>
        <v>1936.0213177931828</v>
      </c>
      <c r="K85">
        <f t="shared" ca="1" si="37"/>
        <v>1936.0213177931823</v>
      </c>
      <c r="L85">
        <f t="shared" ca="1" si="37"/>
        <v>1505.1477746955675</v>
      </c>
      <c r="M85">
        <f t="shared" ca="1" si="37"/>
        <v>1294.1378648840334</v>
      </c>
      <c r="N85">
        <f t="shared" ca="1" si="37"/>
        <v>1170.167809026693</v>
      </c>
      <c r="O85">
        <f t="shared" ca="1" si="37"/>
        <v>1112.7098890109644</v>
      </c>
      <c r="P85">
        <f t="shared" ca="1" si="37"/>
        <v>1058.0732844912409</v>
      </c>
      <c r="Q85">
        <f t="shared" ca="1" si="37"/>
        <v>1431.2415710013786</v>
      </c>
      <c r="R85">
        <f t="shared" ca="1" si="37"/>
        <v>1505.1477746955675</v>
      </c>
      <c r="S85">
        <f t="shared" ca="1" si="35"/>
        <v>1360.964331211143</v>
      </c>
      <c r="T85">
        <f t="shared" ca="1" si="35"/>
        <v>1058.0732844912407</v>
      </c>
      <c r="U85">
        <f t="shared" ca="1" si="35"/>
        <v>1431.2415710013786</v>
      </c>
      <c r="V85">
        <f t="shared" ca="1" si="35"/>
        <v>1505.1477746955675</v>
      </c>
      <c r="W85">
        <f t="shared" ca="1" si="35"/>
        <v>1505.1477746955675</v>
      </c>
      <c r="X85">
        <f t="shared" ca="1" si="35"/>
        <v>956.71669201467876</v>
      </c>
      <c r="Y85">
        <f t="shared" ca="1" si="35"/>
        <v>1505.1477746955677</v>
      </c>
      <c r="Z85">
        <f t="shared" ca="1" si="35"/>
        <v>1582.8703341015785</v>
      </c>
      <c r="AA85">
        <f t="shared" ca="1" si="35"/>
        <v>1431.2415710013781</v>
      </c>
      <c r="AB85">
        <f t="shared" ca="1" si="35"/>
        <v>1431.2415710013781</v>
      </c>
      <c r="AC85">
        <f t="shared" ca="1" si="35"/>
        <v>1431.2415710013781</v>
      </c>
      <c r="AD85">
        <f t="shared" ca="1" si="35"/>
        <v>1431.2415710013786</v>
      </c>
      <c r="AE85">
        <f t="shared" ca="1" si="35"/>
        <v>1058.0732844912407</v>
      </c>
      <c r="AF85">
        <f t="shared" ca="1" si="35"/>
        <v>1431.2415710013786</v>
      </c>
      <c r="AG85">
        <f t="shared" ca="1" si="35"/>
        <v>1582.8703341015785</v>
      </c>
      <c r="AH85">
        <f t="shared" ca="1" si="35"/>
        <v>956.71669201467876</v>
      </c>
      <c r="AI85">
        <f t="shared" ca="1" si="35"/>
        <v>956.71669201467887</v>
      </c>
      <c r="AJ85">
        <f t="shared" ca="1" si="33"/>
        <v>865.06940700201312</v>
      </c>
      <c r="AK85">
        <f t="shared" ca="1" si="33"/>
        <v>1431.2415710013781</v>
      </c>
      <c r="AL85">
        <f t="shared" ca="1" si="33"/>
        <v>1431.2415710013781</v>
      </c>
      <c r="AM85">
        <f t="shared" ca="1" si="33"/>
        <v>1360.9643312111427</v>
      </c>
      <c r="AN85">
        <f t="shared" ca="1" si="33"/>
        <v>1112.7098890109644</v>
      </c>
      <c r="AO85">
        <f t="shared" ca="1" si="33"/>
        <v>1058.0732844912407</v>
      </c>
      <c r="AP85">
        <f t="shared" ca="1" si="33"/>
        <v>1294.137864884033</v>
      </c>
      <c r="AQ85">
        <f t="shared" ca="1" si="33"/>
        <v>1230.5927311380608</v>
      </c>
      <c r="AR85">
        <f t="shared" ca="1" si="32"/>
        <v>1058.0732844912411</v>
      </c>
      <c r="AS85">
        <f t="shared" ca="1" si="32"/>
        <v>1230.5927311380608</v>
      </c>
      <c r="AT85">
        <f t="shared" ca="1" si="32"/>
        <v>1170.167809026693</v>
      </c>
      <c r="AU85">
        <f t="shared" ca="1" si="32"/>
        <v>865.06940700201301</v>
      </c>
      <c r="AV85">
        <f t="shared" ca="1" si="32"/>
        <v>1170.1678090266928</v>
      </c>
      <c r="AW85">
        <f t="shared" ca="1" si="32"/>
        <v>1431.2415710013781</v>
      </c>
      <c r="AX85">
        <f t="shared" ca="1" si="32"/>
        <v>1360.9643312111427</v>
      </c>
      <c r="AY85">
        <f t="shared" ca="1" si="32"/>
        <v>1170.1678090266928</v>
      </c>
      <c r="AZ85">
        <f t="shared" ca="1" si="32"/>
        <v>1431.2415710013781</v>
      </c>
      <c r="BA85">
        <f t="shared" ca="1" si="32"/>
        <v>1230.5927311380608</v>
      </c>
      <c r="BB85">
        <f t="shared" ca="1" si="32"/>
        <v>956.71669201467864</v>
      </c>
      <c r="BC85">
        <f t="shared" ca="1" si="32"/>
        <v>1170.1678090266932</v>
      </c>
      <c r="BD85">
        <f t="shared" ca="1" si="32"/>
        <v>1058.0732844912411</v>
      </c>
      <c r="BE85">
        <f t="shared" ca="1" si="32"/>
        <v>1112.7098890109644</v>
      </c>
      <c r="BF85">
        <f t="shared" ca="1" si="32"/>
        <v>956.7166920146791</v>
      </c>
      <c r="BG85">
        <f t="shared" ca="1" si="32"/>
        <v>1230.5927311380608</v>
      </c>
      <c r="BH85">
        <f t="shared" ca="1" si="36"/>
        <v>1360.9643312111427</v>
      </c>
      <c r="BI85">
        <f t="shared" ca="1" si="36"/>
        <v>1431.2415710013786</v>
      </c>
      <c r="BJ85">
        <f t="shared" ca="1" si="36"/>
        <v>1112.7098890109642</v>
      </c>
      <c r="BK85">
        <f t="shared" ca="1" si="36"/>
        <v>1112.7098890109639</v>
      </c>
      <c r="BL85">
        <f t="shared" ca="1" si="36"/>
        <v>1505.1477746955673</v>
      </c>
      <c r="BM85">
        <f t="shared" ca="1" si="36"/>
        <v>1431.2415710013781</v>
      </c>
      <c r="BN85">
        <f t="shared" ca="1" si="36"/>
        <v>1006.1194624136672</v>
      </c>
      <c r="BO85">
        <f t="shared" ca="1" si="36"/>
        <v>1505.1477746955675</v>
      </c>
      <c r="BP85">
        <f t="shared" ca="1" si="36"/>
        <v>1294.1378648840334</v>
      </c>
      <c r="BQ85">
        <f t="shared" ca="1" si="36"/>
        <v>1006.119462413667</v>
      </c>
      <c r="BR85">
        <f t="shared" ca="1" si="36"/>
        <v>1230.5927311380613</v>
      </c>
      <c r="BS85">
        <f t="shared" ca="1" si="36"/>
        <v>1431.2415710013781</v>
      </c>
      <c r="BT85">
        <f t="shared" ca="1" si="36"/>
        <v>1230.5927311380608</v>
      </c>
      <c r="BU85">
        <f t="shared" ca="1" si="36"/>
        <v>782.20134045631642</v>
      </c>
      <c r="BV85">
        <f t="shared" ca="1" si="36"/>
        <v>1112.7098890109644</v>
      </c>
      <c r="BW85">
        <f t="shared" ca="1" si="34"/>
        <v>1230.5927311380606</v>
      </c>
      <c r="BX85">
        <f t="shared" ca="1" si="34"/>
        <v>1230.5927311380608</v>
      </c>
      <c r="BY85">
        <f t="shared" ca="1" si="34"/>
        <v>1294.1378648840334</v>
      </c>
      <c r="BZ85">
        <f t="shared" ca="1" si="34"/>
        <v>1294.1378648840334</v>
      </c>
      <c r="CA85">
        <f t="shared" ca="1" si="34"/>
        <v>1505.1477746955675</v>
      </c>
      <c r="CB85">
        <f t="shared" ca="1" si="34"/>
        <v>1058.0732844912407</v>
      </c>
      <c r="CC85">
        <f t="shared" ca="1" si="34"/>
        <v>1360.9643312111427</v>
      </c>
      <c r="CD85">
        <f t="shared" ca="1" si="34"/>
        <v>1112.7098890109639</v>
      </c>
      <c r="CE85">
        <f t="shared" ca="1" si="34"/>
        <v>1170.167809026693</v>
      </c>
      <c r="CF85">
        <f t="shared" ca="1" si="34"/>
        <v>956.71669201467876</v>
      </c>
      <c r="CG85">
        <f t="shared" ca="1" si="34"/>
        <v>956.71669201467887</v>
      </c>
      <c r="CH85">
        <f t="shared" ca="1" si="34"/>
        <v>1431.2415710013781</v>
      </c>
      <c r="CI85">
        <f t="shared" ca="1" si="34"/>
        <v>1230.5927311380608</v>
      </c>
      <c r="CJ85">
        <f t="shared" ca="1" si="34"/>
        <v>1058.0732844912411</v>
      </c>
      <c r="CK85">
        <f t="shared" ca="1" si="34"/>
        <v>1360.9643312111432</v>
      </c>
      <c r="CL85">
        <f t="shared" ca="1" si="34"/>
        <v>1058.0732844912407</v>
      </c>
      <c r="CM85">
        <f t="shared" ca="1" si="38"/>
        <v>1230.5927311380608</v>
      </c>
      <c r="CN85">
        <f t="shared" ca="1" si="38"/>
        <v>1582.870334101578</v>
      </c>
      <c r="CO85">
        <f t="shared" ca="1" si="38"/>
        <v>1664.6063175329091</v>
      </c>
      <c r="CP85">
        <f t="shared" ca="1" si="38"/>
        <v>1582.870334101578</v>
      </c>
      <c r="CQ85">
        <f t="shared" ca="1" si="38"/>
        <v>1058.0732844912411</v>
      </c>
      <c r="CR85">
        <f t="shared" ca="1" si="38"/>
        <v>1505.1477746955675</v>
      </c>
      <c r="CS85">
        <f t="shared" ca="1" si="38"/>
        <v>956.71669201467876</v>
      </c>
      <c r="CT85">
        <f t="shared" ca="1" si="38"/>
        <v>1360.9643312111427</v>
      </c>
      <c r="CU85">
        <f t="shared" ca="1" si="38"/>
        <v>1230.5927311380608</v>
      </c>
      <c r="CV85">
        <f t="shared" ca="1" si="38"/>
        <v>1112.7098890109644</v>
      </c>
      <c r="CW85">
        <f t="shared" ca="1" si="38"/>
        <v>1058.0732844912407</v>
      </c>
      <c r="CX85">
        <f t="shared" ca="1" si="38"/>
        <v>1170.167809026693</v>
      </c>
      <c r="CY85">
        <f t="shared" ca="1" si="38"/>
        <v>782.20134045631642</v>
      </c>
    </row>
    <row r="86" spans="1:103">
      <c r="A86">
        <v>70</v>
      </c>
      <c r="B86">
        <v>70</v>
      </c>
      <c r="C86">
        <v>70</v>
      </c>
      <c r="D86">
        <f t="shared" ca="1" si="37"/>
        <v>981.10717245976264</v>
      </c>
      <c r="E86">
        <f t="shared" ca="1" si="37"/>
        <v>887.12343682215862</v>
      </c>
      <c r="F86">
        <f t="shared" ca="1" si="37"/>
        <v>1141.0772510686097</v>
      </c>
      <c r="G86">
        <f t="shared" ca="1" si="37"/>
        <v>1543.5199256908281</v>
      </c>
      <c r="H86">
        <f t="shared" ca="1" si="37"/>
        <v>1467.7295614807629</v>
      </c>
      <c r="I86">
        <f t="shared" ca="1" si="37"/>
        <v>1795.1917213704276</v>
      </c>
      <c r="J86">
        <f t="shared" ca="1" si="37"/>
        <v>1887.8915197258502</v>
      </c>
      <c r="K86">
        <f t="shared" ca="1" si="37"/>
        <v>1887.8915197258498</v>
      </c>
      <c r="L86">
        <f t="shared" ca="1" si="37"/>
        <v>1543.5199256908281</v>
      </c>
      <c r="M86">
        <f t="shared" ca="1" si="37"/>
        <v>1261.9653916081936</v>
      </c>
      <c r="N86">
        <f t="shared" ca="1" si="37"/>
        <v>1141.0772510686097</v>
      </c>
      <c r="O86">
        <f t="shared" ca="1" si="37"/>
        <v>1141.0772510686097</v>
      </c>
      <c r="P86">
        <f t="shared" ca="1" si="37"/>
        <v>1085.0477440885793</v>
      </c>
      <c r="Q86">
        <f t="shared" ca="1" si="37"/>
        <v>1395.6606777721715</v>
      </c>
      <c r="R86">
        <f t="shared" ca="1" si="37"/>
        <v>1467.7295614807629</v>
      </c>
      <c r="S86">
        <f t="shared" ca="1" si="35"/>
        <v>1395.6606777721713</v>
      </c>
      <c r="T86">
        <f t="shared" ca="1" si="35"/>
        <v>1085.0477440885791</v>
      </c>
      <c r="U86">
        <f t="shared" ca="1" si="35"/>
        <v>1395.6606777721715</v>
      </c>
      <c r="V86">
        <f t="shared" ca="1" si="35"/>
        <v>1467.7295614807629</v>
      </c>
      <c r="W86">
        <f t="shared" ca="1" si="35"/>
        <v>1467.7295614807629</v>
      </c>
      <c r="X86">
        <f t="shared" ca="1" si="35"/>
        <v>932.93256279506875</v>
      </c>
      <c r="Y86">
        <f t="shared" ca="1" si="35"/>
        <v>1467.7295614807629</v>
      </c>
      <c r="Z86">
        <f t="shared" ca="1" si="35"/>
        <v>1543.5199256908286</v>
      </c>
      <c r="AA86">
        <f t="shared" ca="1" si="35"/>
        <v>1467.7295614807629</v>
      </c>
      <c r="AB86">
        <f t="shared" ca="1" si="35"/>
        <v>1467.7295614807629</v>
      </c>
      <c r="AC86">
        <f t="shared" ca="1" si="35"/>
        <v>1467.7295614807629</v>
      </c>
      <c r="AD86">
        <f t="shared" ca="1" si="35"/>
        <v>1467.7295614807633</v>
      </c>
      <c r="AE86">
        <f t="shared" ca="1" si="35"/>
        <v>1085.0477440885791</v>
      </c>
      <c r="AF86">
        <f t="shared" ca="1" si="35"/>
        <v>1467.7295614807633</v>
      </c>
      <c r="AG86">
        <f t="shared" ca="1" si="35"/>
        <v>1623.2239395662309</v>
      </c>
      <c r="AH86">
        <f t="shared" ca="1" si="35"/>
        <v>932.93256279506875</v>
      </c>
      <c r="AI86">
        <f t="shared" ca="1" si="35"/>
        <v>981.10717245976264</v>
      </c>
      <c r="AJ86">
        <f t="shared" ca="1" si="33"/>
        <v>887.12343682215874</v>
      </c>
      <c r="AK86">
        <f t="shared" ca="1" si="33"/>
        <v>1395.6606777721711</v>
      </c>
      <c r="AL86">
        <f t="shared" ca="1" si="33"/>
        <v>1395.6606777721711</v>
      </c>
      <c r="AM86">
        <f t="shared" ca="1" si="33"/>
        <v>1395.6606777721711</v>
      </c>
      <c r="AN86">
        <f t="shared" ca="1" si="33"/>
        <v>1085.0477440885795</v>
      </c>
      <c r="AO86">
        <f t="shared" ca="1" si="33"/>
        <v>1031.7694142523269</v>
      </c>
      <c r="AP86">
        <f t="shared" ca="1" si="33"/>
        <v>1261.9653916081932</v>
      </c>
      <c r="AQ86">
        <f t="shared" ca="1" si="33"/>
        <v>1261.9653916081936</v>
      </c>
      <c r="AR86">
        <f t="shared" ca="1" si="32"/>
        <v>1031.7694142523274</v>
      </c>
      <c r="AS86">
        <f t="shared" ca="1" si="32"/>
        <v>1199.9999999999995</v>
      </c>
      <c r="AT86">
        <f t="shared" ca="1" si="32"/>
        <v>1141.0772510686097</v>
      </c>
      <c r="AU86">
        <f t="shared" ca="1" si="32"/>
        <v>843.56364387297208</v>
      </c>
      <c r="AV86">
        <f t="shared" ca="1" si="32"/>
        <v>1199.9999999999993</v>
      </c>
      <c r="AW86">
        <f t="shared" ca="1" si="32"/>
        <v>1395.6606777721711</v>
      </c>
      <c r="AX86">
        <f t="shared" ca="1" si="32"/>
        <v>1395.6606777721711</v>
      </c>
      <c r="AY86">
        <f t="shared" ca="1" si="32"/>
        <v>1199.9999999999993</v>
      </c>
      <c r="AZ86">
        <f t="shared" ca="1" si="32"/>
        <v>1395.6606777721711</v>
      </c>
      <c r="BA86">
        <f t="shared" ca="1" si="32"/>
        <v>1261.9653916081936</v>
      </c>
      <c r="BB86">
        <f t="shared" ca="1" si="32"/>
        <v>932.93256279506863</v>
      </c>
      <c r="BC86">
        <f t="shared" ca="1" si="32"/>
        <v>1141.0772510686097</v>
      </c>
      <c r="BD86">
        <f t="shared" ca="1" si="32"/>
        <v>1031.7694142523274</v>
      </c>
      <c r="BE86">
        <f t="shared" ca="1" si="32"/>
        <v>1085.0477440885795</v>
      </c>
      <c r="BF86">
        <f t="shared" ca="1" si="32"/>
        <v>981.10717245976286</v>
      </c>
      <c r="BG86">
        <f t="shared" ca="1" si="32"/>
        <v>1261.9653916081936</v>
      </c>
      <c r="BH86">
        <f t="shared" ca="1" si="36"/>
        <v>1327.1305413473517</v>
      </c>
      <c r="BI86">
        <f t="shared" ca="1" si="36"/>
        <v>1467.7295614807633</v>
      </c>
      <c r="BJ86">
        <f t="shared" ca="1" si="36"/>
        <v>1085.0477440885793</v>
      </c>
      <c r="BK86">
        <f t="shared" ca="1" si="36"/>
        <v>1085.0477440885791</v>
      </c>
      <c r="BL86">
        <f t="shared" ca="1" si="36"/>
        <v>1543.5199256908279</v>
      </c>
      <c r="BM86">
        <f t="shared" ca="1" si="36"/>
        <v>1395.6606777721711</v>
      </c>
      <c r="BN86">
        <f t="shared" ca="1" si="36"/>
        <v>1031.7694142523274</v>
      </c>
      <c r="BO86">
        <f t="shared" ca="1" si="36"/>
        <v>1467.7295614807629</v>
      </c>
      <c r="BP86">
        <f t="shared" ca="1" si="36"/>
        <v>1327.1305413473517</v>
      </c>
      <c r="BQ86">
        <f t="shared" ca="1" si="36"/>
        <v>981.10717245976264</v>
      </c>
      <c r="BR86">
        <f t="shared" ca="1" si="36"/>
        <v>1200</v>
      </c>
      <c r="BS86">
        <f t="shared" ca="1" si="36"/>
        <v>1467.7295614807629</v>
      </c>
      <c r="BT86">
        <f t="shared" ca="1" si="36"/>
        <v>1199.9999999999995</v>
      </c>
      <c r="BU86">
        <f t="shared" ca="1" si="36"/>
        <v>762.755690649592</v>
      </c>
      <c r="BV86">
        <f t="shared" ca="1" si="36"/>
        <v>1085.0477440885795</v>
      </c>
      <c r="BW86">
        <f t="shared" ca="1" si="34"/>
        <v>1261.9653916081934</v>
      </c>
      <c r="BX86">
        <f t="shared" ca="1" si="34"/>
        <v>1261.9653916081936</v>
      </c>
      <c r="BY86">
        <f t="shared" ca="1" si="34"/>
        <v>1261.9653916081936</v>
      </c>
      <c r="BZ86">
        <f t="shared" ca="1" si="34"/>
        <v>1261.9653916081936</v>
      </c>
      <c r="CA86">
        <f t="shared" ca="1" si="34"/>
        <v>1467.7295614807629</v>
      </c>
      <c r="CB86">
        <f t="shared" ca="1" si="34"/>
        <v>1031.7694142523269</v>
      </c>
      <c r="CC86">
        <f t="shared" ca="1" si="34"/>
        <v>1327.1305413473517</v>
      </c>
      <c r="CD86">
        <f t="shared" ca="1" si="34"/>
        <v>1085.0477440885791</v>
      </c>
      <c r="CE86">
        <f t="shared" ca="1" si="34"/>
        <v>1199.9999999999995</v>
      </c>
      <c r="CF86">
        <f t="shared" ca="1" si="34"/>
        <v>932.93256279506875</v>
      </c>
      <c r="CG86">
        <f t="shared" ca="1" si="34"/>
        <v>932.93256279506875</v>
      </c>
      <c r="CH86">
        <f t="shared" ca="1" si="34"/>
        <v>1467.7295614807629</v>
      </c>
      <c r="CI86">
        <f t="shared" ca="1" si="34"/>
        <v>1199.9999999999995</v>
      </c>
      <c r="CJ86">
        <f t="shared" ca="1" si="34"/>
        <v>1031.7694142523274</v>
      </c>
      <c r="CK86">
        <f t="shared" ca="1" si="34"/>
        <v>1395.6606777721715</v>
      </c>
      <c r="CL86">
        <f t="shared" ca="1" si="34"/>
        <v>1031.7694142523269</v>
      </c>
      <c r="CM86">
        <f t="shared" ca="1" si="38"/>
        <v>1261.9653916081936</v>
      </c>
      <c r="CN86">
        <f t="shared" ca="1" si="38"/>
        <v>1543.5199256908281</v>
      </c>
      <c r="CO86">
        <f t="shared" ca="1" si="38"/>
        <v>1623.2239395662305</v>
      </c>
      <c r="CP86">
        <f t="shared" ca="1" si="38"/>
        <v>1623.2239395662305</v>
      </c>
      <c r="CQ86">
        <f t="shared" ca="1" si="38"/>
        <v>1085.0477440885795</v>
      </c>
      <c r="CR86">
        <f t="shared" ca="1" si="38"/>
        <v>1543.5199256908281</v>
      </c>
      <c r="CS86">
        <f t="shared" ca="1" si="38"/>
        <v>981.10717245976252</v>
      </c>
      <c r="CT86">
        <f t="shared" ca="1" si="38"/>
        <v>1327.1305413473517</v>
      </c>
      <c r="CU86">
        <f t="shared" ca="1" si="38"/>
        <v>1199.9999999999995</v>
      </c>
      <c r="CV86">
        <f t="shared" ca="1" si="38"/>
        <v>1085.0477440885795</v>
      </c>
      <c r="CW86">
        <f t="shared" ca="1" si="38"/>
        <v>1031.7694142523269</v>
      </c>
      <c r="CX86">
        <f t="shared" ca="1" si="38"/>
        <v>1141.0772510686097</v>
      </c>
      <c r="CY86">
        <f t="shared" ca="1" si="38"/>
        <v>802.14273654332578</v>
      </c>
    </row>
    <row r="87" spans="1:103">
      <c r="A87">
        <v>71</v>
      </c>
      <c r="B87">
        <v>71</v>
      </c>
      <c r="C87">
        <v>71</v>
      </c>
      <c r="D87">
        <f t="shared" ca="1" si="37"/>
        <v>1006.1194624136668</v>
      </c>
      <c r="E87">
        <f t="shared" ca="1" si="37"/>
        <v>865.06940700201301</v>
      </c>
      <c r="F87">
        <f t="shared" ca="1" si="37"/>
        <v>1170.167809026693</v>
      </c>
      <c r="G87">
        <f t="shared" ca="1" si="37"/>
        <v>1582.870334101578</v>
      </c>
      <c r="H87">
        <f t="shared" ca="1" si="37"/>
        <v>1431.2415710013781</v>
      </c>
      <c r="I87">
        <f t="shared" ca="1" si="37"/>
        <v>1750.5629694824095</v>
      </c>
      <c r="J87">
        <f t="shared" ca="1" si="37"/>
        <v>1936.0213177931828</v>
      </c>
      <c r="K87">
        <f t="shared" ca="1" si="37"/>
        <v>1936.0213177931823</v>
      </c>
      <c r="L87">
        <f t="shared" ca="1" si="37"/>
        <v>1505.1477746955675</v>
      </c>
      <c r="M87">
        <f t="shared" ca="1" si="37"/>
        <v>1230.5927311380608</v>
      </c>
      <c r="N87">
        <f t="shared" ca="1" si="37"/>
        <v>1112.7098890109644</v>
      </c>
      <c r="O87">
        <f t="shared" ca="1" si="37"/>
        <v>1170.167809026693</v>
      </c>
      <c r="P87">
        <f t="shared" ca="1" si="37"/>
        <v>1112.7098890109642</v>
      </c>
      <c r="Q87">
        <f t="shared" ca="1" si="37"/>
        <v>1360.9643312111432</v>
      </c>
      <c r="R87">
        <f t="shared" ca="1" si="37"/>
        <v>1505.1477746955675</v>
      </c>
      <c r="S87">
        <f t="shared" ca="1" si="35"/>
        <v>1360.964331211143</v>
      </c>
      <c r="T87">
        <f t="shared" ca="1" si="35"/>
        <v>1058.0732844912407</v>
      </c>
      <c r="U87">
        <f t="shared" ca="1" si="35"/>
        <v>1431.2415710013786</v>
      </c>
      <c r="V87">
        <f t="shared" ca="1" si="35"/>
        <v>1505.1477746955675</v>
      </c>
      <c r="W87">
        <f t="shared" ca="1" si="35"/>
        <v>1505.1477746955675</v>
      </c>
      <c r="X87">
        <f t="shared" ca="1" si="35"/>
        <v>909.73971081296975</v>
      </c>
      <c r="Y87">
        <f t="shared" ca="1" si="35"/>
        <v>1431.2415710013781</v>
      </c>
      <c r="Z87">
        <f t="shared" ca="1" si="35"/>
        <v>1505.1477746955679</v>
      </c>
      <c r="AA87">
        <f t="shared" ca="1" si="35"/>
        <v>1431.2415710013781</v>
      </c>
      <c r="AB87">
        <f t="shared" ca="1" si="35"/>
        <v>1431.2415710013781</v>
      </c>
      <c r="AC87">
        <f t="shared" ca="1" si="35"/>
        <v>1431.2415710013781</v>
      </c>
      <c r="AD87">
        <f t="shared" ca="1" si="35"/>
        <v>1431.2415710013786</v>
      </c>
      <c r="AE87">
        <f t="shared" ca="1" si="35"/>
        <v>1112.7098890109639</v>
      </c>
      <c r="AF87">
        <f t="shared" ca="1" si="35"/>
        <v>1431.2415710013786</v>
      </c>
      <c r="AG87">
        <f t="shared" ca="1" si="35"/>
        <v>1582.8703341015785</v>
      </c>
      <c r="AH87">
        <f t="shared" ca="1" si="35"/>
        <v>909.73971081296975</v>
      </c>
      <c r="AI87">
        <f t="shared" ca="1" si="35"/>
        <v>956.71669201467887</v>
      </c>
      <c r="AJ87">
        <f t="shared" ca="1" si="33"/>
        <v>865.06940700201312</v>
      </c>
      <c r="AK87">
        <f t="shared" ca="1" si="33"/>
        <v>1360.9643312111427</v>
      </c>
      <c r="AL87">
        <f t="shared" ca="1" si="33"/>
        <v>1360.9643312111427</v>
      </c>
      <c r="AM87">
        <f t="shared" ca="1" si="33"/>
        <v>1360.9643312111427</v>
      </c>
      <c r="AN87">
        <f t="shared" ca="1" si="33"/>
        <v>1112.7098890109644</v>
      </c>
      <c r="AO87">
        <f t="shared" ca="1" si="33"/>
        <v>1058.0732844912407</v>
      </c>
      <c r="AP87">
        <f t="shared" ca="1" si="33"/>
        <v>1230.5927311380603</v>
      </c>
      <c r="AQ87">
        <f t="shared" ca="1" si="33"/>
        <v>1230.5927311380608</v>
      </c>
      <c r="AR87">
        <f t="shared" ca="1" si="33"/>
        <v>1006.1194624136672</v>
      </c>
      <c r="AS87">
        <f t="shared" ca="1" si="33"/>
        <v>1170.167809026693</v>
      </c>
      <c r="AT87">
        <f t="shared" ca="1" si="33"/>
        <v>1112.7098890109644</v>
      </c>
      <c r="AU87">
        <f t="shared" ca="1" si="33"/>
        <v>822.59251743784137</v>
      </c>
      <c r="AV87">
        <f t="shared" ca="1" si="33"/>
        <v>1170.1678090266928</v>
      </c>
      <c r="AW87">
        <f t="shared" ca="1" si="33"/>
        <v>1360.9643312111427</v>
      </c>
      <c r="AX87">
        <f t="shared" ca="1" si="33"/>
        <v>1431.2415710013781</v>
      </c>
      <c r="AY87">
        <f t="shared" ca="1" si="33"/>
        <v>1170.1678090266928</v>
      </c>
      <c r="AZ87">
        <f t="shared" ref="AZ87:BO102" ca="1" si="39">AZ86*(IF(RAND()&lt;$B$11,$B$9,$B$10))</f>
        <v>1431.2415710013781</v>
      </c>
      <c r="BA87">
        <f t="shared" ca="1" si="39"/>
        <v>1294.1378648840334</v>
      </c>
      <c r="BB87">
        <f t="shared" ca="1" si="39"/>
        <v>956.71669201467864</v>
      </c>
      <c r="BC87">
        <f t="shared" ca="1" si="39"/>
        <v>1112.7098890109644</v>
      </c>
      <c r="BD87">
        <f t="shared" ca="1" si="39"/>
        <v>1058.0732844912411</v>
      </c>
      <c r="BE87">
        <f t="shared" ca="1" si="39"/>
        <v>1112.7098890109644</v>
      </c>
      <c r="BF87">
        <f t="shared" ca="1" si="39"/>
        <v>1006.1194624136671</v>
      </c>
      <c r="BG87">
        <f t="shared" ca="1" si="39"/>
        <v>1294.1378648840334</v>
      </c>
      <c r="BH87">
        <f t="shared" ca="1" si="36"/>
        <v>1294.1378648840334</v>
      </c>
      <c r="BI87">
        <f t="shared" ca="1" si="36"/>
        <v>1505.1477746955679</v>
      </c>
      <c r="BJ87">
        <f t="shared" ca="1" si="36"/>
        <v>1112.7098890109642</v>
      </c>
      <c r="BK87">
        <f t="shared" ca="1" si="36"/>
        <v>1058.0732844912407</v>
      </c>
      <c r="BL87">
        <f t="shared" ca="1" si="36"/>
        <v>1505.1477746955673</v>
      </c>
      <c r="BM87">
        <f t="shared" ca="1" si="36"/>
        <v>1360.9643312111427</v>
      </c>
      <c r="BN87">
        <f t="shared" ca="1" si="36"/>
        <v>1006.1194624136672</v>
      </c>
      <c r="BO87">
        <f t="shared" ca="1" si="36"/>
        <v>1431.2415710013781</v>
      </c>
      <c r="BP87">
        <f t="shared" ca="1" si="36"/>
        <v>1294.1378648840334</v>
      </c>
      <c r="BQ87">
        <f t="shared" ca="1" si="36"/>
        <v>1006.1194624136668</v>
      </c>
      <c r="BR87">
        <f t="shared" ca="1" si="36"/>
        <v>1170.1678090266935</v>
      </c>
      <c r="BS87">
        <f t="shared" ca="1" si="36"/>
        <v>1431.2415710013781</v>
      </c>
      <c r="BT87">
        <f t="shared" ca="1" si="36"/>
        <v>1230.5927311380608</v>
      </c>
      <c r="BU87">
        <f t="shared" ca="1" si="36"/>
        <v>743.79346279172944</v>
      </c>
      <c r="BV87">
        <f t="shared" ca="1" si="36"/>
        <v>1058.0732844912411</v>
      </c>
      <c r="BW87">
        <f t="shared" ca="1" si="34"/>
        <v>1230.5927311380606</v>
      </c>
      <c r="BX87">
        <f t="shared" ca="1" si="34"/>
        <v>1230.5927311380608</v>
      </c>
      <c r="BY87">
        <f t="shared" ca="1" si="34"/>
        <v>1294.1378648840334</v>
      </c>
      <c r="BZ87">
        <f t="shared" ca="1" si="34"/>
        <v>1230.5927311380608</v>
      </c>
      <c r="CA87">
        <f t="shared" ca="1" si="34"/>
        <v>1431.2415710013781</v>
      </c>
      <c r="CB87">
        <f t="shared" ca="1" si="34"/>
        <v>1006.1194624136668</v>
      </c>
      <c r="CC87">
        <f t="shared" ca="1" si="34"/>
        <v>1360.9643312111427</v>
      </c>
      <c r="CD87">
        <f t="shared" ca="1" si="34"/>
        <v>1058.0732844912407</v>
      </c>
      <c r="CE87">
        <f t="shared" ca="1" si="34"/>
        <v>1230.5927311380608</v>
      </c>
      <c r="CF87">
        <f t="shared" ca="1" si="34"/>
        <v>956.71669201467876</v>
      </c>
      <c r="CG87">
        <f t="shared" ca="1" si="34"/>
        <v>956.71669201467876</v>
      </c>
      <c r="CH87">
        <f t="shared" ca="1" si="34"/>
        <v>1505.1477746955675</v>
      </c>
      <c r="CI87">
        <f t="shared" ca="1" si="34"/>
        <v>1170.167809026693</v>
      </c>
      <c r="CJ87">
        <f t="shared" ca="1" si="34"/>
        <v>1058.0732844912411</v>
      </c>
      <c r="CK87">
        <f t="shared" ca="1" si="34"/>
        <v>1360.9643312111432</v>
      </c>
      <c r="CL87">
        <f t="shared" ca="1" si="34"/>
        <v>1006.1194624136668</v>
      </c>
      <c r="CM87">
        <f t="shared" ca="1" si="38"/>
        <v>1294.1378648840334</v>
      </c>
      <c r="CN87">
        <f t="shared" ca="1" si="38"/>
        <v>1582.870334101578</v>
      </c>
      <c r="CO87">
        <f t="shared" ca="1" si="38"/>
        <v>1582.870334101578</v>
      </c>
      <c r="CP87">
        <f t="shared" ca="1" si="38"/>
        <v>1664.6063175329091</v>
      </c>
      <c r="CQ87">
        <f t="shared" ca="1" si="38"/>
        <v>1058.0732844912411</v>
      </c>
      <c r="CR87">
        <f t="shared" ca="1" si="38"/>
        <v>1582.870334101578</v>
      </c>
      <c r="CS87">
        <f t="shared" ca="1" si="38"/>
        <v>1006.1194624136667</v>
      </c>
      <c r="CT87">
        <f t="shared" ca="1" si="38"/>
        <v>1360.9643312111427</v>
      </c>
      <c r="CU87">
        <f t="shared" ca="1" si="38"/>
        <v>1170.167809026693</v>
      </c>
      <c r="CV87">
        <f t="shared" ca="1" si="38"/>
        <v>1058.0732844912411</v>
      </c>
      <c r="CW87">
        <f t="shared" ca="1" si="38"/>
        <v>1006.1194624136668</v>
      </c>
      <c r="CX87">
        <f t="shared" ca="1" si="38"/>
        <v>1112.7098890109644</v>
      </c>
      <c r="CY87">
        <f t="shared" ca="1" si="38"/>
        <v>822.59251743784137</v>
      </c>
    </row>
    <row r="88" spans="1:103">
      <c r="A88">
        <v>72</v>
      </c>
      <c r="B88">
        <v>72</v>
      </c>
      <c r="C88">
        <v>72</v>
      </c>
      <c r="D88">
        <f t="shared" ca="1" si="37"/>
        <v>981.10717245976264</v>
      </c>
      <c r="E88">
        <f t="shared" ca="1" si="37"/>
        <v>887.12343682215862</v>
      </c>
      <c r="F88">
        <f t="shared" ca="1" si="37"/>
        <v>1141.0772510686097</v>
      </c>
      <c r="G88">
        <f t="shared" ca="1" si="37"/>
        <v>1623.2239395662305</v>
      </c>
      <c r="H88">
        <f t="shared" ca="1" si="37"/>
        <v>1467.7295614807629</v>
      </c>
      <c r="I88">
        <f t="shared" ca="1" si="37"/>
        <v>1707.0436954687445</v>
      </c>
      <c r="J88">
        <f t="shared" ca="1" si="37"/>
        <v>1985.3781341705178</v>
      </c>
      <c r="K88">
        <f t="shared" ca="1" si="37"/>
        <v>1887.8915197258498</v>
      </c>
      <c r="L88">
        <f t="shared" ca="1" si="37"/>
        <v>1543.5199256908281</v>
      </c>
      <c r="M88">
        <f t="shared" ca="1" si="37"/>
        <v>1199.9999999999995</v>
      </c>
      <c r="N88">
        <f t="shared" ca="1" si="37"/>
        <v>1141.0772510686097</v>
      </c>
      <c r="O88">
        <f t="shared" ca="1" si="37"/>
        <v>1141.0772510686097</v>
      </c>
      <c r="P88">
        <f t="shared" ca="1" si="37"/>
        <v>1141.0772510686095</v>
      </c>
      <c r="Q88">
        <f t="shared" ca="1" si="37"/>
        <v>1395.6606777721715</v>
      </c>
      <c r="R88">
        <f t="shared" ca="1" si="37"/>
        <v>1467.7295614807629</v>
      </c>
      <c r="S88">
        <f t="shared" ca="1" si="35"/>
        <v>1395.6606777721713</v>
      </c>
      <c r="T88">
        <f t="shared" ca="1" si="35"/>
        <v>1031.7694142523269</v>
      </c>
      <c r="U88">
        <f t="shared" ca="1" si="35"/>
        <v>1395.6606777721715</v>
      </c>
      <c r="V88">
        <f t="shared" ca="1" si="35"/>
        <v>1467.7295614807629</v>
      </c>
      <c r="W88">
        <f t="shared" ca="1" si="35"/>
        <v>1543.5199256908281</v>
      </c>
      <c r="X88">
        <f t="shared" ca="1" si="35"/>
        <v>932.93256279506875</v>
      </c>
      <c r="Y88">
        <f t="shared" ca="1" si="35"/>
        <v>1467.7295614807629</v>
      </c>
      <c r="Z88">
        <f t="shared" ca="1" si="35"/>
        <v>1467.7295614807631</v>
      </c>
      <c r="AA88">
        <f t="shared" ca="1" si="35"/>
        <v>1395.6606777721711</v>
      </c>
      <c r="AB88">
        <f t="shared" ca="1" si="35"/>
        <v>1395.6606777721711</v>
      </c>
      <c r="AC88">
        <f t="shared" ca="1" si="35"/>
        <v>1467.7295614807629</v>
      </c>
      <c r="AD88">
        <f t="shared" ca="1" si="35"/>
        <v>1467.7295614807633</v>
      </c>
      <c r="AE88">
        <f t="shared" ca="1" si="35"/>
        <v>1085.0477440885791</v>
      </c>
      <c r="AF88">
        <f t="shared" ca="1" si="35"/>
        <v>1395.6606777721715</v>
      </c>
      <c r="AG88">
        <f t="shared" ca="1" si="35"/>
        <v>1543.5199256908286</v>
      </c>
      <c r="AH88">
        <f t="shared" ca="1" si="35"/>
        <v>887.12343682215874</v>
      </c>
      <c r="AI88">
        <f t="shared" ca="1" si="35"/>
        <v>932.93256279506875</v>
      </c>
      <c r="AJ88">
        <f t="shared" ca="1" si="33"/>
        <v>887.12343682215874</v>
      </c>
      <c r="AK88">
        <f t="shared" ca="1" si="33"/>
        <v>1327.1305413473517</v>
      </c>
      <c r="AL88">
        <f t="shared" ca="1" si="33"/>
        <v>1327.1305413473517</v>
      </c>
      <c r="AM88">
        <f t="shared" ca="1" si="33"/>
        <v>1327.1305413473517</v>
      </c>
      <c r="AN88">
        <f t="shared" ca="1" si="33"/>
        <v>1085.0477440885795</v>
      </c>
      <c r="AO88">
        <f t="shared" ca="1" si="33"/>
        <v>1085.0477440885791</v>
      </c>
      <c r="AP88">
        <f t="shared" ca="1" si="33"/>
        <v>1199.9999999999991</v>
      </c>
      <c r="AQ88">
        <f t="shared" ca="1" si="33"/>
        <v>1261.9653916081936</v>
      </c>
      <c r="AR88">
        <f t="shared" ca="1" si="33"/>
        <v>981.10717245976286</v>
      </c>
      <c r="AS88">
        <f t="shared" ca="1" si="33"/>
        <v>1199.9999999999995</v>
      </c>
      <c r="AT88">
        <f t="shared" ca="1" si="33"/>
        <v>1141.0772510686097</v>
      </c>
      <c r="AU88">
        <f t="shared" ca="1" si="33"/>
        <v>843.56364387297208</v>
      </c>
      <c r="AV88">
        <f t="shared" ca="1" si="33"/>
        <v>1141.0772510686095</v>
      </c>
      <c r="AW88">
        <f t="shared" ca="1" si="33"/>
        <v>1395.6606777721711</v>
      </c>
      <c r="AX88">
        <f t="shared" ca="1" si="33"/>
        <v>1467.7295614807629</v>
      </c>
      <c r="AY88">
        <f t="shared" ca="1" si="33"/>
        <v>1141.0772510686095</v>
      </c>
      <c r="AZ88">
        <f t="shared" ca="1" si="39"/>
        <v>1467.7295614807629</v>
      </c>
      <c r="BA88">
        <f t="shared" ca="1" si="39"/>
        <v>1327.1305413473517</v>
      </c>
      <c r="BB88">
        <f t="shared" ca="1" si="39"/>
        <v>932.93256279506863</v>
      </c>
      <c r="BC88">
        <f t="shared" ca="1" si="39"/>
        <v>1085.0477440885795</v>
      </c>
      <c r="BD88">
        <f t="shared" ca="1" si="39"/>
        <v>1085.0477440885795</v>
      </c>
      <c r="BE88">
        <f t="shared" ca="1" si="39"/>
        <v>1141.0772510686097</v>
      </c>
      <c r="BF88">
        <f t="shared" ca="1" si="39"/>
        <v>981.10717245976275</v>
      </c>
      <c r="BG88">
        <f t="shared" ca="1" si="39"/>
        <v>1261.9653916081936</v>
      </c>
      <c r="BH88">
        <f t="shared" ca="1" si="36"/>
        <v>1261.9653916081936</v>
      </c>
      <c r="BI88">
        <f t="shared" ca="1" si="36"/>
        <v>1543.5199256908286</v>
      </c>
      <c r="BJ88">
        <f t="shared" ca="1" si="36"/>
        <v>1141.0772510686095</v>
      </c>
      <c r="BK88">
        <f t="shared" ca="1" si="36"/>
        <v>1085.0477440885791</v>
      </c>
      <c r="BL88">
        <f t="shared" ca="1" si="36"/>
        <v>1543.5199256908279</v>
      </c>
      <c r="BM88">
        <f t="shared" ca="1" si="36"/>
        <v>1395.6606777721711</v>
      </c>
      <c r="BN88">
        <f t="shared" ca="1" si="36"/>
        <v>981.10717245976286</v>
      </c>
      <c r="BO88">
        <f t="shared" ca="1" si="36"/>
        <v>1467.7295614807629</v>
      </c>
      <c r="BP88">
        <f t="shared" ca="1" si="36"/>
        <v>1327.1305413473517</v>
      </c>
      <c r="BQ88">
        <f t="shared" ca="1" si="36"/>
        <v>981.10717245976264</v>
      </c>
      <c r="BR88">
        <f t="shared" ca="1" si="36"/>
        <v>1141.0772510686099</v>
      </c>
      <c r="BS88">
        <f t="shared" ca="1" si="36"/>
        <v>1395.6606777721711</v>
      </c>
      <c r="BT88">
        <f t="shared" ca="1" si="36"/>
        <v>1261.9653916081936</v>
      </c>
      <c r="BU88">
        <f t="shared" ca="1" si="36"/>
        <v>762.755690649592</v>
      </c>
      <c r="BV88">
        <f t="shared" ca="1" si="36"/>
        <v>1031.7694142523274</v>
      </c>
      <c r="BW88">
        <f t="shared" ca="1" si="34"/>
        <v>1199.9999999999993</v>
      </c>
      <c r="BX88">
        <f t="shared" ca="1" si="34"/>
        <v>1261.9653916081936</v>
      </c>
      <c r="BY88">
        <f t="shared" ca="1" si="34"/>
        <v>1261.9653916081936</v>
      </c>
      <c r="BZ88">
        <f t="shared" ca="1" si="34"/>
        <v>1261.9653916081936</v>
      </c>
      <c r="CA88">
        <f t="shared" ca="1" si="34"/>
        <v>1395.6606777721711</v>
      </c>
      <c r="CB88">
        <f t="shared" ca="1" si="34"/>
        <v>1031.7694142523269</v>
      </c>
      <c r="CC88">
        <f t="shared" ca="1" si="34"/>
        <v>1395.6606777721711</v>
      </c>
      <c r="CD88">
        <f t="shared" ca="1" si="34"/>
        <v>1085.0477440885791</v>
      </c>
      <c r="CE88">
        <f t="shared" ca="1" si="34"/>
        <v>1261.9653916081936</v>
      </c>
      <c r="CF88">
        <f t="shared" ca="1" si="34"/>
        <v>981.10717245976252</v>
      </c>
      <c r="CG88">
        <f t="shared" ca="1" si="34"/>
        <v>932.93256279506875</v>
      </c>
      <c r="CH88">
        <f t="shared" ca="1" si="34"/>
        <v>1543.5199256908281</v>
      </c>
      <c r="CI88">
        <f t="shared" ca="1" si="34"/>
        <v>1199.9999999999995</v>
      </c>
      <c r="CJ88">
        <f t="shared" ca="1" si="34"/>
        <v>1031.7694142523274</v>
      </c>
      <c r="CK88">
        <f t="shared" ca="1" si="34"/>
        <v>1395.6606777721715</v>
      </c>
      <c r="CL88">
        <f t="shared" ca="1" si="34"/>
        <v>1031.7694142523269</v>
      </c>
      <c r="CM88">
        <f t="shared" ca="1" si="38"/>
        <v>1327.1305413473517</v>
      </c>
      <c r="CN88">
        <f t="shared" ca="1" si="38"/>
        <v>1623.2239395662305</v>
      </c>
      <c r="CO88">
        <f t="shared" ca="1" si="38"/>
        <v>1623.2239395662305</v>
      </c>
      <c r="CP88">
        <f t="shared" ca="1" si="38"/>
        <v>1707.0436954687445</v>
      </c>
      <c r="CQ88">
        <f t="shared" ca="1" si="38"/>
        <v>1085.0477440885795</v>
      </c>
      <c r="CR88">
        <f t="shared" ca="1" si="38"/>
        <v>1623.2239395662305</v>
      </c>
      <c r="CS88">
        <f t="shared" ca="1" si="38"/>
        <v>1031.7694142523269</v>
      </c>
      <c r="CT88">
        <f t="shared" ca="1" si="38"/>
        <v>1395.6606777721711</v>
      </c>
      <c r="CU88">
        <f t="shared" ca="1" si="38"/>
        <v>1141.0772510686097</v>
      </c>
      <c r="CV88">
        <f t="shared" ca="1" si="38"/>
        <v>1085.0477440885795</v>
      </c>
      <c r="CW88">
        <f t="shared" ca="1" si="38"/>
        <v>1031.7694142523269</v>
      </c>
      <c r="CX88">
        <f t="shared" ca="1" si="38"/>
        <v>1141.0772510686097</v>
      </c>
      <c r="CY88">
        <f t="shared" ca="1" si="38"/>
        <v>843.56364387297208</v>
      </c>
    </row>
    <row r="89" spans="1:103">
      <c r="A89">
        <v>73</v>
      </c>
      <c r="B89">
        <v>73</v>
      </c>
      <c r="C89">
        <v>73</v>
      </c>
      <c r="D89">
        <f t="shared" ca="1" si="37"/>
        <v>956.71669201467887</v>
      </c>
      <c r="E89">
        <f t="shared" ca="1" si="37"/>
        <v>909.73971081296963</v>
      </c>
      <c r="F89">
        <f t="shared" ca="1" si="37"/>
        <v>1170.167809026693</v>
      </c>
      <c r="G89">
        <f t="shared" ca="1" si="37"/>
        <v>1664.6063175329091</v>
      </c>
      <c r="H89">
        <f t="shared" ca="1" si="37"/>
        <v>1505.1477746955675</v>
      </c>
      <c r="I89">
        <f t="shared" ca="1" si="37"/>
        <v>1664.6063175329091</v>
      </c>
      <c r="J89">
        <f t="shared" ca="1" si="37"/>
        <v>2035.9932503922382</v>
      </c>
      <c r="K89">
        <f t="shared" ca="1" si="37"/>
        <v>1840.9582360980601</v>
      </c>
      <c r="L89">
        <f t="shared" ca="1" si="37"/>
        <v>1582.870334101578</v>
      </c>
      <c r="M89">
        <f t="shared" ca="1" si="37"/>
        <v>1230.5927311380608</v>
      </c>
      <c r="N89">
        <f t="shared" ca="1" si="37"/>
        <v>1112.7098890109644</v>
      </c>
      <c r="O89">
        <f t="shared" ca="1" si="37"/>
        <v>1170.167809026693</v>
      </c>
      <c r="P89">
        <f t="shared" ca="1" si="37"/>
        <v>1170.1678090266928</v>
      </c>
      <c r="Q89">
        <f t="shared" ca="1" si="37"/>
        <v>1431.2415710013786</v>
      </c>
      <c r="R89">
        <f t="shared" ca="1" si="37"/>
        <v>1505.1477746955675</v>
      </c>
      <c r="S89">
        <f t="shared" ca="1" si="35"/>
        <v>1360.964331211143</v>
      </c>
      <c r="T89">
        <f t="shared" ca="1" si="35"/>
        <v>1058.0732844912407</v>
      </c>
      <c r="U89">
        <f t="shared" ca="1" si="35"/>
        <v>1431.2415710013786</v>
      </c>
      <c r="V89">
        <f t="shared" ca="1" si="35"/>
        <v>1505.1477746955675</v>
      </c>
      <c r="W89">
        <f t="shared" ca="1" si="35"/>
        <v>1505.1477746955675</v>
      </c>
      <c r="X89">
        <f t="shared" ca="1" si="35"/>
        <v>956.71669201467876</v>
      </c>
      <c r="Y89">
        <f t="shared" ca="1" si="35"/>
        <v>1431.2415710013781</v>
      </c>
      <c r="Z89">
        <f t="shared" ca="1" si="35"/>
        <v>1505.1477746955677</v>
      </c>
      <c r="AA89">
        <f t="shared" ca="1" si="35"/>
        <v>1360.9643312111427</v>
      </c>
      <c r="AB89">
        <f t="shared" ca="1" si="35"/>
        <v>1431.2415710013781</v>
      </c>
      <c r="AC89">
        <f t="shared" ca="1" si="35"/>
        <v>1505.1477746955675</v>
      </c>
      <c r="AD89">
        <f t="shared" ca="1" si="35"/>
        <v>1505.1477746955679</v>
      </c>
      <c r="AE89">
        <f t="shared" ca="1" si="35"/>
        <v>1112.7098890109639</v>
      </c>
      <c r="AF89">
        <f t="shared" ca="1" si="35"/>
        <v>1431.2415710013786</v>
      </c>
      <c r="AG89">
        <f t="shared" ca="1" si="35"/>
        <v>1582.8703341015785</v>
      </c>
      <c r="AH89">
        <f t="shared" ca="1" si="35"/>
        <v>909.73971081296975</v>
      </c>
      <c r="AI89">
        <f t="shared" ca="1" si="35"/>
        <v>909.73971081296975</v>
      </c>
      <c r="AJ89">
        <f t="shared" ca="1" si="33"/>
        <v>865.06940700201312</v>
      </c>
      <c r="AK89">
        <f t="shared" ca="1" si="33"/>
        <v>1294.1378648840334</v>
      </c>
      <c r="AL89">
        <f t="shared" ca="1" si="33"/>
        <v>1294.1378648840334</v>
      </c>
      <c r="AM89">
        <f t="shared" ca="1" si="33"/>
        <v>1294.1378648840334</v>
      </c>
      <c r="AN89">
        <f t="shared" ca="1" si="33"/>
        <v>1112.7098890109644</v>
      </c>
      <c r="AO89">
        <f t="shared" ca="1" si="33"/>
        <v>1112.7098890109639</v>
      </c>
      <c r="AP89">
        <f t="shared" ca="1" si="33"/>
        <v>1230.5927311380603</v>
      </c>
      <c r="AQ89">
        <f t="shared" ca="1" si="33"/>
        <v>1230.5927311380608</v>
      </c>
      <c r="AR89">
        <f t="shared" ca="1" si="33"/>
        <v>956.7166920146791</v>
      </c>
      <c r="AS89">
        <f t="shared" ca="1" si="33"/>
        <v>1170.167809026693</v>
      </c>
      <c r="AT89">
        <f t="shared" ca="1" si="33"/>
        <v>1170.167809026693</v>
      </c>
      <c r="AU89">
        <f t="shared" ca="1" si="33"/>
        <v>865.06940700201301</v>
      </c>
      <c r="AV89">
        <f t="shared" ca="1" si="33"/>
        <v>1112.7098890109642</v>
      </c>
      <c r="AW89">
        <f t="shared" ca="1" si="33"/>
        <v>1360.9643312111427</v>
      </c>
      <c r="AX89">
        <f t="shared" ca="1" si="33"/>
        <v>1505.1477746955675</v>
      </c>
      <c r="AY89">
        <f t="shared" ca="1" si="33"/>
        <v>1170.1678090266928</v>
      </c>
      <c r="AZ89">
        <f t="shared" ca="1" si="39"/>
        <v>1505.1477746955675</v>
      </c>
      <c r="BA89">
        <f t="shared" ca="1" si="39"/>
        <v>1294.1378648840334</v>
      </c>
      <c r="BB89">
        <f t="shared" ca="1" si="39"/>
        <v>956.71669201467864</v>
      </c>
      <c r="BC89">
        <f t="shared" ca="1" si="39"/>
        <v>1112.7098890109644</v>
      </c>
      <c r="BD89">
        <f t="shared" ca="1" si="39"/>
        <v>1058.0732844912411</v>
      </c>
      <c r="BE89">
        <f t="shared" ca="1" si="39"/>
        <v>1170.167809026693</v>
      </c>
      <c r="BF89">
        <f t="shared" ca="1" si="39"/>
        <v>1006.119462413667</v>
      </c>
      <c r="BG89">
        <f t="shared" ca="1" si="39"/>
        <v>1294.1378648840334</v>
      </c>
      <c r="BH89">
        <f t="shared" ca="1" si="36"/>
        <v>1294.1378648840334</v>
      </c>
      <c r="BI89">
        <f t="shared" ca="1" si="36"/>
        <v>1582.8703341015785</v>
      </c>
      <c r="BJ89">
        <f t="shared" ca="1" si="36"/>
        <v>1112.7098890109642</v>
      </c>
      <c r="BK89">
        <f t="shared" ca="1" si="36"/>
        <v>1058.0732844912407</v>
      </c>
      <c r="BL89">
        <f t="shared" ca="1" si="36"/>
        <v>1505.1477746955673</v>
      </c>
      <c r="BM89">
        <f t="shared" ca="1" si="36"/>
        <v>1431.2415710013781</v>
      </c>
      <c r="BN89">
        <f t="shared" ca="1" si="36"/>
        <v>1006.1194624136671</v>
      </c>
      <c r="BO89">
        <f t="shared" ca="1" si="36"/>
        <v>1505.1477746955675</v>
      </c>
      <c r="BP89">
        <f t="shared" ca="1" si="36"/>
        <v>1360.9643312111427</v>
      </c>
      <c r="BQ89">
        <f t="shared" ca="1" si="36"/>
        <v>1006.1194624136668</v>
      </c>
      <c r="BR89">
        <f t="shared" ca="1" si="36"/>
        <v>1112.7098890109644</v>
      </c>
      <c r="BS89">
        <f t="shared" ca="1" si="36"/>
        <v>1360.9643312111427</v>
      </c>
      <c r="BT89">
        <f t="shared" ca="1" si="36"/>
        <v>1294.1378648840334</v>
      </c>
      <c r="BU89">
        <f t="shared" ca="1" si="36"/>
        <v>782.20134045631642</v>
      </c>
      <c r="BV89">
        <f t="shared" ca="1" si="36"/>
        <v>1058.0732844912411</v>
      </c>
      <c r="BW89">
        <f t="shared" ca="1" si="34"/>
        <v>1230.5927311380606</v>
      </c>
      <c r="BX89">
        <f t="shared" ca="1" si="34"/>
        <v>1230.5927311380608</v>
      </c>
      <c r="BY89">
        <f t="shared" ca="1" si="34"/>
        <v>1294.1378648840334</v>
      </c>
      <c r="BZ89">
        <f t="shared" ca="1" si="34"/>
        <v>1230.5927311380608</v>
      </c>
      <c r="CA89">
        <f t="shared" ca="1" si="34"/>
        <v>1360.9643312111427</v>
      </c>
      <c r="CB89">
        <f t="shared" ca="1" si="34"/>
        <v>1058.0732844912407</v>
      </c>
      <c r="CC89">
        <f t="shared" ca="1" si="34"/>
        <v>1431.2415710013781</v>
      </c>
      <c r="CD89">
        <f t="shared" ca="1" si="34"/>
        <v>1058.0732844912407</v>
      </c>
      <c r="CE89">
        <f t="shared" ca="1" si="34"/>
        <v>1230.5927311380608</v>
      </c>
      <c r="CF89">
        <f t="shared" ca="1" si="34"/>
        <v>1006.1194624136667</v>
      </c>
      <c r="CG89">
        <f t="shared" ca="1" si="34"/>
        <v>909.73971081296975</v>
      </c>
      <c r="CH89">
        <f t="shared" ca="1" si="34"/>
        <v>1505.1477746955675</v>
      </c>
      <c r="CI89">
        <f t="shared" ca="1" si="34"/>
        <v>1170.167809026693</v>
      </c>
      <c r="CJ89">
        <f t="shared" ca="1" si="34"/>
        <v>1006.1194624136672</v>
      </c>
      <c r="CK89">
        <f t="shared" ca="1" si="34"/>
        <v>1431.2415710013786</v>
      </c>
      <c r="CL89">
        <f t="shared" ca="1" si="34"/>
        <v>1006.1194624136668</v>
      </c>
      <c r="CM89">
        <f t="shared" ca="1" si="38"/>
        <v>1360.9643312111427</v>
      </c>
      <c r="CN89">
        <f t="shared" ca="1" si="38"/>
        <v>1582.870334101578</v>
      </c>
      <c r="CO89">
        <f t="shared" ca="1" si="38"/>
        <v>1582.870334101578</v>
      </c>
      <c r="CP89">
        <f t="shared" ca="1" si="38"/>
        <v>1750.5629694824095</v>
      </c>
      <c r="CQ89">
        <f t="shared" ca="1" si="38"/>
        <v>1058.0732844912411</v>
      </c>
      <c r="CR89">
        <f t="shared" ca="1" si="38"/>
        <v>1664.6063175329091</v>
      </c>
      <c r="CS89">
        <f t="shared" ca="1" si="38"/>
        <v>1006.1194624136668</v>
      </c>
      <c r="CT89">
        <f t="shared" ca="1" si="38"/>
        <v>1431.2415710013781</v>
      </c>
      <c r="CU89">
        <f t="shared" ca="1" si="38"/>
        <v>1170.167809026693</v>
      </c>
      <c r="CV89">
        <f t="shared" ca="1" si="38"/>
        <v>1058.0732844912411</v>
      </c>
      <c r="CW89">
        <f t="shared" ca="1" si="38"/>
        <v>1006.1194624136668</v>
      </c>
      <c r="CX89">
        <f t="shared" ca="1" si="38"/>
        <v>1170.167809026693</v>
      </c>
      <c r="CY89">
        <f t="shared" ca="1" si="38"/>
        <v>822.59251743784137</v>
      </c>
    </row>
    <row r="90" spans="1:103">
      <c r="A90">
        <v>74</v>
      </c>
      <c r="B90">
        <v>74</v>
      </c>
      <c r="C90">
        <v>74</v>
      </c>
      <c r="D90">
        <f t="shared" ca="1" si="37"/>
        <v>981.10717245976264</v>
      </c>
      <c r="E90">
        <f t="shared" ca="1" si="37"/>
        <v>887.12343682215862</v>
      </c>
      <c r="F90">
        <f t="shared" ca="1" si="37"/>
        <v>1141.0772510686097</v>
      </c>
      <c r="G90">
        <f t="shared" ca="1" si="37"/>
        <v>1623.2239395662305</v>
      </c>
      <c r="H90">
        <f t="shared" ca="1" si="37"/>
        <v>1467.7295614807629</v>
      </c>
      <c r="I90">
        <f t="shared" ca="1" si="37"/>
        <v>1707.0436954687445</v>
      </c>
      <c r="J90">
        <f t="shared" ca="1" si="37"/>
        <v>1985.3781341705178</v>
      </c>
      <c r="K90">
        <f t="shared" ca="1" si="37"/>
        <v>1887.8915197258498</v>
      </c>
      <c r="L90">
        <f t="shared" ca="1" si="37"/>
        <v>1623.2239395662305</v>
      </c>
      <c r="M90">
        <f t="shared" ca="1" si="37"/>
        <v>1261.9653916081936</v>
      </c>
      <c r="N90">
        <f t="shared" ca="1" si="37"/>
        <v>1141.0772510686097</v>
      </c>
      <c r="O90">
        <f t="shared" ca="1" si="37"/>
        <v>1199.9999999999995</v>
      </c>
      <c r="P90">
        <f t="shared" ca="1" si="37"/>
        <v>1199.9999999999993</v>
      </c>
      <c r="Q90">
        <f t="shared" ca="1" si="37"/>
        <v>1467.7295614807633</v>
      </c>
      <c r="R90">
        <f t="shared" ca="1" si="37"/>
        <v>1543.5199256908281</v>
      </c>
      <c r="S90">
        <f t="shared" ca="1" si="35"/>
        <v>1395.6606777721713</v>
      </c>
      <c r="T90">
        <f t="shared" ca="1" si="35"/>
        <v>1031.7694142523269</v>
      </c>
      <c r="U90">
        <f t="shared" ca="1" si="35"/>
        <v>1395.6606777721715</v>
      </c>
      <c r="V90">
        <f t="shared" ca="1" si="35"/>
        <v>1467.7295614807629</v>
      </c>
      <c r="W90">
        <f t="shared" ca="1" si="35"/>
        <v>1543.5199256908281</v>
      </c>
      <c r="X90">
        <f t="shared" ca="1" si="35"/>
        <v>932.93256279506875</v>
      </c>
      <c r="Y90">
        <f t="shared" ca="1" si="35"/>
        <v>1467.7295614807629</v>
      </c>
      <c r="Z90">
        <f t="shared" ca="1" si="35"/>
        <v>1467.7295614807629</v>
      </c>
      <c r="AA90">
        <f t="shared" ca="1" si="35"/>
        <v>1327.1305413473517</v>
      </c>
      <c r="AB90">
        <f t="shared" ca="1" si="35"/>
        <v>1467.7295614807629</v>
      </c>
      <c r="AC90">
        <f t="shared" ca="1" si="35"/>
        <v>1467.7295614807629</v>
      </c>
      <c r="AD90">
        <f t="shared" ca="1" si="35"/>
        <v>1467.7295614807631</v>
      </c>
      <c r="AE90">
        <f t="shared" ca="1" si="35"/>
        <v>1141.0772510686093</v>
      </c>
      <c r="AF90">
        <f t="shared" ca="1" si="35"/>
        <v>1395.6606777721715</v>
      </c>
      <c r="AG90">
        <f t="shared" ca="1" si="35"/>
        <v>1543.5199256908286</v>
      </c>
      <c r="AH90">
        <f t="shared" ca="1" si="35"/>
        <v>887.12343682215874</v>
      </c>
      <c r="AI90">
        <f t="shared" ca="1" si="35"/>
        <v>887.12343682215874</v>
      </c>
      <c r="AJ90">
        <f t="shared" ref="AJ90:AY105" ca="1" si="40">AJ89*(IF(RAND()&lt;$B$11,$B$9,$B$10))</f>
        <v>887.12343682215874</v>
      </c>
      <c r="AK90">
        <f t="shared" ca="1" si="40"/>
        <v>1327.1305413473517</v>
      </c>
      <c r="AL90">
        <f t="shared" ca="1" si="40"/>
        <v>1327.1305413473517</v>
      </c>
      <c r="AM90">
        <f t="shared" ca="1" si="40"/>
        <v>1327.1305413473517</v>
      </c>
      <c r="AN90">
        <f t="shared" ca="1" si="40"/>
        <v>1085.0477440885795</v>
      </c>
      <c r="AO90">
        <f t="shared" ca="1" si="40"/>
        <v>1141.0772510686093</v>
      </c>
      <c r="AP90">
        <f t="shared" ca="1" si="40"/>
        <v>1199.9999999999991</v>
      </c>
      <c r="AQ90">
        <f t="shared" ca="1" si="40"/>
        <v>1261.9653916081936</v>
      </c>
      <c r="AR90">
        <f t="shared" ca="1" si="40"/>
        <v>932.93256279506897</v>
      </c>
      <c r="AS90">
        <f t="shared" ca="1" si="40"/>
        <v>1199.9999999999995</v>
      </c>
      <c r="AT90">
        <f t="shared" ca="1" si="40"/>
        <v>1141.0772510686097</v>
      </c>
      <c r="AU90">
        <f t="shared" ca="1" si="40"/>
        <v>843.56364387297208</v>
      </c>
      <c r="AV90">
        <f t="shared" ca="1" si="40"/>
        <v>1085.0477440885793</v>
      </c>
      <c r="AW90">
        <f t="shared" ca="1" si="40"/>
        <v>1327.1305413473517</v>
      </c>
      <c r="AX90">
        <f t="shared" ca="1" si="40"/>
        <v>1543.5199256908281</v>
      </c>
      <c r="AY90">
        <f t="shared" ca="1" si="40"/>
        <v>1199.9999999999993</v>
      </c>
      <c r="AZ90">
        <f t="shared" ca="1" si="39"/>
        <v>1543.5199256908281</v>
      </c>
      <c r="BA90">
        <f t="shared" ca="1" si="39"/>
        <v>1327.1305413473517</v>
      </c>
      <c r="BB90">
        <f t="shared" ca="1" si="39"/>
        <v>932.93256279506863</v>
      </c>
      <c r="BC90">
        <f t="shared" ca="1" si="39"/>
        <v>1141.0772510686097</v>
      </c>
      <c r="BD90">
        <f t="shared" ca="1" si="39"/>
        <v>1085.0477440885795</v>
      </c>
      <c r="BE90">
        <f t="shared" ca="1" si="39"/>
        <v>1199.9999999999995</v>
      </c>
      <c r="BF90">
        <f t="shared" ca="1" si="39"/>
        <v>1031.7694142523271</v>
      </c>
      <c r="BG90">
        <f t="shared" ca="1" si="39"/>
        <v>1261.9653916081936</v>
      </c>
      <c r="BH90">
        <f t="shared" ca="1" si="36"/>
        <v>1327.1305413473517</v>
      </c>
      <c r="BI90">
        <f t="shared" ca="1" si="36"/>
        <v>1623.2239395662309</v>
      </c>
      <c r="BJ90">
        <f t="shared" ca="1" si="36"/>
        <v>1141.0772510686095</v>
      </c>
      <c r="BK90">
        <f t="shared" ca="1" si="36"/>
        <v>1085.0477440885791</v>
      </c>
      <c r="BL90">
        <f t="shared" ca="1" si="36"/>
        <v>1543.5199256908279</v>
      </c>
      <c r="BM90">
        <f t="shared" ca="1" si="36"/>
        <v>1467.7295614807629</v>
      </c>
      <c r="BN90">
        <f t="shared" ca="1" si="36"/>
        <v>1031.7694142523271</v>
      </c>
      <c r="BO90">
        <f t="shared" ca="1" si="36"/>
        <v>1467.7295614807629</v>
      </c>
      <c r="BP90">
        <f t="shared" ca="1" si="36"/>
        <v>1327.1305413473517</v>
      </c>
      <c r="BQ90">
        <f t="shared" ca="1" si="36"/>
        <v>1031.7694142523269</v>
      </c>
      <c r="BR90">
        <f t="shared" ca="1" si="36"/>
        <v>1141.0772510686097</v>
      </c>
      <c r="BS90">
        <f t="shared" ca="1" si="36"/>
        <v>1327.1305413473517</v>
      </c>
      <c r="BT90">
        <f t="shared" ca="1" si="36"/>
        <v>1327.1305413473517</v>
      </c>
      <c r="BU90">
        <f t="shared" ca="1" si="36"/>
        <v>802.14273654332578</v>
      </c>
      <c r="BV90">
        <f t="shared" ca="1" si="36"/>
        <v>1031.7694142523274</v>
      </c>
      <c r="BW90">
        <f t="shared" ca="1" si="34"/>
        <v>1261.9653916081934</v>
      </c>
      <c r="BX90">
        <f t="shared" ca="1" si="34"/>
        <v>1199.9999999999995</v>
      </c>
      <c r="BY90">
        <f t="shared" ca="1" si="34"/>
        <v>1327.1305413473517</v>
      </c>
      <c r="BZ90">
        <f t="shared" ca="1" si="34"/>
        <v>1261.9653916081936</v>
      </c>
      <c r="CA90">
        <f t="shared" ca="1" si="34"/>
        <v>1327.1305413473517</v>
      </c>
      <c r="CB90">
        <f t="shared" ca="1" si="34"/>
        <v>1085.0477440885791</v>
      </c>
      <c r="CC90">
        <f t="shared" ca="1" si="34"/>
        <v>1395.6606777721711</v>
      </c>
      <c r="CD90">
        <f t="shared" ca="1" si="34"/>
        <v>1085.0477440885791</v>
      </c>
      <c r="CE90">
        <f t="shared" ca="1" si="34"/>
        <v>1261.9653916081936</v>
      </c>
      <c r="CF90">
        <f t="shared" ca="1" si="34"/>
        <v>1031.7694142523269</v>
      </c>
      <c r="CG90">
        <f t="shared" ca="1" si="34"/>
        <v>932.93256279506875</v>
      </c>
      <c r="CH90">
        <f t="shared" ca="1" si="34"/>
        <v>1467.7295614807629</v>
      </c>
      <c r="CI90">
        <f t="shared" ca="1" si="34"/>
        <v>1199.9999999999995</v>
      </c>
      <c r="CJ90">
        <f t="shared" ca="1" si="34"/>
        <v>981.10717245976286</v>
      </c>
      <c r="CK90">
        <f t="shared" ca="1" si="34"/>
        <v>1395.6606777721715</v>
      </c>
      <c r="CL90">
        <f t="shared" ca="1" si="34"/>
        <v>981.10717245976264</v>
      </c>
      <c r="CM90">
        <f t="shared" ca="1" si="38"/>
        <v>1327.1305413473517</v>
      </c>
      <c r="CN90">
        <f t="shared" ca="1" si="38"/>
        <v>1623.2239395662305</v>
      </c>
      <c r="CO90">
        <f t="shared" ca="1" si="38"/>
        <v>1623.2239395662305</v>
      </c>
      <c r="CP90">
        <f t="shared" ca="1" si="38"/>
        <v>1707.0436954687445</v>
      </c>
      <c r="CQ90">
        <f t="shared" ca="1" si="38"/>
        <v>1031.7694142523274</v>
      </c>
      <c r="CR90">
        <f t="shared" ca="1" si="38"/>
        <v>1707.0436954687445</v>
      </c>
      <c r="CS90">
        <f t="shared" ca="1" si="38"/>
        <v>981.10717245976264</v>
      </c>
      <c r="CT90">
        <f t="shared" ca="1" si="38"/>
        <v>1467.7295614807629</v>
      </c>
      <c r="CU90">
        <f t="shared" ca="1" si="38"/>
        <v>1199.9999999999995</v>
      </c>
      <c r="CV90">
        <f t="shared" ca="1" si="38"/>
        <v>1031.7694142523274</v>
      </c>
      <c r="CW90">
        <f t="shared" ca="1" si="38"/>
        <v>981.10717245976264</v>
      </c>
      <c r="CX90">
        <f t="shared" ca="1" si="38"/>
        <v>1199.9999999999995</v>
      </c>
      <c r="CY90">
        <f t="shared" ca="1" si="38"/>
        <v>802.14273654332578</v>
      </c>
    </row>
    <row r="91" spans="1:103">
      <c r="A91">
        <v>75</v>
      </c>
      <c r="B91">
        <v>75</v>
      </c>
      <c r="C91">
        <v>75</v>
      </c>
      <c r="D91">
        <f t="shared" ca="1" si="37"/>
        <v>956.71669201467887</v>
      </c>
      <c r="E91">
        <f t="shared" ca="1" si="37"/>
        <v>865.06940700201301</v>
      </c>
      <c r="F91">
        <f t="shared" ca="1" si="37"/>
        <v>1112.7098890109644</v>
      </c>
      <c r="G91">
        <f t="shared" ca="1" si="37"/>
        <v>1582.870334101578</v>
      </c>
      <c r="H91">
        <f t="shared" ca="1" si="37"/>
        <v>1505.1477746955675</v>
      </c>
      <c r="I91">
        <f t="shared" ca="1" si="37"/>
        <v>1750.5629694824095</v>
      </c>
      <c r="J91">
        <f t="shared" ca="1" si="37"/>
        <v>2035.9932503922382</v>
      </c>
      <c r="K91">
        <f t="shared" ca="1" si="37"/>
        <v>1840.9582360980601</v>
      </c>
      <c r="L91">
        <f t="shared" ca="1" si="37"/>
        <v>1582.870334101578</v>
      </c>
      <c r="M91">
        <f t="shared" ca="1" si="37"/>
        <v>1230.5927311380608</v>
      </c>
      <c r="N91">
        <f t="shared" ca="1" si="37"/>
        <v>1170.167809026693</v>
      </c>
      <c r="O91">
        <f t="shared" ca="1" si="37"/>
        <v>1170.167809026693</v>
      </c>
      <c r="P91">
        <f t="shared" ca="1" si="37"/>
        <v>1230.5927311380606</v>
      </c>
      <c r="Q91">
        <f t="shared" ca="1" si="37"/>
        <v>1431.2415710013786</v>
      </c>
      <c r="R91">
        <f t="shared" ca="1" si="37"/>
        <v>1505.1477746955675</v>
      </c>
      <c r="S91">
        <f t="shared" ca="1" si="35"/>
        <v>1360.964331211143</v>
      </c>
      <c r="T91">
        <f t="shared" ca="1" si="35"/>
        <v>1058.0732844912407</v>
      </c>
      <c r="U91">
        <f t="shared" ca="1" si="35"/>
        <v>1360.9643312111432</v>
      </c>
      <c r="V91">
        <f t="shared" ca="1" si="35"/>
        <v>1505.1477746955675</v>
      </c>
      <c r="W91">
        <f t="shared" ca="1" si="35"/>
        <v>1505.1477746955675</v>
      </c>
      <c r="X91">
        <f t="shared" ca="1" si="35"/>
        <v>956.71669201467876</v>
      </c>
      <c r="Y91">
        <f t="shared" ca="1" si="35"/>
        <v>1505.1477746955675</v>
      </c>
      <c r="Z91">
        <f t="shared" ca="1" si="35"/>
        <v>1505.1477746955675</v>
      </c>
      <c r="AA91">
        <f t="shared" ca="1" si="35"/>
        <v>1360.9643312111427</v>
      </c>
      <c r="AB91">
        <f t="shared" ca="1" si="35"/>
        <v>1505.1477746955675</v>
      </c>
      <c r="AC91">
        <f t="shared" ca="1" si="35"/>
        <v>1431.2415710013781</v>
      </c>
      <c r="AD91">
        <f t="shared" ca="1" si="35"/>
        <v>1505.1477746955677</v>
      </c>
      <c r="AE91">
        <f t="shared" ca="1" si="35"/>
        <v>1112.7098890109639</v>
      </c>
      <c r="AF91">
        <f t="shared" ca="1" si="35"/>
        <v>1431.2415710013786</v>
      </c>
      <c r="AG91">
        <f t="shared" ca="1" si="35"/>
        <v>1505.1477746955679</v>
      </c>
      <c r="AH91">
        <f t="shared" ca="1" si="35"/>
        <v>909.73971081296975</v>
      </c>
      <c r="AI91">
        <f t="shared" ca="1" si="35"/>
        <v>909.73971081296975</v>
      </c>
      <c r="AJ91">
        <f t="shared" ca="1" si="40"/>
        <v>909.73971081296975</v>
      </c>
      <c r="AK91">
        <f t="shared" ca="1" si="40"/>
        <v>1294.1378648840334</v>
      </c>
      <c r="AL91">
        <f t="shared" ca="1" si="40"/>
        <v>1294.1378648840334</v>
      </c>
      <c r="AM91">
        <f t="shared" ca="1" si="40"/>
        <v>1360.9643312111427</v>
      </c>
      <c r="AN91">
        <f t="shared" ca="1" si="40"/>
        <v>1058.0732844912411</v>
      </c>
      <c r="AO91">
        <f t="shared" ca="1" si="40"/>
        <v>1170.1678090266926</v>
      </c>
      <c r="AP91">
        <f t="shared" ca="1" si="40"/>
        <v>1230.5927311380603</v>
      </c>
      <c r="AQ91">
        <f t="shared" ca="1" si="40"/>
        <v>1230.5927311380608</v>
      </c>
      <c r="AR91">
        <f t="shared" ca="1" si="40"/>
        <v>909.73971081296986</v>
      </c>
      <c r="AS91">
        <f t="shared" ca="1" si="40"/>
        <v>1230.5927311380608</v>
      </c>
      <c r="AT91">
        <f t="shared" ca="1" si="40"/>
        <v>1112.7098890109644</v>
      </c>
      <c r="AU91">
        <f t="shared" ca="1" si="40"/>
        <v>822.59251743784137</v>
      </c>
      <c r="AV91">
        <f t="shared" ca="1" si="40"/>
        <v>1112.7098890109642</v>
      </c>
      <c r="AW91">
        <f t="shared" ca="1" si="40"/>
        <v>1294.1378648840334</v>
      </c>
      <c r="AX91">
        <f t="shared" ca="1" si="40"/>
        <v>1505.1477746955675</v>
      </c>
      <c r="AY91">
        <f t="shared" ca="1" si="40"/>
        <v>1230.5927311380606</v>
      </c>
      <c r="AZ91">
        <f t="shared" ca="1" si="39"/>
        <v>1582.870334101578</v>
      </c>
      <c r="BA91">
        <f t="shared" ca="1" si="39"/>
        <v>1294.1378648840334</v>
      </c>
      <c r="BB91">
        <f t="shared" ca="1" si="39"/>
        <v>956.71669201467864</v>
      </c>
      <c r="BC91">
        <f t="shared" ca="1" si="39"/>
        <v>1170.167809026693</v>
      </c>
      <c r="BD91">
        <f t="shared" ca="1" si="39"/>
        <v>1058.0732844912411</v>
      </c>
      <c r="BE91">
        <f t="shared" ca="1" si="39"/>
        <v>1170.167809026693</v>
      </c>
      <c r="BF91">
        <f t="shared" ca="1" si="39"/>
        <v>1006.119462413667</v>
      </c>
      <c r="BG91">
        <f t="shared" ca="1" si="39"/>
        <v>1294.1378648840334</v>
      </c>
      <c r="BH91">
        <f t="shared" ca="1" si="36"/>
        <v>1360.9643312111427</v>
      </c>
      <c r="BI91">
        <f t="shared" ca="1" si="36"/>
        <v>1664.6063175329095</v>
      </c>
      <c r="BJ91">
        <f t="shared" ca="1" si="36"/>
        <v>1170.1678090266928</v>
      </c>
      <c r="BK91">
        <f t="shared" ca="1" si="36"/>
        <v>1112.7098890109639</v>
      </c>
      <c r="BL91">
        <f t="shared" ca="1" si="36"/>
        <v>1582.8703341015778</v>
      </c>
      <c r="BM91">
        <f t="shared" ca="1" si="36"/>
        <v>1431.2415710013781</v>
      </c>
      <c r="BN91">
        <f t="shared" ca="1" si="36"/>
        <v>1006.119462413667</v>
      </c>
      <c r="BO91">
        <f t="shared" ca="1" si="36"/>
        <v>1431.2415710013781</v>
      </c>
      <c r="BP91">
        <f t="shared" ca="1" si="36"/>
        <v>1294.1378648840334</v>
      </c>
      <c r="BQ91">
        <f t="shared" ca="1" si="36"/>
        <v>1058.0732844912407</v>
      </c>
      <c r="BR91">
        <f t="shared" ca="1" si="36"/>
        <v>1112.7098890109644</v>
      </c>
      <c r="BS91">
        <f t="shared" ca="1" si="36"/>
        <v>1360.9643312111427</v>
      </c>
      <c r="BT91">
        <f t="shared" ca="1" si="36"/>
        <v>1360.9643312111427</v>
      </c>
      <c r="BU91">
        <f t="shared" ca="1" si="36"/>
        <v>782.20134045631642</v>
      </c>
      <c r="BV91">
        <f t="shared" ca="1" si="36"/>
        <v>1006.1194624136672</v>
      </c>
      <c r="BW91">
        <f t="shared" ca="1" si="34"/>
        <v>1230.5927311380606</v>
      </c>
      <c r="BX91">
        <f t="shared" ca="1" si="34"/>
        <v>1170.167809026693</v>
      </c>
      <c r="BY91">
        <f t="shared" ca="1" si="34"/>
        <v>1294.1378648840334</v>
      </c>
      <c r="BZ91">
        <f t="shared" ca="1" si="34"/>
        <v>1294.1378648840334</v>
      </c>
      <c r="CA91">
        <f t="shared" ca="1" si="34"/>
        <v>1360.9643312111427</v>
      </c>
      <c r="CB91">
        <f t="shared" ca="1" si="34"/>
        <v>1112.7098890109639</v>
      </c>
      <c r="CC91">
        <f t="shared" ca="1" si="34"/>
        <v>1431.2415710013781</v>
      </c>
      <c r="CD91">
        <f t="shared" ca="1" si="34"/>
        <v>1058.0732844912407</v>
      </c>
      <c r="CE91">
        <f t="shared" ca="1" si="34"/>
        <v>1230.5927311380608</v>
      </c>
      <c r="CF91">
        <f t="shared" ca="1" si="34"/>
        <v>1006.1194624136668</v>
      </c>
      <c r="CG91">
        <f t="shared" ca="1" si="34"/>
        <v>956.71669201467876</v>
      </c>
      <c r="CH91">
        <f t="shared" ca="1" si="34"/>
        <v>1431.2415710013781</v>
      </c>
      <c r="CI91">
        <f t="shared" ca="1" si="34"/>
        <v>1170.167809026693</v>
      </c>
      <c r="CJ91">
        <f t="shared" ca="1" si="34"/>
        <v>956.7166920146791</v>
      </c>
      <c r="CK91">
        <f t="shared" ca="1" si="34"/>
        <v>1431.2415710013786</v>
      </c>
      <c r="CL91">
        <f t="shared" ca="1" si="34"/>
        <v>956.71669201467887</v>
      </c>
      <c r="CM91">
        <f t="shared" ca="1" si="38"/>
        <v>1294.1378648840334</v>
      </c>
      <c r="CN91">
        <f t="shared" ca="1" si="38"/>
        <v>1582.870334101578</v>
      </c>
      <c r="CO91">
        <f t="shared" ca="1" si="38"/>
        <v>1664.6063175329091</v>
      </c>
      <c r="CP91">
        <f t="shared" ca="1" si="38"/>
        <v>1750.5629694824095</v>
      </c>
      <c r="CQ91">
        <f t="shared" ca="1" si="38"/>
        <v>1006.1194624136672</v>
      </c>
      <c r="CR91">
        <f t="shared" ca="1" si="38"/>
        <v>1750.5629694824095</v>
      </c>
      <c r="CS91">
        <f t="shared" ca="1" si="38"/>
        <v>956.71669201467887</v>
      </c>
      <c r="CT91">
        <f t="shared" ca="1" si="38"/>
        <v>1505.1477746955675</v>
      </c>
      <c r="CU91">
        <f t="shared" ca="1" si="38"/>
        <v>1170.167809026693</v>
      </c>
      <c r="CV91">
        <f t="shared" ca="1" si="38"/>
        <v>1058.0732844912411</v>
      </c>
      <c r="CW91">
        <f t="shared" ca="1" si="38"/>
        <v>1006.1194624136668</v>
      </c>
      <c r="CX91">
        <f t="shared" ca="1" si="38"/>
        <v>1230.5927311380608</v>
      </c>
      <c r="CY91">
        <f t="shared" ca="1" si="38"/>
        <v>782.20134045631642</v>
      </c>
    </row>
    <row r="92" spans="1:103">
      <c r="A92">
        <v>76</v>
      </c>
      <c r="B92">
        <v>76</v>
      </c>
      <c r="C92">
        <v>76</v>
      </c>
      <c r="D92">
        <f t="shared" ca="1" si="37"/>
        <v>932.93256279506875</v>
      </c>
      <c r="E92">
        <f t="shared" ca="1" si="37"/>
        <v>843.56364387297208</v>
      </c>
      <c r="F92">
        <f t="shared" ca="1" si="37"/>
        <v>1085.0477440885795</v>
      </c>
      <c r="G92">
        <f t="shared" ca="1" si="37"/>
        <v>1623.2239395662305</v>
      </c>
      <c r="H92">
        <f t="shared" ca="1" si="37"/>
        <v>1467.7295614807629</v>
      </c>
      <c r="I92">
        <f t="shared" ca="1" si="37"/>
        <v>1707.0436954687445</v>
      </c>
      <c r="J92">
        <f t="shared" ca="1" si="37"/>
        <v>2087.8987454823691</v>
      </c>
      <c r="K92">
        <f t="shared" ca="1" si="37"/>
        <v>1887.8915197258498</v>
      </c>
      <c r="L92">
        <f t="shared" ca="1" si="37"/>
        <v>1623.2239395662305</v>
      </c>
      <c r="M92">
        <f t="shared" ca="1" si="37"/>
        <v>1199.9999999999995</v>
      </c>
      <c r="N92">
        <f t="shared" ca="1" si="37"/>
        <v>1199.9999999999995</v>
      </c>
      <c r="O92">
        <f t="shared" ca="1" si="37"/>
        <v>1199.9999999999995</v>
      </c>
      <c r="P92">
        <f t="shared" ca="1" si="37"/>
        <v>1261.9653916081934</v>
      </c>
      <c r="Q92">
        <f t="shared" ca="1" si="37"/>
        <v>1395.6606777721715</v>
      </c>
      <c r="R92">
        <f t="shared" ca="1" si="37"/>
        <v>1467.7295614807629</v>
      </c>
      <c r="S92">
        <f t="shared" ca="1" si="35"/>
        <v>1327.1305413473519</v>
      </c>
      <c r="T92">
        <f t="shared" ca="1" si="35"/>
        <v>1085.0477440885791</v>
      </c>
      <c r="U92">
        <f t="shared" ca="1" si="35"/>
        <v>1395.6606777721715</v>
      </c>
      <c r="V92">
        <f t="shared" ca="1" si="35"/>
        <v>1543.5199256908281</v>
      </c>
      <c r="W92">
        <f t="shared" ca="1" si="35"/>
        <v>1543.5199256908281</v>
      </c>
      <c r="X92">
        <f t="shared" ca="1" si="35"/>
        <v>932.93256279506875</v>
      </c>
      <c r="Y92">
        <f t="shared" ca="1" si="35"/>
        <v>1467.7295614807629</v>
      </c>
      <c r="Z92">
        <f t="shared" ca="1" si="35"/>
        <v>1543.5199256908281</v>
      </c>
      <c r="AA92">
        <f t="shared" ca="1" si="35"/>
        <v>1395.6606777721711</v>
      </c>
      <c r="AB92">
        <f t="shared" ca="1" si="35"/>
        <v>1467.7295614807629</v>
      </c>
      <c r="AC92">
        <f t="shared" ca="1" si="35"/>
        <v>1467.7295614807629</v>
      </c>
      <c r="AD92">
        <f t="shared" ca="1" si="35"/>
        <v>1467.7295614807629</v>
      </c>
      <c r="AE92">
        <f t="shared" ca="1" si="35"/>
        <v>1141.0772510686093</v>
      </c>
      <c r="AF92">
        <f t="shared" ca="1" si="35"/>
        <v>1395.6606777721715</v>
      </c>
      <c r="AG92">
        <f t="shared" ca="1" si="35"/>
        <v>1543.5199256908286</v>
      </c>
      <c r="AH92">
        <f t="shared" ca="1" si="35"/>
        <v>932.93256279506875</v>
      </c>
      <c r="AI92">
        <f t="shared" ca="1" si="35"/>
        <v>932.93256279506875</v>
      </c>
      <c r="AJ92">
        <f t="shared" ca="1" si="40"/>
        <v>932.93256279506875</v>
      </c>
      <c r="AK92">
        <f t="shared" ca="1" si="40"/>
        <v>1327.1305413473517</v>
      </c>
      <c r="AL92">
        <f t="shared" ca="1" si="40"/>
        <v>1261.9653916081936</v>
      </c>
      <c r="AM92">
        <f t="shared" ca="1" si="40"/>
        <v>1327.1305413473517</v>
      </c>
      <c r="AN92">
        <f t="shared" ca="1" si="40"/>
        <v>1085.0477440885795</v>
      </c>
      <c r="AO92">
        <f t="shared" ca="1" si="40"/>
        <v>1141.0772510686093</v>
      </c>
      <c r="AP92">
        <f t="shared" ca="1" si="40"/>
        <v>1199.9999999999991</v>
      </c>
      <c r="AQ92">
        <f t="shared" ca="1" si="40"/>
        <v>1261.9653916081936</v>
      </c>
      <c r="AR92">
        <f t="shared" ca="1" si="40"/>
        <v>887.12343682215885</v>
      </c>
      <c r="AS92">
        <f t="shared" ca="1" si="40"/>
        <v>1199.9999999999995</v>
      </c>
      <c r="AT92">
        <f t="shared" ca="1" si="40"/>
        <v>1085.0477440885795</v>
      </c>
      <c r="AU92">
        <f t="shared" ca="1" si="40"/>
        <v>843.56364387297208</v>
      </c>
      <c r="AV92">
        <f t="shared" ca="1" si="40"/>
        <v>1085.0477440885793</v>
      </c>
      <c r="AW92">
        <f t="shared" ca="1" si="40"/>
        <v>1327.1305413473517</v>
      </c>
      <c r="AX92">
        <f t="shared" ca="1" si="40"/>
        <v>1467.7295614807629</v>
      </c>
      <c r="AY92">
        <f t="shared" ca="1" si="40"/>
        <v>1261.9653916081934</v>
      </c>
      <c r="AZ92">
        <f t="shared" ca="1" si="39"/>
        <v>1623.2239395662305</v>
      </c>
      <c r="BA92">
        <f t="shared" ca="1" si="39"/>
        <v>1261.9653916081936</v>
      </c>
      <c r="BB92">
        <f t="shared" ca="1" si="39"/>
        <v>932.93256279506863</v>
      </c>
      <c r="BC92">
        <f t="shared" ca="1" si="39"/>
        <v>1141.0772510686097</v>
      </c>
      <c r="BD92">
        <f t="shared" ca="1" si="39"/>
        <v>1031.7694142523274</v>
      </c>
      <c r="BE92">
        <f t="shared" ca="1" si="39"/>
        <v>1141.0772510686097</v>
      </c>
      <c r="BF92">
        <f t="shared" ca="1" si="39"/>
        <v>981.10717245976264</v>
      </c>
      <c r="BG92">
        <f t="shared" ca="1" si="39"/>
        <v>1327.1305413473517</v>
      </c>
      <c r="BH92">
        <f t="shared" ca="1" si="36"/>
        <v>1327.1305413473517</v>
      </c>
      <c r="BI92">
        <f t="shared" ca="1" si="36"/>
        <v>1707.043695468745</v>
      </c>
      <c r="BJ92">
        <f t="shared" ca="1" si="36"/>
        <v>1141.0772510686095</v>
      </c>
      <c r="BK92">
        <f t="shared" ca="1" si="36"/>
        <v>1085.0477440885791</v>
      </c>
      <c r="BL92">
        <f t="shared" ca="1" si="36"/>
        <v>1623.2239395662302</v>
      </c>
      <c r="BM92">
        <f t="shared" ca="1" si="36"/>
        <v>1395.6606777721711</v>
      </c>
      <c r="BN92">
        <f t="shared" ca="1" si="36"/>
        <v>1031.7694142523271</v>
      </c>
      <c r="BO92">
        <f t="shared" ca="1" si="36"/>
        <v>1395.6606777721711</v>
      </c>
      <c r="BP92">
        <f t="shared" ca="1" si="36"/>
        <v>1327.1305413473517</v>
      </c>
      <c r="BQ92">
        <f t="shared" ca="1" si="36"/>
        <v>1031.7694142523269</v>
      </c>
      <c r="BR92">
        <f t="shared" ca="1" si="36"/>
        <v>1141.0772510686097</v>
      </c>
      <c r="BS92">
        <f t="shared" ca="1" si="36"/>
        <v>1327.1305413473517</v>
      </c>
      <c r="BT92">
        <f t="shared" ca="1" si="36"/>
        <v>1395.6606777721711</v>
      </c>
      <c r="BU92">
        <f t="shared" ca="1" si="36"/>
        <v>802.14273654332578</v>
      </c>
      <c r="BV92">
        <f t="shared" ca="1" si="36"/>
        <v>981.10717245976286</v>
      </c>
      <c r="BW92">
        <f t="shared" ca="1" si="34"/>
        <v>1261.9653916081934</v>
      </c>
      <c r="BX92">
        <f t="shared" ca="1" si="34"/>
        <v>1199.9999999999995</v>
      </c>
      <c r="BY92">
        <f t="shared" ca="1" si="34"/>
        <v>1261.9653916081936</v>
      </c>
      <c r="BZ92">
        <f t="shared" ca="1" si="34"/>
        <v>1261.9653916081936</v>
      </c>
      <c r="CA92">
        <f t="shared" ca="1" si="34"/>
        <v>1327.1305413473517</v>
      </c>
      <c r="CB92">
        <f t="shared" ca="1" si="34"/>
        <v>1141.0772510686093</v>
      </c>
      <c r="CC92">
        <f t="shared" ca="1" si="34"/>
        <v>1395.6606777721711</v>
      </c>
      <c r="CD92">
        <f t="shared" ca="1" si="34"/>
        <v>1031.7694142523269</v>
      </c>
      <c r="CE92">
        <f t="shared" ca="1" si="34"/>
        <v>1199.9999999999995</v>
      </c>
      <c r="CF92">
        <f t="shared" ca="1" si="34"/>
        <v>1031.7694142523269</v>
      </c>
      <c r="CG92">
        <f t="shared" ca="1" si="34"/>
        <v>932.93256279506875</v>
      </c>
      <c r="CH92">
        <f t="shared" ca="1" si="34"/>
        <v>1395.6606777721711</v>
      </c>
      <c r="CI92">
        <f t="shared" ca="1" si="34"/>
        <v>1141.0772510686097</v>
      </c>
      <c r="CJ92">
        <f t="shared" ca="1" si="34"/>
        <v>932.93256279506897</v>
      </c>
      <c r="CK92">
        <f t="shared" ca="1" si="34"/>
        <v>1395.6606777721715</v>
      </c>
      <c r="CL92">
        <f t="shared" ca="1" si="34"/>
        <v>981.10717245976264</v>
      </c>
      <c r="CM92">
        <f t="shared" ca="1" si="38"/>
        <v>1327.1305413473517</v>
      </c>
      <c r="CN92">
        <f t="shared" ca="1" si="38"/>
        <v>1623.2239395662305</v>
      </c>
      <c r="CO92">
        <f t="shared" ca="1" si="38"/>
        <v>1623.2239395662305</v>
      </c>
      <c r="CP92">
        <f t="shared" ca="1" si="38"/>
        <v>1795.1917213704276</v>
      </c>
      <c r="CQ92">
        <f t="shared" ca="1" si="38"/>
        <v>1031.7694142523274</v>
      </c>
      <c r="CR92">
        <f t="shared" ca="1" si="38"/>
        <v>1795.1917213704276</v>
      </c>
      <c r="CS92">
        <f t="shared" ca="1" si="38"/>
        <v>932.93256279506875</v>
      </c>
      <c r="CT92">
        <f t="shared" ca="1" si="38"/>
        <v>1543.5199256908281</v>
      </c>
      <c r="CU92">
        <f t="shared" ca="1" si="38"/>
        <v>1199.9999999999995</v>
      </c>
      <c r="CV92">
        <f t="shared" ca="1" si="38"/>
        <v>1031.7694142523274</v>
      </c>
      <c r="CW92">
        <f t="shared" ca="1" si="38"/>
        <v>981.10717245976264</v>
      </c>
      <c r="CX92">
        <f t="shared" ca="1" si="38"/>
        <v>1199.9999999999995</v>
      </c>
      <c r="CY92">
        <f t="shared" ca="1" si="38"/>
        <v>762.755690649592</v>
      </c>
    </row>
    <row r="93" spans="1:103">
      <c r="A93">
        <v>77</v>
      </c>
      <c r="B93">
        <v>77</v>
      </c>
      <c r="C93">
        <v>77</v>
      </c>
      <c r="D93">
        <f t="shared" ca="1" si="37"/>
        <v>909.73971081296975</v>
      </c>
      <c r="E93">
        <f t="shared" ca="1" si="37"/>
        <v>822.59251743784137</v>
      </c>
      <c r="F93">
        <f t="shared" ca="1" si="37"/>
        <v>1058.0732844912411</v>
      </c>
      <c r="G93">
        <f t="shared" ca="1" si="37"/>
        <v>1664.6063175329091</v>
      </c>
      <c r="H93">
        <f t="shared" ca="1" si="37"/>
        <v>1505.1477746955675</v>
      </c>
      <c r="I93">
        <f t="shared" ca="1" si="37"/>
        <v>1750.5629694824095</v>
      </c>
      <c r="J93">
        <f t="shared" ca="1" si="37"/>
        <v>2035.993250392238</v>
      </c>
      <c r="K93">
        <f t="shared" ca="1" si="37"/>
        <v>1936.0213177931823</v>
      </c>
      <c r="L93">
        <f t="shared" ca="1" si="37"/>
        <v>1664.6063175329091</v>
      </c>
      <c r="M93">
        <f t="shared" ca="1" si="37"/>
        <v>1170.167809026693</v>
      </c>
      <c r="N93">
        <f t="shared" ca="1" si="37"/>
        <v>1170.167809026693</v>
      </c>
      <c r="O93">
        <f t="shared" ca="1" si="37"/>
        <v>1170.167809026693</v>
      </c>
      <c r="P93">
        <f t="shared" ca="1" si="37"/>
        <v>1230.5927311380606</v>
      </c>
      <c r="Q93">
        <f t="shared" ca="1" si="37"/>
        <v>1431.2415710013786</v>
      </c>
      <c r="R93">
        <f t="shared" ca="1" si="37"/>
        <v>1505.1477746955675</v>
      </c>
      <c r="S93">
        <f t="shared" ca="1" si="35"/>
        <v>1360.964331211143</v>
      </c>
      <c r="T93">
        <f t="shared" ca="1" si="35"/>
        <v>1058.0732844912407</v>
      </c>
      <c r="U93">
        <f t="shared" ca="1" si="35"/>
        <v>1431.2415710013786</v>
      </c>
      <c r="V93">
        <f t="shared" ca="1" si="35"/>
        <v>1582.870334101578</v>
      </c>
      <c r="W93">
        <f t="shared" ca="1" si="35"/>
        <v>1582.870334101578</v>
      </c>
      <c r="X93">
        <f t="shared" ca="1" si="35"/>
        <v>956.71669201467876</v>
      </c>
      <c r="Y93">
        <f t="shared" ca="1" si="35"/>
        <v>1431.2415710013781</v>
      </c>
      <c r="Z93">
        <f t="shared" ca="1" si="35"/>
        <v>1505.1477746955675</v>
      </c>
      <c r="AA93">
        <f t="shared" ca="1" si="35"/>
        <v>1431.2415710013781</v>
      </c>
      <c r="AB93">
        <f t="shared" ca="1" si="35"/>
        <v>1505.1477746955675</v>
      </c>
      <c r="AC93">
        <f t="shared" ca="1" si="35"/>
        <v>1431.2415710013781</v>
      </c>
      <c r="AD93">
        <f t="shared" ca="1" si="35"/>
        <v>1431.2415710013781</v>
      </c>
      <c r="AE93">
        <f t="shared" ca="1" si="35"/>
        <v>1112.7098890109639</v>
      </c>
      <c r="AF93">
        <f t="shared" ca="1" si="35"/>
        <v>1431.2415710013786</v>
      </c>
      <c r="AG93">
        <f t="shared" ca="1" si="35"/>
        <v>1505.1477746955679</v>
      </c>
      <c r="AH93">
        <f t="shared" ca="1" si="35"/>
        <v>956.71669201467876</v>
      </c>
      <c r="AI93">
        <f t="shared" ca="1" si="35"/>
        <v>909.73971081296975</v>
      </c>
      <c r="AJ93">
        <f t="shared" ca="1" si="40"/>
        <v>909.73971081296975</v>
      </c>
      <c r="AK93">
        <f t="shared" ca="1" si="40"/>
        <v>1294.1378648840334</v>
      </c>
      <c r="AL93">
        <f t="shared" ca="1" si="40"/>
        <v>1294.1378648840334</v>
      </c>
      <c r="AM93">
        <f t="shared" ca="1" si="40"/>
        <v>1360.9643312111427</v>
      </c>
      <c r="AN93">
        <f t="shared" ca="1" si="40"/>
        <v>1058.0732844912411</v>
      </c>
      <c r="AO93">
        <f t="shared" ca="1" si="40"/>
        <v>1112.7098890109639</v>
      </c>
      <c r="AP93">
        <f t="shared" ca="1" si="40"/>
        <v>1170.1678090266926</v>
      </c>
      <c r="AQ93">
        <f t="shared" ca="1" si="40"/>
        <v>1294.1378648840334</v>
      </c>
      <c r="AR93">
        <f t="shared" ca="1" si="40"/>
        <v>865.06940700201324</v>
      </c>
      <c r="AS93">
        <f t="shared" ca="1" si="40"/>
        <v>1230.5927311380608</v>
      </c>
      <c r="AT93">
        <f t="shared" ca="1" si="40"/>
        <v>1058.0732844912411</v>
      </c>
      <c r="AU93">
        <f t="shared" ca="1" si="40"/>
        <v>865.06940700201301</v>
      </c>
      <c r="AV93">
        <f t="shared" ca="1" si="40"/>
        <v>1112.7098890109642</v>
      </c>
      <c r="AW93">
        <f t="shared" ca="1" si="40"/>
        <v>1294.1378648840334</v>
      </c>
      <c r="AX93">
        <f t="shared" ca="1" si="40"/>
        <v>1431.2415710013781</v>
      </c>
      <c r="AY93">
        <f t="shared" ca="1" si="40"/>
        <v>1294.1378648840332</v>
      </c>
      <c r="AZ93">
        <f t="shared" ca="1" si="39"/>
        <v>1664.6063175329091</v>
      </c>
      <c r="BA93">
        <f t="shared" ca="1" si="39"/>
        <v>1230.5927311380608</v>
      </c>
      <c r="BB93">
        <f t="shared" ca="1" si="39"/>
        <v>956.71669201467864</v>
      </c>
      <c r="BC93">
        <f t="shared" ca="1" si="39"/>
        <v>1112.7098890109644</v>
      </c>
      <c r="BD93">
        <f t="shared" ca="1" si="39"/>
        <v>1006.1194624136672</v>
      </c>
      <c r="BE93">
        <f t="shared" ca="1" si="39"/>
        <v>1170.167809026693</v>
      </c>
      <c r="BF93">
        <f t="shared" ca="1" si="39"/>
        <v>1006.1194624136668</v>
      </c>
      <c r="BG93">
        <f t="shared" ca="1" si="39"/>
        <v>1294.1378648840334</v>
      </c>
      <c r="BH93">
        <f t="shared" ca="1" si="36"/>
        <v>1360.9643312111427</v>
      </c>
      <c r="BI93">
        <f t="shared" ca="1" si="36"/>
        <v>1750.5629694824099</v>
      </c>
      <c r="BJ93">
        <f t="shared" ca="1" si="36"/>
        <v>1112.7098890109642</v>
      </c>
      <c r="BK93">
        <f t="shared" ca="1" si="36"/>
        <v>1058.0732844912407</v>
      </c>
      <c r="BL93">
        <f t="shared" ca="1" si="36"/>
        <v>1582.8703341015778</v>
      </c>
      <c r="BM93">
        <f t="shared" ca="1" si="36"/>
        <v>1360.9643312111427</v>
      </c>
      <c r="BN93">
        <f t="shared" ca="1" si="36"/>
        <v>1058.0732844912409</v>
      </c>
      <c r="BO93">
        <f t="shared" ca="1" si="36"/>
        <v>1360.9643312111427</v>
      </c>
      <c r="BP93">
        <f t="shared" ca="1" si="36"/>
        <v>1360.9643312111427</v>
      </c>
      <c r="BQ93">
        <f t="shared" ca="1" si="36"/>
        <v>1006.1194624136668</v>
      </c>
      <c r="BR93">
        <f t="shared" ca="1" si="36"/>
        <v>1112.7098890109644</v>
      </c>
      <c r="BS93">
        <f t="shared" ca="1" si="36"/>
        <v>1360.9643312111427</v>
      </c>
      <c r="BT93">
        <f t="shared" ca="1" si="36"/>
        <v>1431.2415710013781</v>
      </c>
      <c r="BU93">
        <f t="shared" ca="1" si="36"/>
        <v>822.59251743784137</v>
      </c>
      <c r="BV93">
        <f t="shared" ca="1" si="36"/>
        <v>956.7166920146791</v>
      </c>
      <c r="BW93">
        <f t="shared" ca="1" si="34"/>
        <v>1230.5927311380606</v>
      </c>
      <c r="BX93">
        <f t="shared" ca="1" si="34"/>
        <v>1230.5927311380608</v>
      </c>
      <c r="BY93">
        <f t="shared" ca="1" si="34"/>
        <v>1230.5927311380608</v>
      </c>
      <c r="BZ93">
        <f t="shared" ca="1" si="34"/>
        <v>1294.1378648840334</v>
      </c>
      <c r="CA93">
        <f t="shared" ca="1" si="34"/>
        <v>1360.9643312111427</v>
      </c>
      <c r="CB93">
        <f t="shared" ca="1" si="34"/>
        <v>1170.1678090266926</v>
      </c>
      <c r="CC93">
        <f t="shared" ca="1" si="34"/>
        <v>1431.2415710013781</v>
      </c>
      <c r="CD93">
        <f t="shared" ca="1" si="34"/>
        <v>1058.0732844912407</v>
      </c>
      <c r="CE93">
        <f t="shared" ca="1" si="34"/>
        <v>1230.5927311380608</v>
      </c>
      <c r="CF93">
        <f t="shared" ca="1" si="34"/>
        <v>1058.0732844912407</v>
      </c>
      <c r="CG93">
        <f t="shared" ca="1" si="34"/>
        <v>909.73971081296975</v>
      </c>
      <c r="CH93">
        <f t="shared" ca="1" si="34"/>
        <v>1360.9643312111427</v>
      </c>
      <c r="CI93">
        <f t="shared" ca="1" si="34"/>
        <v>1170.167809026693</v>
      </c>
      <c r="CJ93">
        <f t="shared" ca="1" si="34"/>
        <v>956.71669201467898</v>
      </c>
      <c r="CK93">
        <f t="shared" ca="1" si="34"/>
        <v>1431.2415710013786</v>
      </c>
      <c r="CL93">
        <f t="shared" ca="1" si="34"/>
        <v>1006.1194624136668</v>
      </c>
      <c r="CM93">
        <f t="shared" ca="1" si="38"/>
        <v>1360.9643312111427</v>
      </c>
      <c r="CN93">
        <f t="shared" ca="1" si="38"/>
        <v>1664.6063175329091</v>
      </c>
      <c r="CO93">
        <f t="shared" ca="1" si="38"/>
        <v>1582.870334101578</v>
      </c>
      <c r="CP93">
        <f t="shared" ca="1" si="38"/>
        <v>1750.5629694824095</v>
      </c>
      <c r="CQ93">
        <f t="shared" ca="1" si="38"/>
        <v>1006.1194624136672</v>
      </c>
      <c r="CR93">
        <f t="shared" ca="1" si="38"/>
        <v>1750.5629694824095</v>
      </c>
      <c r="CS93">
        <f t="shared" ca="1" si="38"/>
        <v>909.73971081296975</v>
      </c>
      <c r="CT93">
        <f t="shared" ca="1" si="38"/>
        <v>1505.1477746955675</v>
      </c>
      <c r="CU93">
        <f t="shared" ca="1" si="38"/>
        <v>1230.5927311380608</v>
      </c>
      <c r="CV93">
        <f t="shared" ca="1" si="38"/>
        <v>1058.0732844912411</v>
      </c>
      <c r="CW93">
        <f t="shared" ca="1" si="38"/>
        <v>1006.1194624136668</v>
      </c>
      <c r="CX93">
        <f t="shared" ca="1" si="38"/>
        <v>1230.5927311380608</v>
      </c>
      <c r="CY93">
        <f t="shared" ca="1" si="38"/>
        <v>743.79346279172944</v>
      </c>
    </row>
    <row r="94" spans="1:103">
      <c r="A94">
        <v>78</v>
      </c>
      <c r="B94">
        <v>78</v>
      </c>
      <c r="C94">
        <v>78</v>
      </c>
      <c r="D94">
        <f t="shared" ca="1" si="37"/>
        <v>887.12343682215874</v>
      </c>
      <c r="E94">
        <f t="shared" ca="1" si="37"/>
        <v>843.56364387297208</v>
      </c>
      <c r="F94">
        <f t="shared" ca="1" si="37"/>
        <v>1031.7694142523274</v>
      </c>
      <c r="G94">
        <f t="shared" ca="1" si="37"/>
        <v>1623.2239395662305</v>
      </c>
      <c r="H94">
        <f t="shared" ca="1" si="37"/>
        <v>1543.5199256908281</v>
      </c>
      <c r="I94">
        <f t="shared" ca="1" si="37"/>
        <v>1707.0436954687445</v>
      </c>
      <c r="J94">
        <f t="shared" ca="1" si="37"/>
        <v>1985.3781341705176</v>
      </c>
      <c r="K94">
        <f t="shared" ca="1" si="37"/>
        <v>1985.3781341705173</v>
      </c>
      <c r="L94">
        <f t="shared" ca="1" si="37"/>
        <v>1623.2239395662305</v>
      </c>
      <c r="M94">
        <f t="shared" ca="1" si="37"/>
        <v>1141.0772510686097</v>
      </c>
      <c r="N94">
        <f t="shared" ca="1" si="37"/>
        <v>1141.0772510686097</v>
      </c>
      <c r="O94">
        <f t="shared" ca="1" si="37"/>
        <v>1141.0772510686097</v>
      </c>
      <c r="P94">
        <f t="shared" ca="1" si="37"/>
        <v>1199.9999999999993</v>
      </c>
      <c r="Q94">
        <f t="shared" ca="1" si="37"/>
        <v>1395.6606777721715</v>
      </c>
      <c r="R94">
        <f t="shared" ca="1" si="37"/>
        <v>1467.7295614807629</v>
      </c>
      <c r="S94">
        <f t="shared" ca="1" si="35"/>
        <v>1395.6606777721713</v>
      </c>
      <c r="T94">
        <f t="shared" ca="1" si="35"/>
        <v>1085.0477440885791</v>
      </c>
      <c r="U94">
        <f t="shared" ca="1" si="35"/>
        <v>1467.7295614807633</v>
      </c>
      <c r="V94">
        <f t="shared" ca="1" si="35"/>
        <v>1623.2239395662305</v>
      </c>
      <c r="W94">
        <f t="shared" ca="1" si="35"/>
        <v>1623.2239395662305</v>
      </c>
      <c r="X94">
        <f t="shared" ca="1" si="35"/>
        <v>932.93256279506875</v>
      </c>
      <c r="Y94">
        <f t="shared" ca="1" si="35"/>
        <v>1395.6606777721711</v>
      </c>
      <c r="Z94">
        <f t="shared" ca="1" si="35"/>
        <v>1543.5199256908281</v>
      </c>
      <c r="AA94">
        <f t="shared" ca="1" si="35"/>
        <v>1467.7295614807629</v>
      </c>
      <c r="AB94">
        <f t="shared" ca="1" si="35"/>
        <v>1467.7295614807629</v>
      </c>
      <c r="AC94">
        <f t="shared" ca="1" si="35"/>
        <v>1395.6606777721711</v>
      </c>
      <c r="AD94">
        <f t="shared" ca="1" si="35"/>
        <v>1395.6606777721711</v>
      </c>
      <c r="AE94">
        <f t="shared" ca="1" si="35"/>
        <v>1085.0477440885791</v>
      </c>
      <c r="AF94">
        <f t="shared" ca="1" si="35"/>
        <v>1467.7295614807633</v>
      </c>
      <c r="AG94">
        <f t="shared" ca="1" si="35"/>
        <v>1543.5199256908286</v>
      </c>
      <c r="AH94">
        <f t="shared" ca="1" si="35"/>
        <v>981.10717245976252</v>
      </c>
      <c r="AI94">
        <f t="shared" ca="1" si="35"/>
        <v>932.93256279506875</v>
      </c>
      <c r="AJ94">
        <f t="shared" ca="1" si="40"/>
        <v>932.93256279506875</v>
      </c>
      <c r="AK94">
        <f t="shared" ca="1" si="40"/>
        <v>1327.1305413473517</v>
      </c>
      <c r="AL94">
        <f t="shared" ca="1" si="40"/>
        <v>1327.1305413473517</v>
      </c>
      <c r="AM94">
        <f t="shared" ca="1" si="40"/>
        <v>1327.1305413473517</v>
      </c>
      <c r="AN94">
        <f t="shared" ca="1" si="40"/>
        <v>1085.0477440885795</v>
      </c>
      <c r="AO94">
        <f t="shared" ca="1" si="40"/>
        <v>1141.0772510686093</v>
      </c>
      <c r="AP94">
        <f t="shared" ca="1" si="40"/>
        <v>1141.0772510686093</v>
      </c>
      <c r="AQ94">
        <f t="shared" ca="1" si="40"/>
        <v>1261.9653916081936</v>
      </c>
      <c r="AR94">
        <f t="shared" ca="1" si="40"/>
        <v>843.56364387297231</v>
      </c>
      <c r="AS94">
        <f t="shared" ca="1" si="40"/>
        <v>1199.9999999999995</v>
      </c>
      <c r="AT94">
        <f t="shared" ca="1" si="40"/>
        <v>1031.7694142523274</v>
      </c>
      <c r="AU94">
        <f t="shared" ca="1" si="40"/>
        <v>887.12343682215862</v>
      </c>
      <c r="AV94">
        <f t="shared" ca="1" si="40"/>
        <v>1085.0477440885793</v>
      </c>
      <c r="AW94">
        <f t="shared" ca="1" si="40"/>
        <v>1261.9653916081936</v>
      </c>
      <c r="AX94">
        <f t="shared" ca="1" si="40"/>
        <v>1395.6606777721711</v>
      </c>
      <c r="AY94">
        <f t="shared" ca="1" si="40"/>
        <v>1327.1305413473515</v>
      </c>
      <c r="AZ94">
        <f t="shared" ca="1" si="39"/>
        <v>1623.2239395662305</v>
      </c>
      <c r="BA94">
        <f t="shared" ca="1" si="39"/>
        <v>1261.9653916081936</v>
      </c>
      <c r="BB94">
        <f t="shared" ca="1" si="39"/>
        <v>981.10717245976241</v>
      </c>
      <c r="BC94">
        <f t="shared" ca="1" si="39"/>
        <v>1141.0772510686097</v>
      </c>
      <c r="BD94">
        <f t="shared" ca="1" si="39"/>
        <v>1031.7694142523274</v>
      </c>
      <c r="BE94">
        <f t="shared" ca="1" si="39"/>
        <v>1141.0772510686097</v>
      </c>
      <c r="BF94">
        <f t="shared" ca="1" si="39"/>
        <v>1031.7694142523269</v>
      </c>
      <c r="BG94">
        <f t="shared" ca="1" si="39"/>
        <v>1261.9653916081936</v>
      </c>
      <c r="BH94">
        <f t="shared" ca="1" si="36"/>
        <v>1395.6606777721711</v>
      </c>
      <c r="BI94">
        <f t="shared" ca="1" si="36"/>
        <v>1707.043695468745</v>
      </c>
      <c r="BJ94">
        <f t="shared" ca="1" si="36"/>
        <v>1085.0477440885793</v>
      </c>
      <c r="BK94">
        <f t="shared" ca="1" si="36"/>
        <v>1085.0477440885791</v>
      </c>
      <c r="BL94">
        <f t="shared" ca="1" si="36"/>
        <v>1623.2239395662302</v>
      </c>
      <c r="BM94">
        <f t="shared" ca="1" si="36"/>
        <v>1327.1305413473517</v>
      </c>
      <c r="BN94">
        <f t="shared" ca="1" si="36"/>
        <v>1085.0477440885793</v>
      </c>
      <c r="BO94">
        <f t="shared" ca="1" si="36"/>
        <v>1395.6606777721711</v>
      </c>
      <c r="BP94">
        <f t="shared" ca="1" si="36"/>
        <v>1395.6606777721711</v>
      </c>
      <c r="BQ94">
        <f t="shared" ca="1" si="36"/>
        <v>981.10717245976264</v>
      </c>
      <c r="BR94">
        <f t="shared" ca="1" si="36"/>
        <v>1085.0477440885795</v>
      </c>
      <c r="BS94">
        <f t="shared" ca="1" si="36"/>
        <v>1395.6606777721711</v>
      </c>
      <c r="BT94">
        <f t="shared" ca="1" si="36"/>
        <v>1395.6606777721711</v>
      </c>
      <c r="BU94">
        <f t="shared" ca="1" si="36"/>
        <v>802.14273654332578</v>
      </c>
      <c r="BV94">
        <f t="shared" ca="1" si="36"/>
        <v>981.10717245976286</v>
      </c>
      <c r="BW94">
        <f t="shared" ca="1" si="34"/>
        <v>1261.9653916081934</v>
      </c>
      <c r="BX94">
        <f t="shared" ca="1" si="34"/>
        <v>1199.9999999999995</v>
      </c>
      <c r="BY94">
        <f t="shared" ca="1" si="34"/>
        <v>1261.9653916081936</v>
      </c>
      <c r="BZ94">
        <f t="shared" ca="1" si="34"/>
        <v>1261.9653916081936</v>
      </c>
      <c r="CA94">
        <f t="shared" ca="1" si="34"/>
        <v>1395.6606777721711</v>
      </c>
      <c r="CB94">
        <f t="shared" ca="1" si="34"/>
        <v>1141.0772510686093</v>
      </c>
      <c r="CC94">
        <f t="shared" ca="1" si="34"/>
        <v>1395.6606777721711</v>
      </c>
      <c r="CD94">
        <f t="shared" ca="1" si="34"/>
        <v>1031.7694142523269</v>
      </c>
      <c r="CE94">
        <f t="shared" ca="1" si="34"/>
        <v>1199.9999999999995</v>
      </c>
      <c r="CF94">
        <f t="shared" ca="1" si="34"/>
        <v>1031.7694142523269</v>
      </c>
      <c r="CG94">
        <f t="shared" ca="1" si="34"/>
        <v>887.12343682215874</v>
      </c>
      <c r="CH94">
        <f t="shared" ca="1" si="34"/>
        <v>1327.1305413473517</v>
      </c>
      <c r="CI94">
        <f t="shared" ca="1" si="34"/>
        <v>1141.0772510686097</v>
      </c>
      <c r="CJ94">
        <f t="shared" ca="1" si="34"/>
        <v>932.93256279506886</v>
      </c>
      <c r="CK94">
        <f t="shared" ca="1" si="34"/>
        <v>1395.6606777721715</v>
      </c>
      <c r="CL94">
        <f t="shared" ca="1" si="34"/>
        <v>1031.7694142523269</v>
      </c>
      <c r="CM94">
        <f t="shared" ca="1" si="38"/>
        <v>1395.6606777721711</v>
      </c>
      <c r="CN94">
        <f t="shared" ca="1" si="38"/>
        <v>1623.2239395662305</v>
      </c>
      <c r="CO94">
        <f t="shared" ca="1" si="38"/>
        <v>1543.5199256908281</v>
      </c>
      <c r="CP94">
        <f t="shared" ca="1" si="38"/>
        <v>1795.1917213704276</v>
      </c>
      <c r="CQ94">
        <f t="shared" ca="1" si="38"/>
        <v>1031.7694142523274</v>
      </c>
      <c r="CR94">
        <f t="shared" ca="1" si="38"/>
        <v>1795.1917213704276</v>
      </c>
      <c r="CS94">
        <f t="shared" ca="1" si="38"/>
        <v>887.12343682215874</v>
      </c>
      <c r="CT94">
        <f t="shared" ca="1" si="38"/>
        <v>1467.7295614807629</v>
      </c>
      <c r="CU94">
        <f t="shared" ca="1" si="38"/>
        <v>1199.9999999999995</v>
      </c>
      <c r="CV94">
        <f t="shared" ca="1" si="38"/>
        <v>1031.7694142523274</v>
      </c>
      <c r="CW94">
        <f t="shared" ca="1" si="38"/>
        <v>981.10717245976264</v>
      </c>
      <c r="CX94">
        <f t="shared" ca="1" si="38"/>
        <v>1261.9653916081936</v>
      </c>
      <c r="CY94">
        <f t="shared" ca="1" si="38"/>
        <v>762.755690649592</v>
      </c>
    </row>
    <row r="95" spans="1:103">
      <c r="A95">
        <v>79</v>
      </c>
      <c r="B95">
        <v>79</v>
      </c>
      <c r="C95">
        <v>79</v>
      </c>
      <c r="D95">
        <f t="shared" ca="1" si="37"/>
        <v>865.06940700201312</v>
      </c>
      <c r="E95">
        <f t="shared" ca="1" si="37"/>
        <v>822.59251743784137</v>
      </c>
      <c r="F95">
        <f t="shared" ca="1" si="37"/>
        <v>1006.1194624136672</v>
      </c>
      <c r="G95">
        <f t="shared" ca="1" si="37"/>
        <v>1664.6063175329091</v>
      </c>
      <c r="H95">
        <f t="shared" ca="1" si="37"/>
        <v>1582.870334101578</v>
      </c>
      <c r="I95">
        <f t="shared" ca="1" si="37"/>
        <v>1664.6063175329091</v>
      </c>
      <c r="J95">
        <f t="shared" ca="1" si="37"/>
        <v>2035.993250392238</v>
      </c>
      <c r="K95">
        <f t="shared" ca="1" si="37"/>
        <v>2035.9932503922378</v>
      </c>
      <c r="L95">
        <f t="shared" ca="1" si="37"/>
        <v>1664.6063175329091</v>
      </c>
      <c r="M95">
        <f t="shared" ca="1" si="37"/>
        <v>1170.167809026693</v>
      </c>
      <c r="N95">
        <f t="shared" ca="1" si="37"/>
        <v>1112.7098890109644</v>
      </c>
      <c r="O95">
        <f t="shared" ca="1" si="37"/>
        <v>1112.7098890109644</v>
      </c>
      <c r="P95">
        <f t="shared" ca="1" si="37"/>
        <v>1170.1678090266928</v>
      </c>
      <c r="Q95">
        <f t="shared" ca="1" si="37"/>
        <v>1431.2415710013786</v>
      </c>
      <c r="R95">
        <f t="shared" ca="1" si="37"/>
        <v>1505.1477746955675</v>
      </c>
      <c r="S95">
        <f t="shared" ca="1" si="35"/>
        <v>1431.2415710013784</v>
      </c>
      <c r="T95">
        <f t="shared" ca="1" si="35"/>
        <v>1112.7098890109639</v>
      </c>
      <c r="U95">
        <f t="shared" ca="1" si="35"/>
        <v>1505.1477746955679</v>
      </c>
      <c r="V95">
        <f t="shared" ca="1" si="35"/>
        <v>1664.6063175329091</v>
      </c>
      <c r="W95">
        <f t="shared" ca="1" si="35"/>
        <v>1664.6063175329091</v>
      </c>
      <c r="X95">
        <f t="shared" ca="1" si="35"/>
        <v>909.73971081296975</v>
      </c>
      <c r="Y95">
        <f t="shared" ca="1" si="35"/>
        <v>1360.9643312111427</v>
      </c>
      <c r="Z95">
        <f t="shared" ca="1" si="35"/>
        <v>1505.1477746955675</v>
      </c>
      <c r="AA95">
        <f t="shared" ca="1" si="35"/>
        <v>1431.2415710013781</v>
      </c>
      <c r="AB95">
        <f t="shared" ca="1" si="35"/>
        <v>1431.2415710013781</v>
      </c>
      <c r="AC95">
        <f t="shared" ca="1" si="35"/>
        <v>1431.2415710013781</v>
      </c>
      <c r="AD95">
        <f t="shared" ca="1" si="35"/>
        <v>1360.9643312111427</v>
      </c>
      <c r="AE95">
        <f t="shared" ca="1" si="35"/>
        <v>1112.7098890109639</v>
      </c>
      <c r="AF95">
        <f t="shared" ca="1" si="35"/>
        <v>1431.2415710013786</v>
      </c>
      <c r="AG95">
        <f t="shared" ca="1" si="35"/>
        <v>1505.1477746955679</v>
      </c>
      <c r="AH95">
        <f t="shared" ca="1" si="35"/>
        <v>956.71669201467876</v>
      </c>
      <c r="AI95">
        <f t="shared" ca="1" si="35"/>
        <v>909.73971081296975</v>
      </c>
      <c r="AJ95">
        <f t="shared" ca="1" si="40"/>
        <v>909.73971081296975</v>
      </c>
      <c r="AK95">
        <f t="shared" ca="1" si="40"/>
        <v>1360.9643312111427</v>
      </c>
      <c r="AL95">
        <f t="shared" ca="1" si="40"/>
        <v>1360.9643312111427</v>
      </c>
      <c r="AM95">
        <f t="shared" ca="1" si="40"/>
        <v>1294.1378648840334</v>
      </c>
      <c r="AN95">
        <f t="shared" ca="1" si="40"/>
        <v>1058.0732844912411</v>
      </c>
      <c r="AO95">
        <f t="shared" ca="1" si="40"/>
        <v>1170.1678090266926</v>
      </c>
      <c r="AP95">
        <f t="shared" ca="1" si="40"/>
        <v>1112.7098890109639</v>
      </c>
      <c r="AQ95">
        <f t="shared" ca="1" si="40"/>
        <v>1294.1378648840334</v>
      </c>
      <c r="AR95">
        <f t="shared" ca="1" si="40"/>
        <v>865.06940700201324</v>
      </c>
      <c r="AS95">
        <f t="shared" ca="1" si="40"/>
        <v>1170.167809026693</v>
      </c>
      <c r="AT95">
        <f t="shared" ca="1" si="40"/>
        <v>1058.0732844912411</v>
      </c>
      <c r="AU95">
        <f t="shared" ca="1" si="40"/>
        <v>865.06940700201301</v>
      </c>
      <c r="AV95">
        <f t="shared" ca="1" si="40"/>
        <v>1058.0732844912409</v>
      </c>
      <c r="AW95">
        <f t="shared" ca="1" si="40"/>
        <v>1230.5927311380608</v>
      </c>
      <c r="AX95">
        <f t="shared" ca="1" si="40"/>
        <v>1431.2415710013781</v>
      </c>
      <c r="AY95">
        <f t="shared" ca="1" si="40"/>
        <v>1360.9643312111425</v>
      </c>
      <c r="AZ95">
        <f t="shared" ca="1" si="39"/>
        <v>1664.6063175329091</v>
      </c>
      <c r="BA95">
        <f t="shared" ca="1" si="39"/>
        <v>1294.1378648840334</v>
      </c>
      <c r="BB95">
        <f t="shared" ca="1" si="39"/>
        <v>1006.1194624136666</v>
      </c>
      <c r="BC95">
        <f t="shared" ca="1" si="39"/>
        <v>1112.7098890109644</v>
      </c>
      <c r="BD95">
        <f t="shared" ca="1" si="39"/>
        <v>1006.1194624136672</v>
      </c>
      <c r="BE95">
        <f t="shared" ca="1" si="39"/>
        <v>1112.7098890109644</v>
      </c>
      <c r="BF95">
        <f t="shared" ca="1" si="39"/>
        <v>1058.0732844912407</v>
      </c>
      <c r="BG95">
        <f t="shared" ca="1" si="39"/>
        <v>1230.5927311380608</v>
      </c>
      <c r="BH95">
        <f t="shared" ca="1" si="36"/>
        <v>1431.2415710013781</v>
      </c>
      <c r="BI95">
        <f t="shared" ca="1" si="36"/>
        <v>1664.6063175329095</v>
      </c>
      <c r="BJ95">
        <f t="shared" ca="1" si="36"/>
        <v>1112.7098890109642</v>
      </c>
      <c r="BK95">
        <f t="shared" ca="1" si="36"/>
        <v>1112.7098890109639</v>
      </c>
      <c r="BL95">
        <f t="shared" ca="1" si="36"/>
        <v>1582.8703341015778</v>
      </c>
      <c r="BM95">
        <f t="shared" ca="1" si="36"/>
        <v>1294.1378648840334</v>
      </c>
      <c r="BN95">
        <f t="shared" ca="1" si="36"/>
        <v>1112.7098890109642</v>
      </c>
      <c r="BO95">
        <f t="shared" ca="1" si="36"/>
        <v>1360.9643312111427</v>
      </c>
      <c r="BP95">
        <f t="shared" ca="1" si="36"/>
        <v>1360.9643312111427</v>
      </c>
      <c r="BQ95">
        <f t="shared" ca="1" si="36"/>
        <v>956.71669201467887</v>
      </c>
      <c r="BR95">
        <f t="shared" ca="1" si="36"/>
        <v>1058.0732844912411</v>
      </c>
      <c r="BS95">
        <f t="shared" ca="1" si="36"/>
        <v>1360.9643312111427</v>
      </c>
      <c r="BT95">
        <f t="shared" ca="1" si="36"/>
        <v>1360.9643312111427</v>
      </c>
      <c r="BU95">
        <f t="shared" ca="1" si="36"/>
        <v>782.20134045631642</v>
      </c>
      <c r="BV95">
        <f t="shared" ca="1" si="36"/>
        <v>1006.1194624136671</v>
      </c>
      <c r="BW95">
        <f t="shared" ca="1" si="34"/>
        <v>1230.5927311380606</v>
      </c>
      <c r="BX95">
        <f t="shared" ca="1" si="34"/>
        <v>1230.5927311380608</v>
      </c>
      <c r="BY95">
        <f t="shared" ca="1" si="34"/>
        <v>1294.1378648840334</v>
      </c>
      <c r="BZ95">
        <f t="shared" ca="1" si="34"/>
        <v>1294.1378648840334</v>
      </c>
      <c r="CA95">
        <f t="shared" ca="1" si="34"/>
        <v>1360.9643312111427</v>
      </c>
      <c r="CB95">
        <f t="shared" ca="1" si="34"/>
        <v>1170.1678090266926</v>
      </c>
      <c r="CC95">
        <f t="shared" ca="1" si="34"/>
        <v>1431.2415710013781</v>
      </c>
      <c r="CD95">
        <f t="shared" ca="1" si="34"/>
        <v>1006.1194624136668</v>
      </c>
      <c r="CE95">
        <f t="shared" ca="1" si="34"/>
        <v>1230.5927311380608</v>
      </c>
      <c r="CF95">
        <f t="shared" ca="1" si="34"/>
        <v>1006.1194624136668</v>
      </c>
      <c r="CG95">
        <f t="shared" ca="1" si="34"/>
        <v>865.06940700201312</v>
      </c>
      <c r="CH95">
        <f t="shared" ca="1" si="34"/>
        <v>1360.9643312111427</v>
      </c>
      <c r="CI95">
        <f t="shared" ca="1" si="34"/>
        <v>1170.167809026693</v>
      </c>
      <c r="CJ95">
        <f t="shared" ca="1" si="34"/>
        <v>909.73971081296975</v>
      </c>
      <c r="CK95">
        <f t="shared" ca="1" si="34"/>
        <v>1360.9643312111432</v>
      </c>
      <c r="CL95">
        <f t="shared" ca="1" si="34"/>
        <v>1006.1194624136668</v>
      </c>
      <c r="CM95">
        <f t="shared" ca="1" si="38"/>
        <v>1431.2415710013781</v>
      </c>
      <c r="CN95">
        <f t="shared" ca="1" si="38"/>
        <v>1664.6063175329091</v>
      </c>
      <c r="CO95">
        <f t="shared" ca="1" si="38"/>
        <v>1582.870334101578</v>
      </c>
      <c r="CP95">
        <f t="shared" ca="1" si="38"/>
        <v>1840.9582360980601</v>
      </c>
      <c r="CQ95">
        <f t="shared" ca="1" si="38"/>
        <v>1006.1194624136672</v>
      </c>
      <c r="CR95">
        <f t="shared" ca="1" si="38"/>
        <v>1750.5629694824095</v>
      </c>
      <c r="CS95">
        <f t="shared" ca="1" si="38"/>
        <v>865.06940700201312</v>
      </c>
      <c r="CT95">
        <f t="shared" ca="1" si="38"/>
        <v>1431.2415710013781</v>
      </c>
      <c r="CU95">
        <f t="shared" ca="1" si="38"/>
        <v>1230.5927311380608</v>
      </c>
      <c r="CV95">
        <f t="shared" ca="1" si="38"/>
        <v>1058.0732844912411</v>
      </c>
      <c r="CW95">
        <f t="shared" ca="1" si="38"/>
        <v>956.71669201467887</v>
      </c>
      <c r="CX95">
        <f t="shared" ca="1" si="38"/>
        <v>1230.5927311380608</v>
      </c>
      <c r="CY95">
        <f t="shared" ca="1" si="38"/>
        <v>743.79346279172944</v>
      </c>
    </row>
    <row r="96" spans="1:103">
      <c r="A96">
        <v>80</v>
      </c>
      <c r="B96">
        <v>80</v>
      </c>
      <c r="C96">
        <v>80</v>
      </c>
      <c r="D96">
        <f t="shared" ca="1" si="37"/>
        <v>843.56364387297219</v>
      </c>
      <c r="E96">
        <f t="shared" ca="1" si="37"/>
        <v>843.56364387297208</v>
      </c>
      <c r="F96">
        <f t="shared" ca="1" si="37"/>
        <v>981.10717245976286</v>
      </c>
      <c r="G96">
        <f t="shared" ca="1" si="37"/>
        <v>1623.2239395662305</v>
      </c>
      <c r="H96">
        <f t="shared" ca="1" si="37"/>
        <v>1543.5199256908281</v>
      </c>
      <c r="I96">
        <f t="shared" ca="1" si="37"/>
        <v>1623.2239395662305</v>
      </c>
      <c r="J96">
        <f t="shared" ca="1" si="37"/>
        <v>1985.3781341705176</v>
      </c>
      <c r="K96">
        <f t="shared" ca="1" si="37"/>
        <v>2087.8987454823687</v>
      </c>
      <c r="L96">
        <f t="shared" ca="1" si="37"/>
        <v>1707.0436954687445</v>
      </c>
      <c r="M96">
        <f t="shared" ca="1" si="37"/>
        <v>1141.0772510686097</v>
      </c>
      <c r="N96">
        <f t="shared" ca="1" si="37"/>
        <v>1141.0772510686097</v>
      </c>
      <c r="O96">
        <f t="shared" ca="1" si="37"/>
        <v>1085.0477440885795</v>
      </c>
      <c r="P96">
        <f t="shared" ca="1" si="37"/>
        <v>1141.0772510686095</v>
      </c>
      <c r="Q96">
        <f t="shared" ca="1" si="37"/>
        <v>1395.6606777721715</v>
      </c>
      <c r="R96">
        <f t="shared" ca="1" si="37"/>
        <v>1543.5199256908281</v>
      </c>
      <c r="S96">
        <f t="shared" ca="1" si="37"/>
        <v>1467.7295614807631</v>
      </c>
      <c r="T96">
        <f t="shared" ref="T96:AI111" ca="1" si="41">T95*(IF(RAND()&lt;$B$11,$B$9,$B$10))</f>
        <v>1141.0772510686093</v>
      </c>
      <c r="U96">
        <f t="shared" ca="1" si="41"/>
        <v>1543.5199256908286</v>
      </c>
      <c r="V96">
        <f t="shared" ca="1" si="41"/>
        <v>1623.2239395662305</v>
      </c>
      <c r="W96">
        <f t="shared" ca="1" si="41"/>
        <v>1623.2239395662305</v>
      </c>
      <c r="X96">
        <f t="shared" ca="1" si="41"/>
        <v>887.12343682215874</v>
      </c>
      <c r="Y96">
        <f t="shared" ca="1" si="41"/>
        <v>1327.1305413473517</v>
      </c>
      <c r="Z96">
        <f t="shared" ca="1" si="41"/>
        <v>1467.7295614807629</v>
      </c>
      <c r="AA96">
        <f t="shared" ca="1" si="41"/>
        <v>1395.6606777721711</v>
      </c>
      <c r="AB96">
        <f t="shared" ca="1" si="41"/>
        <v>1467.7295614807629</v>
      </c>
      <c r="AC96">
        <f t="shared" ca="1" si="41"/>
        <v>1467.7295614807629</v>
      </c>
      <c r="AD96">
        <f t="shared" ca="1" si="41"/>
        <v>1327.1305413473517</v>
      </c>
      <c r="AE96">
        <f t="shared" ca="1" si="41"/>
        <v>1085.0477440885791</v>
      </c>
      <c r="AF96">
        <f t="shared" ca="1" si="41"/>
        <v>1395.6606777721715</v>
      </c>
      <c r="AG96">
        <f t="shared" ca="1" si="41"/>
        <v>1543.5199256908286</v>
      </c>
      <c r="AH96">
        <f t="shared" ca="1" si="41"/>
        <v>932.93256279506875</v>
      </c>
      <c r="AI96">
        <f t="shared" ca="1" si="41"/>
        <v>887.12343682215874</v>
      </c>
      <c r="AJ96">
        <f t="shared" ca="1" si="40"/>
        <v>932.93256279506875</v>
      </c>
      <c r="AK96">
        <f t="shared" ca="1" si="40"/>
        <v>1395.6606777721711</v>
      </c>
      <c r="AL96">
        <f t="shared" ca="1" si="40"/>
        <v>1395.6606777721711</v>
      </c>
      <c r="AM96">
        <f t="shared" ca="1" si="40"/>
        <v>1261.9653916081936</v>
      </c>
      <c r="AN96">
        <f t="shared" ca="1" si="40"/>
        <v>1085.0477440885795</v>
      </c>
      <c r="AO96">
        <f t="shared" ca="1" si="40"/>
        <v>1199.9999999999991</v>
      </c>
      <c r="AP96">
        <f t="shared" ca="1" si="40"/>
        <v>1141.0772510686093</v>
      </c>
      <c r="AQ96">
        <f t="shared" ca="1" si="40"/>
        <v>1327.1305413473517</v>
      </c>
      <c r="AR96">
        <f t="shared" ca="1" si="40"/>
        <v>843.56364387297231</v>
      </c>
      <c r="AS96">
        <f t="shared" ca="1" si="40"/>
        <v>1141.0772510686097</v>
      </c>
      <c r="AT96">
        <f t="shared" ca="1" si="40"/>
        <v>1085.0477440885795</v>
      </c>
      <c r="AU96">
        <f t="shared" ca="1" si="40"/>
        <v>843.56364387297208</v>
      </c>
      <c r="AV96">
        <f t="shared" ca="1" si="40"/>
        <v>1085.0477440885793</v>
      </c>
      <c r="AW96">
        <f t="shared" ca="1" si="40"/>
        <v>1261.9653916081936</v>
      </c>
      <c r="AX96">
        <f t="shared" ca="1" si="40"/>
        <v>1467.7295614807629</v>
      </c>
      <c r="AY96">
        <f t="shared" ca="1" si="40"/>
        <v>1327.1305413473515</v>
      </c>
      <c r="AZ96">
        <f t="shared" ca="1" si="39"/>
        <v>1707.0436954687445</v>
      </c>
      <c r="BA96">
        <f t="shared" ca="1" si="39"/>
        <v>1327.1305413473517</v>
      </c>
      <c r="BB96">
        <f t="shared" ca="1" si="39"/>
        <v>1031.7694142523267</v>
      </c>
      <c r="BC96">
        <f t="shared" ca="1" si="39"/>
        <v>1141.0772510686097</v>
      </c>
      <c r="BD96">
        <f t="shared" ca="1" si="39"/>
        <v>981.10717245976286</v>
      </c>
      <c r="BE96">
        <f t="shared" ca="1" si="39"/>
        <v>1141.0772510686097</v>
      </c>
      <c r="BF96">
        <f t="shared" ca="1" si="39"/>
        <v>1085.0477440885791</v>
      </c>
      <c r="BG96">
        <f t="shared" ca="1" si="39"/>
        <v>1261.9653916081936</v>
      </c>
      <c r="BH96">
        <f t="shared" ca="1" si="36"/>
        <v>1395.6606777721711</v>
      </c>
      <c r="BI96">
        <f t="shared" ca="1" si="36"/>
        <v>1707.043695468745</v>
      </c>
      <c r="BJ96">
        <f t="shared" ca="1" si="36"/>
        <v>1085.0477440885793</v>
      </c>
      <c r="BK96">
        <f t="shared" ca="1" si="36"/>
        <v>1085.0477440885791</v>
      </c>
      <c r="BL96">
        <f t="shared" ca="1" si="36"/>
        <v>1623.2239395662302</v>
      </c>
      <c r="BM96">
        <f t="shared" ca="1" si="36"/>
        <v>1261.9653916081936</v>
      </c>
      <c r="BN96">
        <f t="shared" ca="1" si="36"/>
        <v>1085.0477440885793</v>
      </c>
      <c r="BO96">
        <f t="shared" ca="1" si="36"/>
        <v>1395.6606777721711</v>
      </c>
      <c r="BP96">
        <f t="shared" ca="1" si="36"/>
        <v>1327.1305413473517</v>
      </c>
      <c r="BQ96">
        <f t="shared" ca="1" si="36"/>
        <v>981.10717245976264</v>
      </c>
      <c r="BR96">
        <f t="shared" ca="1" si="36"/>
        <v>1085.0477440885795</v>
      </c>
      <c r="BS96">
        <f t="shared" ca="1" si="36"/>
        <v>1327.1305413473517</v>
      </c>
      <c r="BT96">
        <f t="shared" ca="1" si="36"/>
        <v>1395.6606777721711</v>
      </c>
      <c r="BU96">
        <f t="shared" ca="1" si="36"/>
        <v>802.14273654332578</v>
      </c>
      <c r="BV96">
        <f t="shared" ca="1" si="36"/>
        <v>981.10717245976275</v>
      </c>
      <c r="BW96">
        <f t="shared" ca="1" si="36"/>
        <v>1199.9999999999993</v>
      </c>
      <c r="BX96">
        <f t="shared" ref="BX96:CM111" ca="1" si="42">BX95*(IF(RAND()&lt;$B$11,$B$9,$B$10))</f>
        <v>1261.9653916081936</v>
      </c>
      <c r="BY96">
        <f t="shared" ca="1" si="42"/>
        <v>1261.9653916081936</v>
      </c>
      <c r="BZ96">
        <f t="shared" ca="1" si="42"/>
        <v>1261.9653916081936</v>
      </c>
      <c r="CA96">
        <f t="shared" ca="1" si="42"/>
        <v>1395.6606777721711</v>
      </c>
      <c r="CB96">
        <f t="shared" ca="1" si="42"/>
        <v>1141.0772510686093</v>
      </c>
      <c r="CC96">
        <f t="shared" ca="1" si="42"/>
        <v>1467.7295614807629</v>
      </c>
      <c r="CD96">
        <f t="shared" ca="1" si="42"/>
        <v>981.10717245976264</v>
      </c>
      <c r="CE96">
        <f t="shared" ca="1" si="42"/>
        <v>1261.9653916081936</v>
      </c>
      <c r="CF96">
        <f t="shared" ca="1" si="42"/>
        <v>981.10717245976264</v>
      </c>
      <c r="CG96">
        <f t="shared" ca="1" si="42"/>
        <v>843.56364387297219</v>
      </c>
      <c r="CH96">
        <f t="shared" ca="1" si="42"/>
        <v>1395.6606777721711</v>
      </c>
      <c r="CI96">
        <f t="shared" ca="1" si="42"/>
        <v>1141.0772510686097</v>
      </c>
      <c r="CJ96">
        <f t="shared" ca="1" si="42"/>
        <v>932.93256279506875</v>
      </c>
      <c r="CK96">
        <f t="shared" ca="1" si="42"/>
        <v>1395.6606777721715</v>
      </c>
      <c r="CL96">
        <f t="shared" ca="1" si="42"/>
        <v>1031.7694142523269</v>
      </c>
      <c r="CM96">
        <f t="shared" ca="1" si="38"/>
        <v>1395.6606777721711</v>
      </c>
      <c r="CN96">
        <f t="shared" ca="1" si="38"/>
        <v>1707.0436954687445</v>
      </c>
      <c r="CO96">
        <f t="shared" ca="1" si="38"/>
        <v>1623.2239395662305</v>
      </c>
      <c r="CP96">
        <f t="shared" ca="1" si="38"/>
        <v>1795.1917213704276</v>
      </c>
      <c r="CQ96">
        <f t="shared" ca="1" si="38"/>
        <v>981.10717245976286</v>
      </c>
      <c r="CR96">
        <f t="shared" ca="1" si="38"/>
        <v>1795.1917213704276</v>
      </c>
      <c r="CS96">
        <f t="shared" ca="1" si="38"/>
        <v>843.56364387297219</v>
      </c>
      <c r="CT96">
        <f t="shared" ca="1" si="38"/>
        <v>1395.6606777721711</v>
      </c>
      <c r="CU96">
        <f t="shared" ca="1" si="38"/>
        <v>1199.9999999999995</v>
      </c>
      <c r="CV96">
        <f t="shared" ca="1" si="38"/>
        <v>1031.7694142523274</v>
      </c>
      <c r="CW96">
        <f t="shared" ca="1" si="38"/>
        <v>932.93256279506875</v>
      </c>
      <c r="CX96">
        <f t="shared" ca="1" si="38"/>
        <v>1199.9999999999995</v>
      </c>
      <c r="CY96">
        <f t="shared" ca="1" si="38"/>
        <v>762.755690649592</v>
      </c>
    </row>
    <row r="97" spans="1:103">
      <c r="A97">
        <v>81</v>
      </c>
      <c r="B97">
        <v>81</v>
      </c>
      <c r="C97">
        <v>81</v>
      </c>
      <c r="D97">
        <f t="shared" ca="1" si="37"/>
        <v>865.06940700201312</v>
      </c>
      <c r="E97">
        <f t="shared" ca="1" si="37"/>
        <v>865.06940700201301</v>
      </c>
      <c r="F97">
        <f t="shared" ca="1" si="37"/>
        <v>956.7166920146791</v>
      </c>
      <c r="G97">
        <f t="shared" ca="1" si="37"/>
        <v>1664.6063175329091</v>
      </c>
      <c r="H97">
        <f t="shared" ca="1" si="37"/>
        <v>1582.870334101578</v>
      </c>
      <c r="I97">
        <f t="shared" ca="1" si="37"/>
        <v>1582.870334101578</v>
      </c>
      <c r="J97">
        <f t="shared" ca="1" si="37"/>
        <v>1936.0213177931826</v>
      </c>
      <c r="K97">
        <f t="shared" ca="1" si="37"/>
        <v>2035.9932503922375</v>
      </c>
      <c r="L97">
        <f t="shared" ca="1" si="37"/>
        <v>1750.5629694824095</v>
      </c>
      <c r="M97">
        <f t="shared" ca="1" si="37"/>
        <v>1112.7098890109644</v>
      </c>
      <c r="N97">
        <f t="shared" ca="1" si="37"/>
        <v>1170.167809026693</v>
      </c>
      <c r="O97">
        <f t="shared" ca="1" si="37"/>
        <v>1058.0732844912411</v>
      </c>
      <c r="P97">
        <f t="shared" ca="1" si="37"/>
        <v>1170.1678090266928</v>
      </c>
      <c r="Q97">
        <f t="shared" ca="1" si="37"/>
        <v>1360.9643312111432</v>
      </c>
      <c r="R97">
        <f t="shared" ca="1" si="37"/>
        <v>1582.870334101578</v>
      </c>
      <c r="S97">
        <f t="shared" ca="1" si="37"/>
        <v>1431.2415710013784</v>
      </c>
      <c r="T97">
        <f t="shared" ca="1" si="41"/>
        <v>1112.7098890109639</v>
      </c>
      <c r="U97">
        <f t="shared" ca="1" si="41"/>
        <v>1582.8703341015785</v>
      </c>
      <c r="V97">
        <f t="shared" ca="1" si="41"/>
        <v>1582.870334101578</v>
      </c>
      <c r="W97">
        <f t="shared" ca="1" si="41"/>
        <v>1582.870334101578</v>
      </c>
      <c r="X97">
        <f t="shared" ca="1" si="41"/>
        <v>909.73971081296975</v>
      </c>
      <c r="Y97">
        <f t="shared" ca="1" si="41"/>
        <v>1360.9643312111427</v>
      </c>
      <c r="Z97">
        <f t="shared" ca="1" si="41"/>
        <v>1431.2415710013781</v>
      </c>
      <c r="AA97">
        <f t="shared" ca="1" si="41"/>
        <v>1360.9643312111427</v>
      </c>
      <c r="AB97">
        <f t="shared" ca="1" si="41"/>
        <v>1505.1477746955675</v>
      </c>
      <c r="AC97">
        <f t="shared" ca="1" si="41"/>
        <v>1431.2415710013781</v>
      </c>
      <c r="AD97">
        <f t="shared" ca="1" si="41"/>
        <v>1360.9643312111427</v>
      </c>
      <c r="AE97">
        <f t="shared" ca="1" si="41"/>
        <v>1112.7098890109639</v>
      </c>
      <c r="AF97">
        <f t="shared" ca="1" si="41"/>
        <v>1431.2415710013786</v>
      </c>
      <c r="AG97">
        <f t="shared" ca="1" si="41"/>
        <v>1505.1477746955679</v>
      </c>
      <c r="AH97">
        <f t="shared" ca="1" si="41"/>
        <v>956.71669201467876</v>
      </c>
      <c r="AI97">
        <f t="shared" ca="1" si="41"/>
        <v>909.73971081296975</v>
      </c>
      <c r="AJ97">
        <f t="shared" ca="1" si="40"/>
        <v>909.73971081296975</v>
      </c>
      <c r="AK97">
        <f t="shared" ca="1" si="40"/>
        <v>1360.9643312111427</v>
      </c>
      <c r="AL97">
        <f t="shared" ca="1" si="40"/>
        <v>1360.9643312111427</v>
      </c>
      <c r="AM97">
        <f t="shared" ca="1" si="40"/>
        <v>1230.5927311380608</v>
      </c>
      <c r="AN97">
        <f t="shared" ca="1" si="40"/>
        <v>1058.0732844912411</v>
      </c>
      <c r="AO97">
        <f t="shared" ca="1" si="40"/>
        <v>1230.5927311380603</v>
      </c>
      <c r="AP97">
        <f t="shared" ca="1" si="40"/>
        <v>1170.1678090266926</v>
      </c>
      <c r="AQ97">
        <f t="shared" ca="1" si="40"/>
        <v>1294.1378648840334</v>
      </c>
      <c r="AR97">
        <f t="shared" ca="1" si="40"/>
        <v>865.06940700201324</v>
      </c>
      <c r="AS97">
        <f t="shared" ca="1" si="40"/>
        <v>1170.167809026693</v>
      </c>
      <c r="AT97">
        <f t="shared" ca="1" si="40"/>
        <v>1058.0732844912411</v>
      </c>
      <c r="AU97">
        <f t="shared" ca="1" si="40"/>
        <v>822.59251743784137</v>
      </c>
      <c r="AV97">
        <f t="shared" ca="1" si="40"/>
        <v>1058.0732844912409</v>
      </c>
      <c r="AW97">
        <f t="shared" ca="1" si="40"/>
        <v>1294.1378648840334</v>
      </c>
      <c r="AX97">
        <f t="shared" ca="1" si="40"/>
        <v>1431.2415710013781</v>
      </c>
      <c r="AY97">
        <f t="shared" ca="1" si="40"/>
        <v>1360.9643312111425</v>
      </c>
      <c r="AZ97">
        <f t="shared" ca="1" si="39"/>
        <v>1664.6063175329091</v>
      </c>
      <c r="BA97">
        <f t="shared" ca="1" si="39"/>
        <v>1360.9643312111427</v>
      </c>
      <c r="BB97">
        <f t="shared" ca="1" si="39"/>
        <v>1058.0732844912404</v>
      </c>
      <c r="BC97">
        <f t="shared" ca="1" si="39"/>
        <v>1112.7098890109644</v>
      </c>
      <c r="BD97">
        <f t="shared" ca="1" si="39"/>
        <v>1006.1194624136671</v>
      </c>
      <c r="BE97">
        <f t="shared" ca="1" si="39"/>
        <v>1170.167809026693</v>
      </c>
      <c r="BF97">
        <f t="shared" ca="1" si="39"/>
        <v>1058.0732844912407</v>
      </c>
      <c r="BG97">
        <f t="shared" ca="1" si="39"/>
        <v>1230.5927311380608</v>
      </c>
      <c r="BH97">
        <f t="shared" ca="1" si="39"/>
        <v>1431.2415710013781</v>
      </c>
      <c r="BI97">
        <f t="shared" ca="1" si="39"/>
        <v>1664.6063175329095</v>
      </c>
      <c r="BJ97">
        <f t="shared" ca="1" si="39"/>
        <v>1112.7098890109642</v>
      </c>
      <c r="BK97">
        <f t="shared" ca="1" si="39"/>
        <v>1058.0732844912407</v>
      </c>
      <c r="BL97">
        <f t="shared" ca="1" si="39"/>
        <v>1664.6063175329089</v>
      </c>
      <c r="BM97">
        <f t="shared" ca="1" si="39"/>
        <v>1294.1378648840334</v>
      </c>
      <c r="BN97">
        <f t="shared" ca="1" si="39"/>
        <v>1112.7098890109642</v>
      </c>
      <c r="BO97">
        <f t="shared" ca="1" si="39"/>
        <v>1360.9643312111427</v>
      </c>
      <c r="BP97">
        <f t="shared" ref="BP97:CE112" ca="1" si="43">BP96*(IF(RAND()&lt;$B$11,$B$9,$B$10))</f>
        <v>1294.1378648840334</v>
      </c>
      <c r="BQ97">
        <f t="shared" ca="1" si="43"/>
        <v>956.71669201467887</v>
      </c>
      <c r="BR97">
        <f t="shared" ca="1" si="43"/>
        <v>1112.7098890109644</v>
      </c>
      <c r="BS97">
        <f t="shared" ca="1" si="43"/>
        <v>1360.9643312111427</v>
      </c>
      <c r="BT97">
        <f t="shared" ca="1" si="43"/>
        <v>1431.2415710013781</v>
      </c>
      <c r="BU97">
        <f t="shared" ca="1" si="43"/>
        <v>822.59251743784137</v>
      </c>
      <c r="BV97">
        <f t="shared" ca="1" si="43"/>
        <v>1006.119462413667</v>
      </c>
      <c r="BW97">
        <f t="shared" ca="1" si="43"/>
        <v>1170.1678090266928</v>
      </c>
      <c r="BX97">
        <f t="shared" ca="1" si="42"/>
        <v>1294.1378648840334</v>
      </c>
      <c r="BY97">
        <f t="shared" ca="1" si="42"/>
        <v>1294.1378648840334</v>
      </c>
      <c r="BZ97">
        <f t="shared" ca="1" si="42"/>
        <v>1230.5927311380608</v>
      </c>
      <c r="CA97">
        <f t="shared" ca="1" si="42"/>
        <v>1360.9643312111427</v>
      </c>
      <c r="CB97">
        <f t="shared" ca="1" si="42"/>
        <v>1170.1678090266926</v>
      </c>
      <c r="CC97">
        <f t="shared" ca="1" si="42"/>
        <v>1505.1477746955675</v>
      </c>
      <c r="CD97">
        <f t="shared" ca="1" si="42"/>
        <v>1006.1194624136668</v>
      </c>
      <c r="CE97">
        <f t="shared" ca="1" si="42"/>
        <v>1230.5927311380608</v>
      </c>
      <c r="CF97">
        <f t="shared" ca="1" si="42"/>
        <v>956.71669201467887</v>
      </c>
      <c r="CG97">
        <f t="shared" ca="1" si="42"/>
        <v>865.06940700201312</v>
      </c>
      <c r="CH97">
        <f t="shared" ca="1" si="42"/>
        <v>1360.9643312111427</v>
      </c>
      <c r="CI97">
        <f t="shared" ca="1" si="42"/>
        <v>1170.167809026693</v>
      </c>
      <c r="CJ97">
        <f t="shared" ca="1" si="42"/>
        <v>909.73971081296975</v>
      </c>
      <c r="CK97">
        <f t="shared" ca="1" si="42"/>
        <v>1431.2415710013786</v>
      </c>
      <c r="CL97">
        <f t="shared" ca="1" si="42"/>
        <v>1006.1194624136668</v>
      </c>
      <c r="CM97">
        <f t="shared" ca="1" si="38"/>
        <v>1431.2415710013781</v>
      </c>
      <c r="CN97">
        <f t="shared" ca="1" si="38"/>
        <v>1664.6063175329091</v>
      </c>
      <c r="CO97">
        <f t="shared" ca="1" si="38"/>
        <v>1664.6063175329091</v>
      </c>
      <c r="CP97">
        <f t="shared" ca="1" si="38"/>
        <v>1840.9582360980601</v>
      </c>
      <c r="CQ97">
        <f t="shared" ca="1" si="38"/>
        <v>956.7166920146791</v>
      </c>
      <c r="CR97">
        <f t="shared" ca="1" si="38"/>
        <v>1750.5629694824095</v>
      </c>
      <c r="CS97">
        <f t="shared" ca="1" si="38"/>
        <v>822.59251743784137</v>
      </c>
      <c r="CT97">
        <f t="shared" ca="1" si="38"/>
        <v>1360.9643312111427</v>
      </c>
      <c r="CU97">
        <f t="shared" ca="1" si="38"/>
        <v>1170.167809026693</v>
      </c>
      <c r="CV97">
        <f t="shared" ca="1" si="38"/>
        <v>1006.1194624136672</v>
      </c>
      <c r="CW97">
        <f t="shared" ca="1" si="38"/>
        <v>956.71669201467876</v>
      </c>
      <c r="CX97">
        <f t="shared" ca="1" si="38"/>
        <v>1170.167809026693</v>
      </c>
      <c r="CY97">
        <f t="shared" ca="1" si="38"/>
        <v>782.20134045631642</v>
      </c>
    </row>
    <row r="98" spans="1:103">
      <c r="A98">
        <v>82</v>
      </c>
      <c r="B98">
        <v>82</v>
      </c>
      <c r="C98">
        <v>82</v>
      </c>
      <c r="D98">
        <f t="shared" ref="D98:S113" ca="1" si="44">D97*(IF(RAND()&lt;$B$11,$B$9,$B$10))</f>
        <v>843.56364387297219</v>
      </c>
      <c r="E98">
        <f t="shared" ca="1" si="44"/>
        <v>887.12343682215862</v>
      </c>
      <c r="F98">
        <f t="shared" ca="1" si="44"/>
        <v>932.93256279506897</v>
      </c>
      <c r="G98">
        <f t="shared" ca="1" si="44"/>
        <v>1623.2239395662305</v>
      </c>
      <c r="H98">
        <f t="shared" ca="1" si="44"/>
        <v>1623.2239395662305</v>
      </c>
      <c r="I98">
        <f t="shared" ca="1" si="44"/>
        <v>1543.5199256908281</v>
      </c>
      <c r="J98">
        <f t="shared" ca="1" si="44"/>
        <v>1887.89151972585</v>
      </c>
      <c r="K98">
        <f t="shared" ca="1" si="44"/>
        <v>2087.8987454823687</v>
      </c>
      <c r="L98">
        <f t="shared" ca="1" si="44"/>
        <v>1795.1917213704276</v>
      </c>
      <c r="M98">
        <f t="shared" ca="1" si="44"/>
        <v>1085.0477440885795</v>
      </c>
      <c r="N98">
        <f t="shared" ca="1" si="44"/>
        <v>1199.9999999999995</v>
      </c>
      <c r="O98">
        <f t="shared" ca="1" si="44"/>
        <v>1085.0477440885795</v>
      </c>
      <c r="P98">
        <f t="shared" ca="1" si="44"/>
        <v>1141.0772510686095</v>
      </c>
      <c r="Q98">
        <f t="shared" ca="1" si="44"/>
        <v>1327.1305413473522</v>
      </c>
      <c r="R98">
        <f t="shared" ca="1" si="44"/>
        <v>1543.5199256908281</v>
      </c>
      <c r="S98">
        <f t="shared" ca="1" si="44"/>
        <v>1467.7295614807631</v>
      </c>
      <c r="T98">
        <f t="shared" ca="1" si="41"/>
        <v>1141.0772510686093</v>
      </c>
      <c r="U98">
        <f t="shared" ca="1" si="41"/>
        <v>1543.5199256908286</v>
      </c>
      <c r="V98">
        <f t="shared" ca="1" si="41"/>
        <v>1623.2239395662305</v>
      </c>
      <c r="W98">
        <f t="shared" ca="1" si="41"/>
        <v>1623.2239395662305</v>
      </c>
      <c r="X98">
        <f t="shared" ca="1" si="41"/>
        <v>887.12343682215874</v>
      </c>
      <c r="Y98">
        <f t="shared" ca="1" si="41"/>
        <v>1395.6606777721711</v>
      </c>
      <c r="Z98">
        <f t="shared" ca="1" si="41"/>
        <v>1467.7295614807629</v>
      </c>
      <c r="AA98">
        <f t="shared" ca="1" si="41"/>
        <v>1395.6606777721711</v>
      </c>
      <c r="AB98">
        <f t="shared" ca="1" si="41"/>
        <v>1467.7295614807629</v>
      </c>
      <c r="AC98">
        <f t="shared" ca="1" si="41"/>
        <v>1467.7295614807629</v>
      </c>
      <c r="AD98">
        <f t="shared" ca="1" si="41"/>
        <v>1395.6606777721711</v>
      </c>
      <c r="AE98">
        <f t="shared" ca="1" si="41"/>
        <v>1141.0772510686093</v>
      </c>
      <c r="AF98">
        <f t="shared" ca="1" si="41"/>
        <v>1467.7295614807633</v>
      </c>
      <c r="AG98">
        <f t="shared" ca="1" si="41"/>
        <v>1543.5199256908286</v>
      </c>
      <c r="AH98">
        <f t="shared" ca="1" si="41"/>
        <v>981.10717245976252</v>
      </c>
      <c r="AI98">
        <f t="shared" ca="1" si="41"/>
        <v>932.93256279506875</v>
      </c>
      <c r="AJ98">
        <f t="shared" ca="1" si="40"/>
        <v>932.93256279506875</v>
      </c>
      <c r="AK98">
        <f t="shared" ca="1" si="40"/>
        <v>1327.1305413473517</v>
      </c>
      <c r="AL98">
        <f t="shared" ca="1" si="40"/>
        <v>1327.1305413473517</v>
      </c>
      <c r="AM98">
        <f t="shared" ca="1" si="40"/>
        <v>1261.9653916081936</v>
      </c>
      <c r="AN98">
        <f t="shared" ca="1" si="40"/>
        <v>1031.7694142523274</v>
      </c>
      <c r="AO98">
        <f t="shared" ca="1" si="40"/>
        <v>1261.9653916081932</v>
      </c>
      <c r="AP98">
        <f t="shared" ca="1" si="40"/>
        <v>1199.9999999999991</v>
      </c>
      <c r="AQ98">
        <f t="shared" ca="1" si="40"/>
        <v>1261.9653916081936</v>
      </c>
      <c r="AR98">
        <f t="shared" ca="1" si="40"/>
        <v>843.56364387297231</v>
      </c>
      <c r="AS98">
        <f t="shared" ca="1" si="40"/>
        <v>1199.9999999999995</v>
      </c>
      <c r="AT98">
        <f t="shared" ca="1" si="40"/>
        <v>1031.7694142523274</v>
      </c>
      <c r="AU98">
        <f t="shared" ca="1" si="40"/>
        <v>802.14273654332578</v>
      </c>
      <c r="AV98">
        <f t="shared" ca="1" si="40"/>
        <v>1085.0477440885793</v>
      </c>
      <c r="AW98">
        <f t="shared" ca="1" si="40"/>
        <v>1327.1305413473517</v>
      </c>
      <c r="AX98">
        <f t="shared" ca="1" si="40"/>
        <v>1467.7295614807629</v>
      </c>
      <c r="AY98">
        <f t="shared" ca="1" si="40"/>
        <v>1327.1305413473515</v>
      </c>
      <c r="AZ98">
        <f t="shared" ca="1" si="39"/>
        <v>1707.0436954687445</v>
      </c>
      <c r="BA98">
        <f t="shared" ca="1" si="39"/>
        <v>1395.6606777721711</v>
      </c>
      <c r="BB98">
        <f t="shared" ca="1" si="39"/>
        <v>1085.0477440885788</v>
      </c>
      <c r="BC98">
        <f t="shared" ca="1" si="39"/>
        <v>1141.0772510686097</v>
      </c>
      <c r="BD98">
        <f t="shared" ca="1" si="39"/>
        <v>981.10717245976275</v>
      </c>
      <c r="BE98">
        <f t="shared" ca="1" si="39"/>
        <v>1199.9999999999995</v>
      </c>
      <c r="BF98">
        <f t="shared" ca="1" si="39"/>
        <v>1031.7694142523269</v>
      </c>
      <c r="BG98">
        <f t="shared" ca="1" si="39"/>
        <v>1261.9653916081936</v>
      </c>
      <c r="BH98">
        <f t="shared" ca="1" si="39"/>
        <v>1467.7295614807629</v>
      </c>
      <c r="BI98">
        <f t="shared" ca="1" si="39"/>
        <v>1707.043695468745</v>
      </c>
      <c r="BJ98">
        <f t="shared" ca="1" si="39"/>
        <v>1141.0772510686095</v>
      </c>
      <c r="BK98">
        <f t="shared" ca="1" si="39"/>
        <v>1031.7694142523269</v>
      </c>
      <c r="BL98">
        <f t="shared" ca="1" si="39"/>
        <v>1707.0436954687443</v>
      </c>
      <c r="BM98">
        <f t="shared" ca="1" si="39"/>
        <v>1261.9653916081936</v>
      </c>
      <c r="BN98">
        <f t="shared" ca="1" si="39"/>
        <v>1085.0477440885793</v>
      </c>
      <c r="BO98">
        <f t="shared" ca="1" si="39"/>
        <v>1327.1305413473517</v>
      </c>
      <c r="BP98">
        <f t="shared" ca="1" si="43"/>
        <v>1327.1305413473517</v>
      </c>
      <c r="BQ98">
        <f t="shared" ca="1" si="43"/>
        <v>981.10717245976264</v>
      </c>
      <c r="BR98">
        <f t="shared" ca="1" si="43"/>
        <v>1085.0477440885795</v>
      </c>
      <c r="BS98">
        <f t="shared" ca="1" si="43"/>
        <v>1395.6606777721711</v>
      </c>
      <c r="BT98">
        <f t="shared" ca="1" si="43"/>
        <v>1467.7295614807629</v>
      </c>
      <c r="BU98">
        <f t="shared" ca="1" si="43"/>
        <v>802.14273654332578</v>
      </c>
      <c r="BV98">
        <f t="shared" ca="1" si="43"/>
        <v>981.10717245976264</v>
      </c>
      <c r="BW98">
        <f t="shared" ca="1" si="43"/>
        <v>1141.0772510686095</v>
      </c>
      <c r="BX98">
        <f t="shared" ca="1" si="42"/>
        <v>1327.1305413473517</v>
      </c>
      <c r="BY98">
        <f t="shared" ca="1" si="42"/>
        <v>1327.1305413473517</v>
      </c>
      <c r="BZ98">
        <f t="shared" ca="1" si="42"/>
        <v>1261.9653916081936</v>
      </c>
      <c r="CA98">
        <f t="shared" ca="1" si="42"/>
        <v>1327.1305413473517</v>
      </c>
      <c r="CB98">
        <f t="shared" ca="1" si="42"/>
        <v>1141.0772510686093</v>
      </c>
      <c r="CC98">
        <f t="shared" ca="1" si="42"/>
        <v>1467.7295614807629</v>
      </c>
      <c r="CD98">
        <f t="shared" ca="1" si="42"/>
        <v>1031.7694142523269</v>
      </c>
      <c r="CE98">
        <f t="shared" ca="1" si="42"/>
        <v>1261.9653916081936</v>
      </c>
      <c r="CF98">
        <f t="shared" ca="1" si="42"/>
        <v>981.10717245976264</v>
      </c>
      <c r="CG98">
        <f t="shared" ca="1" si="42"/>
        <v>843.56364387297219</v>
      </c>
      <c r="CH98">
        <f t="shared" ca="1" si="42"/>
        <v>1395.6606777721711</v>
      </c>
      <c r="CI98">
        <f t="shared" ca="1" si="42"/>
        <v>1141.0772510686097</v>
      </c>
      <c r="CJ98">
        <f t="shared" ca="1" si="42"/>
        <v>887.12343682215874</v>
      </c>
      <c r="CK98">
        <f t="shared" ca="1" si="42"/>
        <v>1395.6606777721715</v>
      </c>
      <c r="CL98">
        <f t="shared" ca="1" si="42"/>
        <v>1031.7694142523269</v>
      </c>
      <c r="CM98">
        <f t="shared" ca="1" si="38"/>
        <v>1395.6606777721711</v>
      </c>
      <c r="CN98">
        <f t="shared" ca="1" si="38"/>
        <v>1707.0436954687445</v>
      </c>
      <c r="CO98">
        <f t="shared" ca="1" si="38"/>
        <v>1707.0436954687445</v>
      </c>
      <c r="CP98">
        <f t="shared" ca="1" si="38"/>
        <v>1795.1917213704276</v>
      </c>
      <c r="CQ98">
        <f t="shared" ca="1" si="38"/>
        <v>981.10717245976286</v>
      </c>
      <c r="CR98">
        <f t="shared" ca="1" si="38"/>
        <v>1707.0436954687445</v>
      </c>
      <c r="CS98">
        <f t="shared" ca="1" si="38"/>
        <v>843.56364387297208</v>
      </c>
      <c r="CT98">
        <f t="shared" ca="1" si="38"/>
        <v>1395.6606777721711</v>
      </c>
      <c r="CU98">
        <f t="shared" ca="1" si="38"/>
        <v>1141.0772510686097</v>
      </c>
      <c r="CV98">
        <f t="shared" ca="1" si="38"/>
        <v>981.10717245976286</v>
      </c>
      <c r="CW98">
        <f t="shared" ca="1" si="38"/>
        <v>981.10717245976252</v>
      </c>
      <c r="CX98">
        <f t="shared" ca="1" si="38"/>
        <v>1141.0772510686097</v>
      </c>
      <c r="CY98">
        <f t="shared" ca="1" si="38"/>
        <v>762.755690649592</v>
      </c>
    </row>
    <row r="99" spans="1:103">
      <c r="A99">
        <v>83</v>
      </c>
      <c r="B99">
        <v>83</v>
      </c>
      <c r="C99">
        <v>83</v>
      </c>
      <c r="D99">
        <f t="shared" ca="1" si="44"/>
        <v>865.06940700201312</v>
      </c>
      <c r="E99">
        <f t="shared" ca="1" si="44"/>
        <v>909.73971081296963</v>
      </c>
      <c r="F99">
        <f t="shared" ca="1" si="44"/>
        <v>909.73971081296986</v>
      </c>
      <c r="G99">
        <f t="shared" ca="1" si="44"/>
        <v>1582.870334101578</v>
      </c>
      <c r="H99">
        <f t="shared" ca="1" si="44"/>
        <v>1582.870334101578</v>
      </c>
      <c r="I99">
        <f t="shared" ca="1" si="44"/>
        <v>1582.870334101578</v>
      </c>
      <c r="J99">
        <f t="shared" ca="1" si="44"/>
        <v>1936.0213177931826</v>
      </c>
      <c r="K99">
        <f t="shared" ca="1" si="44"/>
        <v>2141.1275162857332</v>
      </c>
      <c r="L99">
        <f t="shared" ca="1" si="44"/>
        <v>1750.5629694824095</v>
      </c>
      <c r="M99">
        <f t="shared" ca="1" si="44"/>
        <v>1112.7098890109644</v>
      </c>
      <c r="N99">
        <f t="shared" ca="1" si="44"/>
        <v>1230.5927311380608</v>
      </c>
      <c r="O99">
        <f t="shared" ca="1" si="44"/>
        <v>1058.0732844912411</v>
      </c>
      <c r="P99">
        <f t="shared" ca="1" si="44"/>
        <v>1112.7098890109642</v>
      </c>
      <c r="Q99">
        <f t="shared" ca="1" si="44"/>
        <v>1294.1378648840339</v>
      </c>
      <c r="R99">
        <f t="shared" ca="1" si="44"/>
        <v>1505.1477746955675</v>
      </c>
      <c r="S99">
        <f t="shared" ca="1" si="44"/>
        <v>1431.2415710013784</v>
      </c>
      <c r="T99">
        <f t="shared" ca="1" si="41"/>
        <v>1170.1678090266926</v>
      </c>
      <c r="U99">
        <f t="shared" ca="1" si="41"/>
        <v>1505.1477746955679</v>
      </c>
      <c r="V99">
        <f t="shared" ca="1" si="41"/>
        <v>1664.6063175329091</v>
      </c>
      <c r="W99">
        <f t="shared" ca="1" si="41"/>
        <v>1664.6063175329091</v>
      </c>
      <c r="X99">
        <f t="shared" ca="1" si="41"/>
        <v>909.73971081296975</v>
      </c>
      <c r="Y99">
        <f t="shared" ca="1" si="41"/>
        <v>1431.2415710013781</v>
      </c>
      <c r="Z99">
        <f t="shared" ca="1" si="41"/>
        <v>1431.2415710013781</v>
      </c>
      <c r="AA99">
        <f t="shared" ca="1" si="41"/>
        <v>1360.9643312111427</v>
      </c>
      <c r="AB99">
        <f t="shared" ca="1" si="41"/>
        <v>1431.2415710013781</v>
      </c>
      <c r="AC99">
        <f t="shared" ca="1" si="41"/>
        <v>1505.1477746955675</v>
      </c>
      <c r="AD99">
        <f t="shared" ca="1" si="41"/>
        <v>1360.9643312111427</v>
      </c>
      <c r="AE99">
        <f t="shared" ca="1" si="41"/>
        <v>1170.1678090266926</v>
      </c>
      <c r="AF99">
        <f t="shared" ca="1" si="41"/>
        <v>1431.2415710013786</v>
      </c>
      <c r="AG99">
        <f t="shared" ca="1" si="41"/>
        <v>1582.8703341015785</v>
      </c>
      <c r="AH99">
        <f t="shared" ca="1" si="41"/>
        <v>956.71669201467876</v>
      </c>
      <c r="AI99">
        <f t="shared" ca="1" si="41"/>
        <v>956.71669201467876</v>
      </c>
      <c r="AJ99">
        <f t="shared" ca="1" si="40"/>
        <v>909.73971081296975</v>
      </c>
      <c r="AK99">
        <f t="shared" ca="1" si="40"/>
        <v>1294.1378648840334</v>
      </c>
      <c r="AL99">
        <f t="shared" ca="1" si="40"/>
        <v>1360.9643312111427</v>
      </c>
      <c r="AM99">
        <f t="shared" ca="1" si="40"/>
        <v>1230.5927311380608</v>
      </c>
      <c r="AN99">
        <f t="shared" ca="1" si="40"/>
        <v>1006.1194624136672</v>
      </c>
      <c r="AO99">
        <f t="shared" ca="1" si="40"/>
        <v>1230.5927311380603</v>
      </c>
      <c r="AP99">
        <f t="shared" ca="1" si="40"/>
        <v>1170.1678090266926</v>
      </c>
      <c r="AQ99">
        <f t="shared" ca="1" si="40"/>
        <v>1294.1378648840334</v>
      </c>
      <c r="AR99">
        <f t="shared" ca="1" si="40"/>
        <v>865.06940700201324</v>
      </c>
      <c r="AS99">
        <f t="shared" ca="1" si="40"/>
        <v>1230.5927311380608</v>
      </c>
      <c r="AT99">
        <f t="shared" ca="1" si="40"/>
        <v>1058.0732844912411</v>
      </c>
      <c r="AU99">
        <f t="shared" ca="1" si="40"/>
        <v>782.20134045631642</v>
      </c>
      <c r="AV99">
        <f t="shared" ca="1" si="40"/>
        <v>1112.7098890109642</v>
      </c>
      <c r="AW99">
        <f t="shared" ca="1" si="40"/>
        <v>1294.1378648840334</v>
      </c>
      <c r="AX99">
        <f t="shared" ca="1" si="40"/>
        <v>1505.1477746955675</v>
      </c>
      <c r="AY99">
        <f t="shared" ca="1" si="40"/>
        <v>1294.1378648840332</v>
      </c>
      <c r="AZ99">
        <f t="shared" ca="1" si="39"/>
        <v>1750.5629694824095</v>
      </c>
      <c r="BA99">
        <f t="shared" ca="1" si="39"/>
        <v>1431.2415710013781</v>
      </c>
      <c r="BB99">
        <f t="shared" ca="1" si="39"/>
        <v>1058.0732844912404</v>
      </c>
      <c r="BC99">
        <f t="shared" ca="1" si="39"/>
        <v>1170.167809026693</v>
      </c>
      <c r="BD99">
        <f t="shared" ca="1" si="39"/>
        <v>1006.119462413667</v>
      </c>
      <c r="BE99">
        <f t="shared" ca="1" si="39"/>
        <v>1170.167809026693</v>
      </c>
      <c r="BF99">
        <f t="shared" ca="1" si="39"/>
        <v>1058.0732844912407</v>
      </c>
      <c r="BG99">
        <f t="shared" ca="1" si="39"/>
        <v>1294.1378648840334</v>
      </c>
      <c r="BH99">
        <f t="shared" ca="1" si="39"/>
        <v>1505.1477746955675</v>
      </c>
      <c r="BI99">
        <f t="shared" ca="1" si="39"/>
        <v>1750.5629694824099</v>
      </c>
      <c r="BJ99">
        <f t="shared" ca="1" si="39"/>
        <v>1170.1678090266928</v>
      </c>
      <c r="BK99">
        <f t="shared" ca="1" si="39"/>
        <v>1058.0732844912407</v>
      </c>
      <c r="BL99">
        <f t="shared" ca="1" si="39"/>
        <v>1664.6063175329089</v>
      </c>
      <c r="BM99">
        <f t="shared" ca="1" si="39"/>
        <v>1230.5927311380608</v>
      </c>
      <c r="BN99">
        <f t="shared" ca="1" si="39"/>
        <v>1058.0732844912409</v>
      </c>
      <c r="BO99">
        <f t="shared" ca="1" si="39"/>
        <v>1294.1378648840334</v>
      </c>
      <c r="BP99">
        <f t="shared" ca="1" si="43"/>
        <v>1360.9643312111427</v>
      </c>
      <c r="BQ99">
        <f t="shared" ca="1" si="43"/>
        <v>956.71669201467887</v>
      </c>
      <c r="BR99">
        <f t="shared" ca="1" si="43"/>
        <v>1112.7098890109644</v>
      </c>
      <c r="BS99">
        <f t="shared" ca="1" si="43"/>
        <v>1360.9643312111427</v>
      </c>
      <c r="BT99">
        <f t="shared" ca="1" si="43"/>
        <v>1431.2415710013781</v>
      </c>
      <c r="BU99">
        <f t="shared" ca="1" si="43"/>
        <v>822.59251743784137</v>
      </c>
      <c r="BV99">
        <f t="shared" ca="1" si="43"/>
        <v>956.71669201467887</v>
      </c>
      <c r="BW99">
        <f t="shared" ca="1" si="43"/>
        <v>1170.1678090266928</v>
      </c>
      <c r="BX99">
        <f t="shared" ca="1" si="42"/>
        <v>1294.1378648840334</v>
      </c>
      <c r="BY99">
        <f t="shared" ca="1" si="42"/>
        <v>1360.9643312111427</v>
      </c>
      <c r="BZ99">
        <f t="shared" ca="1" si="42"/>
        <v>1294.1378648840334</v>
      </c>
      <c r="CA99">
        <f t="shared" ca="1" si="42"/>
        <v>1360.9643312111427</v>
      </c>
      <c r="CB99">
        <f t="shared" ca="1" si="42"/>
        <v>1170.1678090266926</v>
      </c>
      <c r="CC99">
        <f t="shared" ca="1" si="42"/>
        <v>1505.1477746955675</v>
      </c>
      <c r="CD99">
        <f t="shared" ca="1" si="42"/>
        <v>1058.0732844912407</v>
      </c>
      <c r="CE99">
        <f t="shared" ca="1" si="42"/>
        <v>1230.5927311380608</v>
      </c>
      <c r="CF99">
        <f t="shared" ca="1" si="42"/>
        <v>1006.1194624136668</v>
      </c>
      <c r="CG99">
        <f t="shared" ca="1" si="42"/>
        <v>822.59251743784137</v>
      </c>
      <c r="CH99">
        <f t="shared" ca="1" si="42"/>
        <v>1360.9643312111427</v>
      </c>
      <c r="CI99">
        <f t="shared" ca="1" si="42"/>
        <v>1112.7098890109644</v>
      </c>
      <c r="CJ99">
        <f t="shared" ca="1" si="42"/>
        <v>865.06940700201312</v>
      </c>
      <c r="CK99">
        <f t="shared" ca="1" si="42"/>
        <v>1360.9643312111432</v>
      </c>
      <c r="CL99">
        <f t="shared" ca="1" si="42"/>
        <v>1006.1194624136668</v>
      </c>
      <c r="CM99">
        <f t="shared" ca="1" si="42"/>
        <v>1360.9643312111427</v>
      </c>
      <c r="CN99">
        <f t="shared" ref="CN99:CY114" ca="1" si="45">CN98*(IF(RAND()&lt;$B$11,$B$9,$B$10))</f>
        <v>1750.5629694824095</v>
      </c>
      <c r="CO99">
        <f t="shared" ca="1" si="45"/>
        <v>1664.6063175329091</v>
      </c>
      <c r="CP99">
        <f t="shared" ca="1" si="45"/>
        <v>1840.9582360980601</v>
      </c>
      <c r="CQ99">
        <f t="shared" ca="1" si="45"/>
        <v>1006.1194624136671</v>
      </c>
      <c r="CR99">
        <f t="shared" ca="1" si="45"/>
        <v>1664.6063175329091</v>
      </c>
      <c r="CS99">
        <f t="shared" ca="1" si="45"/>
        <v>822.59251743784137</v>
      </c>
      <c r="CT99">
        <f t="shared" ca="1" si="45"/>
        <v>1431.2415710013781</v>
      </c>
      <c r="CU99">
        <f t="shared" ca="1" si="45"/>
        <v>1170.167809026693</v>
      </c>
      <c r="CV99">
        <f t="shared" ca="1" si="45"/>
        <v>1006.1194624136671</v>
      </c>
      <c r="CW99">
        <f t="shared" ca="1" si="45"/>
        <v>1006.1194624136667</v>
      </c>
      <c r="CX99">
        <f t="shared" ca="1" si="45"/>
        <v>1112.7098890109644</v>
      </c>
      <c r="CY99">
        <f t="shared" ca="1" si="45"/>
        <v>782.20134045631642</v>
      </c>
    </row>
    <row r="100" spans="1:103">
      <c r="A100">
        <v>84</v>
      </c>
      <c r="B100">
        <v>84</v>
      </c>
      <c r="C100">
        <v>84</v>
      </c>
      <c r="D100">
        <f t="shared" ca="1" si="44"/>
        <v>887.12343682215874</v>
      </c>
      <c r="E100">
        <f t="shared" ca="1" si="44"/>
        <v>887.12343682215862</v>
      </c>
      <c r="F100">
        <f t="shared" ca="1" si="44"/>
        <v>887.12343682215885</v>
      </c>
      <c r="G100">
        <f t="shared" ca="1" si="44"/>
        <v>1543.5199256908281</v>
      </c>
      <c r="H100">
        <f t="shared" ca="1" si="44"/>
        <v>1543.5199256908281</v>
      </c>
      <c r="I100">
        <f t="shared" ca="1" si="44"/>
        <v>1543.5199256908281</v>
      </c>
      <c r="J100">
        <f t="shared" ca="1" si="44"/>
        <v>1887.89151972585</v>
      </c>
      <c r="K100">
        <f t="shared" ca="1" si="44"/>
        <v>2087.8987454823687</v>
      </c>
      <c r="L100">
        <f t="shared" ca="1" si="44"/>
        <v>1795.1917213704276</v>
      </c>
      <c r="M100">
        <f t="shared" ca="1" si="44"/>
        <v>1085.0477440885795</v>
      </c>
      <c r="N100">
        <f t="shared" ca="1" si="44"/>
        <v>1199.9999999999995</v>
      </c>
      <c r="O100">
        <f t="shared" ca="1" si="44"/>
        <v>1085.0477440885795</v>
      </c>
      <c r="P100">
        <f t="shared" ca="1" si="44"/>
        <v>1085.0477440885793</v>
      </c>
      <c r="Q100">
        <f t="shared" ca="1" si="44"/>
        <v>1261.9653916081941</v>
      </c>
      <c r="R100">
        <f t="shared" ca="1" si="44"/>
        <v>1543.5199256908281</v>
      </c>
      <c r="S100">
        <f t="shared" ca="1" si="44"/>
        <v>1395.6606777721713</v>
      </c>
      <c r="T100">
        <f t="shared" ca="1" si="41"/>
        <v>1199.9999999999991</v>
      </c>
      <c r="U100">
        <f t="shared" ca="1" si="41"/>
        <v>1467.7295614807631</v>
      </c>
      <c r="V100">
        <f t="shared" ca="1" si="41"/>
        <v>1623.2239395662305</v>
      </c>
      <c r="W100">
        <f t="shared" ca="1" si="41"/>
        <v>1707.0436954687445</v>
      </c>
      <c r="X100">
        <f t="shared" ca="1" si="41"/>
        <v>887.12343682215874</v>
      </c>
      <c r="Y100">
        <f t="shared" ca="1" si="41"/>
        <v>1467.7295614807629</v>
      </c>
      <c r="Z100">
        <f t="shared" ca="1" si="41"/>
        <v>1395.6606777721711</v>
      </c>
      <c r="AA100">
        <f t="shared" ca="1" si="41"/>
        <v>1327.1305413473517</v>
      </c>
      <c r="AB100">
        <f t="shared" ca="1" si="41"/>
        <v>1395.6606777721711</v>
      </c>
      <c r="AC100">
        <f t="shared" ca="1" si="41"/>
        <v>1543.5199256908281</v>
      </c>
      <c r="AD100">
        <f t="shared" ca="1" si="41"/>
        <v>1395.6606777721711</v>
      </c>
      <c r="AE100">
        <f t="shared" ca="1" si="41"/>
        <v>1199.9999999999991</v>
      </c>
      <c r="AF100">
        <f t="shared" ca="1" si="41"/>
        <v>1467.7295614807633</v>
      </c>
      <c r="AG100">
        <f t="shared" ca="1" si="41"/>
        <v>1623.2239395662309</v>
      </c>
      <c r="AH100">
        <f t="shared" ca="1" si="41"/>
        <v>981.10717245976252</v>
      </c>
      <c r="AI100">
        <f t="shared" ca="1" si="41"/>
        <v>932.93256279506875</v>
      </c>
      <c r="AJ100">
        <f t="shared" ca="1" si="40"/>
        <v>932.93256279506875</v>
      </c>
      <c r="AK100">
        <f t="shared" ca="1" si="40"/>
        <v>1261.9653916081936</v>
      </c>
      <c r="AL100">
        <f t="shared" ca="1" si="40"/>
        <v>1395.6606777721711</v>
      </c>
      <c r="AM100">
        <f t="shared" ca="1" si="40"/>
        <v>1261.9653916081936</v>
      </c>
      <c r="AN100">
        <f t="shared" ca="1" si="40"/>
        <v>981.10717245976286</v>
      </c>
      <c r="AO100">
        <f t="shared" ca="1" si="40"/>
        <v>1261.9653916081932</v>
      </c>
      <c r="AP100">
        <f t="shared" ca="1" si="40"/>
        <v>1199.9999999999991</v>
      </c>
      <c r="AQ100">
        <f t="shared" ca="1" si="40"/>
        <v>1327.1305413473517</v>
      </c>
      <c r="AR100">
        <f t="shared" ca="1" si="40"/>
        <v>843.56364387297231</v>
      </c>
      <c r="AS100">
        <f t="shared" ca="1" si="40"/>
        <v>1199.9999999999995</v>
      </c>
      <c r="AT100">
        <f t="shared" ca="1" si="40"/>
        <v>1031.7694142523274</v>
      </c>
      <c r="AU100">
        <f t="shared" ca="1" si="40"/>
        <v>762.755690649592</v>
      </c>
      <c r="AV100">
        <f t="shared" ca="1" si="40"/>
        <v>1141.0772510686095</v>
      </c>
      <c r="AW100">
        <f t="shared" ca="1" si="40"/>
        <v>1327.1305413473517</v>
      </c>
      <c r="AX100">
        <f t="shared" ca="1" si="40"/>
        <v>1467.7295614807629</v>
      </c>
      <c r="AY100">
        <f t="shared" ca="1" si="40"/>
        <v>1327.1305413473515</v>
      </c>
      <c r="AZ100">
        <f t="shared" ca="1" si="39"/>
        <v>1707.0436954687445</v>
      </c>
      <c r="BA100">
        <f t="shared" ca="1" si="39"/>
        <v>1395.6606777721711</v>
      </c>
      <c r="BB100">
        <f t="shared" ca="1" si="39"/>
        <v>1085.0477440885788</v>
      </c>
      <c r="BC100">
        <f t="shared" ca="1" si="39"/>
        <v>1199.9999999999995</v>
      </c>
      <c r="BD100">
        <f t="shared" ca="1" si="39"/>
        <v>1031.7694142523271</v>
      </c>
      <c r="BE100">
        <f t="shared" ca="1" si="39"/>
        <v>1199.9999999999995</v>
      </c>
      <c r="BF100">
        <f t="shared" ca="1" si="39"/>
        <v>1085.0477440885791</v>
      </c>
      <c r="BG100">
        <f t="shared" ca="1" si="39"/>
        <v>1261.9653916081936</v>
      </c>
      <c r="BH100">
        <f t="shared" ca="1" si="39"/>
        <v>1543.5199256908281</v>
      </c>
      <c r="BI100">
        <f t="shared" ca="1" si="39"/>
        <v>1795.191721370428</v>
      </c>
      <c r="BJ100">
        <f t="shared" ca="1" si="39"/>
        <v>1141.0772510686095</v>
      </c>
      <c r="BK100">
        <f t="shared" ca="1" si="39"/>
        <v>1031.7694142523269</v>
      </c>
      <c r="BL100">
        <f t="shared" ca="1" si="39"/>
        <v>1707.0436954687443</v>
      </c>
      <c r="BM100">
        <f t="shared" ca="1" si="39"/>
        <v>1261.9653916081936</v>
      </c>
      <c r="BN100">
        <f t="shared" ca="1" si="39"/>
        <v>1085.0477440885793</v>
      </c>
      <c r="BO100">
        <f t="shared" ca="1" si="39"/>
        <v>1261.9653916081936</v>
      </c>
      <c r="BP100">
        <f t="shared" ca="1" si="43"/>
        <v>1327.1305413473517</v>
      </c>
      <c r="BQ100">
        <f t="shared" ca="1" si="43"/>
        <v>981.10717245976264</v>
      </c>
      <c r="BR100">
        <f t="shared" ca="1" si="43"/>
        <v>1141.0772510686097</v>
      </c>
      <c r="BS100">
        <f t="shared" ca="1" si="43"/>
        <v>1395.6606777721711</v>
      </c>
      <c r="BT100">
        <f t="shared" ca="1" si="43"/>
        <v>1467.7295614807629</v>
      </c>
      <c r="BU100">
        <f t="shared" ca="1" si="43"/>
        <v>843.56364387297208</v>
      </c>
      <c r="BV100">
        <f t="shared" ca="1" si="43"/>
        <v>981.10717245976264</v>
      </c>
      <c r="BW100">
        <f t="shared" ca="1" si="43"/>
        <v>1199.9999999999993</v>
      </c>
      <c r="BX100">
        <f t="shared" ca="1" si="42"/>
        <v>1261.9653916081936</v>
      </c>
      <c r="BY100">
        <f t="shared" ca="1" si="42"/>
        <v>1395.6606777721711</v>
      </c>
      <c r="BZ100">
        <f t="shared" ca="1" si="42"/>
        <v>1261.9653916081936</v>
      </c>
      <c r="CA100">
        <f t="shared" ca="1" si="42"/>
        <v>1327.1305413473517</v>
      </c>
      <c r="CB100">
        <f t="shared" ca="1" si="42"/>
        <v>1199.9999999999991</v>
      </c>
      <c r="CC100">
        <f t="shared" ca="1" si="42"/>
        <v>1543.5199256908281</v>
      </c>
      <c r="CD100">
        <f t="shared" ca="1" si="42"/>
        <v>1085.0477440885791</v>
      </c>
      <c r="CE100">
        <f t="shared" ca="1" si="42"/>
        <v>1199.9999999999995</v>
      </c>
      <c r="CF100">
        <f t="shared" ca="1" si="42"/>
        <v>1031.7694142523269</v>
      </c>
      <c r="CG100">
        <f t="shared" ca="1" si="42"/>
        <v>843.56364387297208</v>
      </c>
      <c r="CH100">
        <f t="shared" ca="1" si="42"/>
        <v>1395.6606777721711</v>
      </c>
      <c r="CI100">
        <f t="shared" ca="1" si="42"/>
        <v>1085.0477440885795</v>
      </c>
      <c r="CJ100">
        <f t="shared" ca="1" si="42"/>
        <v>843.56364387297219</v>
      </c>
      <c r="CK100">
        <f t="shared" ca="1" si="42"/>
        <v>1327.1305413473522</v>
      </c>
      <c r="CL100">
        <f t="shared" ca="1" si="42"/>
        <v>981.10717245976264</v>
      </c>
      <c r="CM100">
        <f t="shared" ca="1" si="42"/>
        <v>1395.6606777721711</v>
      </c>
      <c r="CN100">
        <f t="shared" ca="1" si="45"/>
        <v>1707.0436954687445</v>
      </c>
      <c r="CO100">
        <f t="shared" ca="1" si="45"/>
        <v>1707.0436954687445</v>
      </c>
      <c r="CP100">
        <f t="shared" ca="1" si="45"/>
        <v>1887.8915197258498</v>
      </c>
      <c r="CQ100">
        <f t="shared" ca="1" si="45"/>
        <v>981.10717245976275</v>
      </c>
      <c r="CR100">
        <f t="shared" ca="1" si="45"/>
        <v>1707.0436954687445</v>
      </c>
      <c r="CS100">
        <f t="shared" ca="1" si="45"/>
        <v>843.56364387297208</v>
      </c>
      <c r="CT100">
        <f t="shared" ca="1" si="45"/>
        <v>1467.7295614807629</v>
      </c>
      <c r="CU100">
        <f t="shared" ca="1" si="45"/>
        <v>1199.9999999999995</v>
      </c>
      <c r="CV100">
        <f t="shared" ca="1" si="45"/>
        <v>1031.7694142523271</v>
      </c>
      <c r="CW100">
        <f t="shared" ca="1" si="45"/>
        <v>1031.7694142523269</v>
      </c>
      <c r="CX100">
        <f t="shared" ca="1" si="45"/>
        <v>1141.0772510686097</v>
      </c>
      <c r="CY100">
        <f t="shared" ca="1" si="45"/>
        <v>802.14273654332578</v>
      </c>
    </row>
    <row r="101" spans="1:103">
      <c r="A101">
        <v>85</v>
      </c>
      <c r="B101">
        <v>85</v>
      </c>
      <c r="C101">
        <v>85</v>
      </c>
      <c r="D101">
        <f t="shared" ca="1" si="44"/>
        <v>865.06940700201312</v>
      </c>
      <c r="E101">
        <f t="shared" ca="1" si="44"/>
        <v>909.73971081296963</v>
      </c>
      <c r="F101">
        <f t="shared" ca="1" si="44"/>
        <v>865.06940700201324</v>
      </c>
      <c r="G101">
        <f t="shared" ca="1" si="44"/>
        <v>1582.870334101578</v>
      </c>
      <c r="H101">
        <f t="shared" ca="1" si="44"/>
        <v>1582.870334101578</v>
      </c>
      <c r="I101">
        <f t="shared" ca="1" si="44"/>
        <v>1582.870334101578</v>
      </c>
      <c r="J101">
        <f t="shared" ca="1" si="44"/>
        <v>1840.9582360980603</v>
      </c>
      <c r="K101">
        <f t="shared" ca="1" si="44"/>
        <v>2141.1275162857332</v>
      </c>
      <c r="L101">
        <f t="shared" ca="1" si="44"/>
        <v>1750.5629694824095</v>
      </c>
      <c r="M101">
        <f t="shared" ca="1" si="44"/>
        <v>1112.7098890109644</v>
      </c>
      <c r="N101">
        <f t="shared" ca="1" si="44"/>
        <v>1230.5927311380608</v>
      </c>
      <c r="O101">
        <f t="shared" ca="1" si="44"/>
        <v>1058.0732844912411</v>
      </c>
      <c r="P101">
        <f t="shared" ca="1" si="44"/>
        <v>1112.7098890109642</v>
      </c>
      <c r="Q101">
        <f t="shared" ca="1" si="44"/>
        <v>1230.5927311380613</v>
      </c>
      <c r="R101">
        <f t="shared" ca="1" si="44"/>
        <v>1505.1477746955675</v>
      </c>
      <c r="S101">
        <f t="shared" ca="1" si="44"/>
        <v>1360.964331211143</v>
      </c>
      <c r="T101">
        <f t="shared" ca="1" si="41"/>
        <v>1170.1678090266926</v>
      </c>
      <c r="U101">
        <f t="shared" ca="1" si="41"/>
        <v>1431.2415710013784</v>
      </c>
      <c r="V101">
        <f t="shared" ca="1" si="41"/>
        <v>1664.6063175329091</v>
      </c>
      <c r="W101">
        <f t="shared" ca="1" si="41"/>
        <v>1664.6063175329091</v>
      </c>
      <c r="X101">
        <f t="shared" ca="1" si="41"/>
        <v>865.06940700201312</v>
      </c>
      <c r="Y101">
        <f t="shared" ca="1" si="41"/>
        <v>1431.2415710013781</v>
      </c>
      <c r="Z101">
        <f t="shared" ca="1" si="41"/>
        <v>1360.9643312111427</v>
      </c>
      <c r="AA101">
        <f t="shared" ca="1" si="41"/>
        <v>1360.9643312111427</v>
      </c>
      <c r="AB101">
        <f t="shared" ca="1" si="41"/>
        <v>1431.2415710013781</v>
      </c>
      <c r="AC101">
        <f t="shared" ca="1" si="41"/>
        <v>1505.1477746955675</v>
      </c>
      <c r="AD101">
        <f t="shared" ca="1" si="41"/>
        <v>1360.9643312111427</v>
      </c>
      <c r="AE101">
        <f t="shared" ca="1" si="41"/>
        <v>1170.1678090266926</v>
      </c>
      <c r="AF101">
        <f t="shared" ca="1" si="41"/>
        <v>1431.2415710013786</v>
      </c>
      <c r="AG101">
        <f t="shared" ca="1" si="41"/>
        <v>1664.6063175329095</v>
      </c>
      <c r="AH101">
        <f t="shared" ca="1" si="41"/>
        <v>956.71669201467876</v>
      </c>
      <c r="AI101">
        <f t="shared" ca="1" si="41"/>
        <v>909.73971081296975</v>
      </c>
      <c r="AJ101">
        <f t="shared" ca="1" si="40"/>
        <v>956.71669201467876</v>
      </c>
      <c r="AK101">
        <f t="shared" ca="1" si="40"/>
        <v>1230.5927311380608</v>
      </c>
      <c r="AL101">
        <f t="shared" ca="1" si="40"/>
        <v>1360.9643312111427</v>
      </c>
      <c r="AM101">
        <f t="shared" ca="1" si="40"/>
        <v>1230.5927311380608</v>
      </c>
      <c r="AN101">
        <f t="shared" ca="1" si="40"/>
        <v>1006.1194624136671</v>
      </c>
      <c r="AO101">
        <f t="shared" ca="1" si="40"/>
        <v>1230.5927311380603</v>
      </c>
      <c r="AP101">
        <f t="shared" ca="1" si="40"/>
        <v>1230.5927311380603</v>
      </c>
      <c r="AQ101">
        <f t="shared" ca="1" si="40"/>
        <v>1294.1378648840334</v>
      </c>
      <c r="AR101">
        <f t="shared" ca="1" si="40"/>
        <v>865.06940700201324</v>
      </c>
      <c r="AS101">
        <f t="shared" ca="1" si="40"/>
        <v>1170.167809026693</v>
      </c>
      <c r="AT101">
        <f t="shared" ca="1" si="40"/>
        <v>1006.1194624136672</v>
      </c>
      <c r="AU101">
        <f t="shared" ca="1" si="40"/>
        <v>782.20134045631642</v>
      </c>
      <c r="AV101">
        <f t="shared" ca="1" si="40"/>
        <v>1170.1678090266928</v>
      </c>
      <c r="AW101">
        <f t="shared" ca="1" si="40"/>
        <v>1360.9643312111427</v>
      </c>
      <c r="AX101">
        <f t="shared" ca="1" si="40"/>
        <v>1431.2415710013781</v>
      </c>
      <c r="AY101">
        <f t="shared" ca="1" si="40"/>
        <v>1294.1378648840332</v>
      </c>
      <c r="AZ101">
        <f t="shared" ca="1" si="39"/>
        <v>1750.5629694824095</v>
      </c>
      <c r="BA101">
        <f t="shared" ca="1" si="39"/>
        <v>1360.9643312111427</v>
      </c>
      <c r="BB101">
        <f t="shared" ca="1" si="39"/>
        <v>1058.0732844912404</v>
      </c>
      <c r="BC101">
        <f t="shared" ca="1" si="39"/>
        <v>1170.167809026693</v>
      </c>
      <c r="BD101">
        <f t="shared" ca="1" si="39"/>
        <v>1058.0732844912409</v>
      </c>
      <c r="BE101">
        <f t="shared" ca="1" si="39"/>
        <v>1230.5927311380608</v>
      </c>
      <c r="BF101">
        <f t="shared" ca="1" si="39"/>
        <v>1058.0732844912407</v>
      </c>
      <c r="BG101">
        <f t="shared" ca="1" si="39"/>
        <v>1230.5927311380608</v>
      </c>
      <c r="BH101">
        <f t="shared" ca="1" si="39"/>
        <v>1505.1477746955675</v>
      </c>
      <c r="BI101">
        <f t="shared" ca="1" si="39"/>
        <v>1840.9582360980605</v>
      </c>
      <c r="BJ101">
        <f t="shared" ca="1" si="39"/>
        <v>1112.7098890109642</v>
      </c>
      <c r="BK101">
        <f t="shared" ca="1" si="39"/>
        <v>1058.0732844912407</v>
      </c>
      <c r="BL101">
        <f t="shared" ca="1" si="39"/>
        <v>1664.6063175329089</v>
      </c>
      <c r="BM101">
        <f t="shared" ca="1" si="39"/>
        <v>1230.5927311380608</v>
      </c>
      <c r="BN101">
        <f t="shared" ca="1" si="39"/>
        <v>1112.7098890109642</v>
      </c>
      <c r="BO101">
        <f t="shared" ca="1" si="39"/>
        <v>1294.1378648840334</v>
      </c>
      <c r="BP101">
        <f t="shared" ca="1" si="43"/>
        <v>1360.9643312111427</v>
      </c>
      <c r="BQ101">
        <f t="shared" ca="1" si="43"/>
        <v>1006.1194624136668</v>
      </c>
      <c r="BR101">
        <f t="shared" ca="1" si="43"/>
        <v>1112.7098890109644</v>
      </c>
      <c r="BS101">
        <f t="shared" ca="1" si="43"/>
        <v>1431.2415710013781</v>
      </c>
      <c r="BT101">
        <f t="shared" ca="1" si="43"/>
        <v>1505.1477746955675</v>
      </c>
      <c r="BU101">
        <f t="shared" ca="1" si="43"/>
        <v>822.59251743784137</v>
      </c>
      <c r="BV101">
        <f t="shared" ca="1" si="43"/>
        <v>1006.1194624136668</v>
      </c>
      <c r="BW101">
        <f t="shared" ca="1" si="43"/>
        <v>1170.1678090266928</v>
      </c>
      <c r="BX101">
        <f t="shared" ca="1" si="42"/>
        <v>1294.1378648840334</v>
      </c>
      <c r="BY101">
        <f t="shared" ca="1" si="42"/>
        <v>1431.2415710013781</v>
      </c>
      <c r="BZ101">
        <f t="shared" ca="1" si="42"/>
        <v>1230.5927311380608</v>
      </c>
      <c r="CA101">
        <f t="shared" ca="1" si="42"/>
        <v>1360.9643312111427</v>
      </c>
      <c r="CB101">
        <f t="shared" ca="1" si="42"/>
        <v>1170.1678090266926</v>
      </c>
      <c r="CC101">
        <f t="shared" ca="1" si="42"/>
        <v>1582.870334101578</v>
      </c>
      <c r="CD101">
        <f t="shared" ca="1" si="42"/>
        <v>1112.7098890109639</v>
      </c>
      <c r="CE101">
        <f t="shared" ca="1" si="42"/>
        <v>1170.167809026693</v>
      </c>
      <c r="CF101">
        <f t="shared" ca="1" si="42"/>
        <v>1058.0732844912407</v>
      </c>
      <c r="CG101">
        <f t="shared" ca="1" si="42"/>
        <v>865.06940700201301</v>
      </c>
      <c r="CH101">
        <f t="shared" ca="1" si="42"/>
        <v>1431.2415710013781</v>
      </c>
      <c r="CI101">
        <f t="shared" ca="1" si="42"/>
        <v>1112.7098890109644</v>
      </c>
      <c r="CJ101">
        <f t="shared" ca="1" si="42"/>
        <v>865.06940700201312</v>
      </c>
      <c r="CK101">
        <f t="shared" ca="1" si="42"/>
        <v>1360.9643312111432</v>
      </c>
      <c r="CL101">
        <f t="shared" ca="1" si="42"/>
        <v>956.71669201467887</v>
      </c>
      <c r="CM101">
        <f t="shared" ca="1" si="42"/>
        <v>1360.9643312111427</v>
      </c>
      <c r="CN101">
        <f t="shared" ca="1" si="45"/>
        <v>1750.5629694824095</v>
      </c>
      <c r="CO101">
        <f t="shared" ca="1" si="45"/>
        <v>1750.5629694824095</v>
      </c>
      <c r="CP101">
        <f t="shared" ca="1" si="45"/>
        <v>1840.9582360980601</v>
      </c>
      <c r="CQ101">
        <f t="shared" ca="1" si="45"/>
        <v>956.71669201467898</v>
      </c>
      <c r="CR101">
        <f t="shared" ca="1" si="45"/>
        <v>1664.6063175329091</v>
      </c>
      <c r="CS101">
        <f t="shared" ca="1" si="45"/>
        <v>865.06940700201301</v>
      </c>
      <c r="CT101">
        <f t="shared" ca="1" si="45"/>
        <v>1505.1477746955675</v>
      </c>
      <c r="CU101">
        <f t="shared" ca="1" si="45"/>
        <v>1170.167809026693</v>
      </c>
      <c r="CV101">
        <f t="shared" ca="1" si="45"/>
        <v>1058.0732844912409</v>
      </c>
      <c r="CW101">
        <f t="shared" ca="1" si="45"/>
        <v>1006.1194624136668</v>
      </c>
      <c r="CX101">
        <f t="shared" ca="1" si="45"/>
        <v>1112.7098890109644</v>
      </c>
      <c r="CY101">
        <f t="shared" ca="1" si="45"/>
        <v>782.20134045631642</v>
      </c>
    </row>
    <row r="102" spans="1:103">
      <c r="A102">
        <v>86</v>
      </c>
      <c r="B102">
        <v>86</v>
      </c>
      <c r="C102">
        <v>86</v>
      </c>
      <c r="D102">
        <f t="shared" ca="1" si="44"/>
        <v>843.56364387297219</v>
      </c>
      <c r="E102">
        <f t="shared" ca="1" si="44"/>
        <v>932.93256279506863</v>
      </c>
      <c r="F102">
        <f t="shared" ca="1" si="44"/>
        <v>843.56364387297231</v>
      </c>
      <c r="G102">
        <f t="shared" ca="1" si="44"/>
        <v>1543.5199256908281</v>
      </c>
      <c r="H102">
        <f t="shared" ca="1" si="44"/>
        <v>1623.2239395662305</v>
      </c>
      <c r="I102">
        <f t="shared" ca="1" si="44"/>
        <v>1623.2239395662305</v>
      </c>
      <c r="J102">
        <f t="shared" ca="1" si="44"/>
        <v>1795.1917213704278</v>
      </c>
      <c r="K102">
        <f t="shared" ca="1" si="44"/>
        <v>2087.8987454823687</v>
      </c>
      <c r="L102">
        <f t="shared" ca="1" si="44"/>
        <v>1707.0436954687445</v>
      </c>
      <c r="M102">
        <f t="shared" ca="1" si="44"/>
        <v>1085.0477440885795</v>
      </c>
      <c r="N102">
        <f t="shared" ca="1" si="44"/>
        <v>1261.9653916081936</v>
      </c>
      <c r="O102">
        <f t="shared" ca="1" si="44"/>
        <v>1031.7694142523274</v>
      </c>
      <c r="P102">
        <f t="shared" ca="1" si="44"/>
        <v>1141.0772510686095</v>
      </c>
      <c r="Q102">
        <f t="shared" ca="1" si="44"/>
        <v>1200</v>
      </c>
      <c r="R102">
        <f t="shared" ca="1" si="44"/>
        <v>1543.5199256908281</v>
      </c>
      <c r="S102">
        <f t="shared" ca="1" si="44"/>
        <v>1395.6606777721713</v>
      </c>
      <c r="T102">
        <f t="shared" ca="1" si="41"/>
        <v>1199.9999999999991</v>
      </c>
      <c r="U102">
        <f t="shared" ca="1" si="41"/>
        <v>1395.6606777721713</v>
      </c>
      <c r="V102">
        <f t="shared" ca="1" si="41"/>
        <v>1707.0436954687445</v>
      </c>
      <c r="W102">
        <f t="shared" ca="1" si="41"/>
        <v>1707.0436954687445</v>
      </c>
      <c r="X102">
        <f t="shared" ca="1" si="41"/>
        <v>887.12343682215874</v>
      </c>
      <c r="Y102">
        <f t="shared" ca="1" si="41"/>
        <v>1467.7295614807629</v>
      </c>
      <c r="Z102">
        <f t="shared" ca="1" si="41"/>
        <v>1395.6606777721711</v>
      </c>
      <c r="AA102">
        <f t="shared" ca="1" si="41"/>
        <v>1327.1305413473517</v>
      </c>
      <c r="AB102">
        <f t="shared" ca="1" si="41"/>
        <v>1467.7295614807629</v>
      </c>
      <c r="AC102">
        <f t="shared" ca="1" si="41"/>
        <v>1543.5199256908281</v>
      </c>
      <c r="AD102">
        <f t="shared" ca="1" si="41"/>
        <v>1395.6606777721711</v>
      </c>
      <c r="AE102">
        <f t="shared" ca="1" si="41"/>
        <v>1141.0772510686093</v>
      </c>
      <c r="AF102">
        <f t="shared" ca="1" si="41"/>
        <v>1395.6606777721715</v>
      </c>
      <c r="AG102">
        <f t="shared" ca="1" si="41"/>
        <v>1623.2239395662309</v>
      </c>
      <c r="AH102">
        <f t="shared" ca="1" si="41"/>
        <v>981.10717245976252</v>
      </c>
      <c r="AI102">
        <f t="shared" ca="1" si="41"/>
        <v>887.12343682215874</v>
      </c>
      <c r="AJ102">
        <f t="shared" ca="1" si="40"/>
        <v>932.93256279506875</v>
      </c>
      <c r="AK102">
        <f t="shared" ca="1" si="40"/>
        <v>1199.9999999999995</v>
      </c>
      <c r="AL102">
        <f t="shared" ca="1" si="40"/>
        <v>1327.1305413473517</v>
      </c>
      <c r="AM102">
        <f t="shared" ca="1" si="40"/>
        <v>1261.9653916081936</v>
      </c>
      <c r="AN102">
        <f t="shared" ca="1" si="40"/>
        <v>1031.7694142523271</v>
      </c>
      <c r="AO102">
        <f t="shared" ca="1" si="40"/>
        <v>1199.9999999999991</v>
      </c>
      <c r="AP102">
        <f t="shared" ca="1" si="40"/>
        <v>1261.9653916081932</v>
      </c>
      <c r="AQ102">
        <f t="shared" ca="1" si="40"/>
        <v>1261.9653916081936</v>
      </c>
      <c r="AR102">
        <f t="shared" ca="1" si="40"/>
        <v>887.12343682215885</v>
      </c>
      <c r="AS102">
        <f t="shared" ca="1" si="40"/>
        <v>1199.9999999999995</v>
      </c>
      <c r="AT102">
        <f t="shared" ca="1" si="40"/>
        <v>1031.7694142523274</v>
      </c>
      <c r="AU102">
        <f t="shared" ca="1" si="40"/>
        <v>762.755690649592</v>
      </c>
      <c r="AV102">
        <f t="shared" ca="1" si="40"/>
        <v>1141.0772510686095</v>
      </c>
      <c r="AW102">
        <f t="shared" ca="1" si="40"/>
        <v>1327.1305413473517</v>
      </c>
      <c r="AX102">
        <f t="shared" ca="1" si="40"/>
        <v>1395.6606777721711</v>
      </c>
      <c r="AY102">
        <f t="shared" ca="1" si="40"/>
        <v>1261.9653916081934</v>
      </c>
      <c r="AZ102">
        <f t="shared" ca="1" si="39"/>
        <v>1707.0436954687445</v>
      </c>
      <c r="BA102">
        <f t="shared" ca="1" si="39"/>
        <v>1395.6606777721711</v>
      </c>
      <c r="BB102">
        <f t="shared" ca="1" si="39"/>
        <v>1085.0477440885788</v>
      </c>
      <c r="BC102">
        <f t="shared" ca="1" si="39"/>
        <v>1199.9999999999995</v>
      </c>
      <c r="BD102">
        <f t="shared" ca="1" si="39"/>
        <v>1085.0477440885793</v>
      </c>
      <c r="BE102">
        <f t="shared" ca="1" si="39"/>
        <v>1199.9999999999995</v>
      </c>
      <c r="BF102">
        <f t="shared" ca="1" si="39"/>
        <v>1085.0477440885791</v>
      </c>
      <c r="BG102">
        <f t="shared" ca="1" si="39"/>
        <v>1199.9999999999995</v>
      </c>
      <c r="BH102">
        <f t="shared" ca="1" si="39"/>
        <v>1543.5199256908281</v>
      </c>
      <c r="BI102">
        <f t="shared" ca="1" si="39"/>
        <v>1887.8915197258502</v>
      </c>
      <c r="BJ102">
        <f t="shared" ca="1" si="39"/>
        <v>1141.0772510686095</v>
      </c>
      <c r="BK102">
        <f t="shared" ca="1" si="39"/>
        <v>1085.0477440885791</v>
      </c>
      <c r="BL102">
        <f t="shared" ca="1" si="39"/>
        <v>1623.2239395662302</v>
      </c>
      <c r="BM102">
        <f t="shared" ca="1" si="39"/>
        <v>1261.9653916081936</v>
      </c>
      <c r="BN102">
        <f t="shared" ca="1" si="39"/>
        <v>1141.0772510686095</v>
      </c>
      <c r="BO102">
        <f t="shared" ca="1" si="39"/>
        <v>1327.1305413473517</v>
      </c>
      <c r="BP102">
        <f t="shared" ca="1" si="43"/>
        <v>1327.1305413473517</v>
      </c>
      <c r="BQ102">
        <f t="shared" ca="1" si="43"/>
        <v>981.10717245976264</v>
      </c>
      <c r="BR102">
        <f t="shared" ca="1" si="43"/>
        <v>1141.0772510686097</v>
      </c>
      <c r="BS102">
        <f t="shared" ca="1" si="43"/>
        <v>1467.7295614807629</v>
      </c>
      <c r="BT102">
        <f t="shared" ca="1" si="43"/>
        <v>1467.7295614807629</v>
      </c>
      <c r="BU102">
        <f t="shared" ca="1" si="43"/>
        <v>802.14273654332578</v>
      </c>
      <c r="BV102">
        <f t="shared" ca="1" si="43"/>
        <v>981.10717245976264</v>
      </c>
      <c r="BW102">
        <f t="shared" ca="1" si="43"/>
        <v>1199.9999999999993</v>
      </c>
      <c r="BX102">
        <f t="shared" ca="1" si="42"/>
        <v>1261.9653916081936</v>
      </c>
      <c r="BY102">
        <f t="shared" ca="1" si="42"/>
        <v>1467.7295614807629</v>
      </c>
      <c r="BZ102">
        <f t="shared" ca="1" si="42"/>
        <v>1199.9999999999995</v>
      </c>
      <c r="CA102">
        <f t="shared" ca="1" si="42"/>
        <v>1395.6606777721711</v>
      </c>
      <c r="CB102">
        <f t="shared" ca="1" si="42"/>
        <v>1199.9999999999991</v>
      </c>
      <c r="CC102">
        <f t="shared" ca="1" si="42"/>
        <v>1543.5199256908281</v>
      </c>
      <c r="CD102">
        <f t="shared" ca="1" si="42"/>
        <v>1141.0772510686093</v>
      </c>
      <c r="CE102">
        <f t="shared" ca="1" si="42"/>
        <v>1199.9999999999995</v>
      </c>
      <c r="CF102">
        <f t="shared" ca="1" si="42"/>
        <v>1085.0477440885791</v>
      </c>
      <c r="CG102">
        <f t="shared" ca="1" si="42"/>
        <v>843.56364387297208</v>
      </c>
      <c r="CH102">
        <f t="shared" ca="1" si="42"/>
        <v>1467.7295614807629</v>
      </c>
      <c r="CI102">
        <f t="shared" ca="1" si="42"/>
        <v>1141.0772510686097</v>
      </c>
      <c r="CJ102">
        <f t="shared" ca="1" si="42"/>
        <v>843.56364387297219</v>
      </c>
      <c r="CK102">
        <f t="shared" ca="1" si="42"/>
        <v>1327.1305413473522</v>
      </c>
      <c r="CL102">
        <f t="shared" ca="1" si="42"/>
        <v>932.93256279506875</v>
      </c>
      <c r="CM102">
        <f t="shared" ca="1" si="42"/>
        <v>1327.1305413473517</v>
      </c>
      <c r="CN102">
        <f t="shared" ca="1" si="45"/>
        <v>1707.0436954687445</v>
      </c>
      <c r="CO102">
        <f t="shared" ca="1" si="45"/>
        <v>1707.0436954687445</v>
      </c>
      <c r="CP102">
        <f t="shared" ca="1" si="45"/>
        <v>1795.1917213704276</v>
      </c>
      <c r="CQ102">
        <f t="shared" ca="1" si="45"/>
        <v>981.10717245976275</v>
      </c>
      <c r="CR102">
        <f t="shared" ca="1" si="45"/>
        <v>1623.2239395662305</v>
      </c>
      <c r="CS102">
        <f t="shared" ca="1" si="45"/>
        <v>843.56364387297208</v>
      </c>
      <c r="CT102">
        <f t="shared" ca="1" si="45"/>
        <v>1543.5199256908281</v>
      </c>
      <c r="CU102">
        <f t="shared" ca="1" si="45"/>
        <v>1199.9999999999995</v>
      </c>
      <c r="CV102">
        <f t="shared" ca="1" si="45"/>
        <v>1031.7694142523271</v>
      </c>
      <c r="CW102">
        <f t="shared" ca="1" si="45"/>
        <v>1031.7694142523269</v>
      </c>
      <c r="CX102">
        <f t="shared" ca="1" si="45"/>
        <v>1085.0477440885795</v>
      </c>
      <c r="CY102">
        <f t="shared" ca="1" si="45"/>
        <v>762.755690649592</v>
      </c>
    </row>
    <row r="103" spans="1:103">
      <c r="A103">
        <v>87</v>
      </c>
      <c r="B103">
        <v>87</v>
      </c>
      <c r="C103">
        <v>87</v>
      </c>
      <c r="D103">
        <f t="shared" ca="1" si="44"/>
        <v>865.06940700201312</v>
      </c>
      <c r="E103">
        <f t="shared" ca="1" si="44"/>
        <v>956.71669201467864</v>
      </c>
      <c r="F103">
        <f t="shared" ca="1" si="44"/>
        <v>822.59251743784148</v>
      </c>
      <c r="G103">
        <f t="shared" ca="1" si="44"/>
        <v>1505.1477746955675</v>
      </c>
      <c r="H103">
        <f t="shared" ca="1" si="44"/>
        <v>1582.870334101578</v>
      </c>
      <c r="I103">
        <f t="shared" ca="1" si="44"/>
        <v>1582.870334101578</v>
      </c>
      <c r="J103">
        <f t="shared" ca="1" si="44"/>
        <v>1840.9582360980603</v>
      </c>
      <c r="K103">
        <f t="shared" ca="1" si="44"/>
        <v>2035.9932503922375</v>
      </c>
      <c r="L103">
        <f t="shared" ca="1" si="44"/>
        <v>1664.6063175329091</v>
      </c>
      <c r="M103">
        <f t="shared" ca="1" si="44"/>
        <v>1112.7098890109644</v>
      </c>
      <c r="N103">
        <f t="shared" ca="1" si="44"/>
        <v>1294.1378648840334</v>
      </c>
      <c r="O103">
        <f t="shared" ca="1" si="44"/>
        <v>1058.0732844912411</v>
      </c>
      <c r="P103">
        <f t="shared" ca="1" si="44"/>
        <v>1112.7098890109642</v>
      </c>
      <c r="Q103">
        <f t="shared" ca="1" si="44"/>
        <v>1170.1678090266935</v>
      </c>
      <c r="R103">
        <f t="shared" ca="1" si="44"/>
        <v>1582.870334101578</v>
      </c>
      <c r="S103">
        <f t="shared" ca="1" si="44"/>
        <v>1431.2415710013784</v>
      </c>
      <c r="T103">
        <f t="shared" ca="1" si="41"/>
        <v>1230.5927311380603</v>
      </c>
      <c r="U103">
        <f t="shared" ca="1" si="41"/>
        <v>1431.2415710013784</v>
      </c>
      <c r="V103">
        <f t="shared" ca="1" si="41"/>
        <v>1750.5629694824095</v>
      </c>
      <c r="W103">
        <f t="shared" ca="1" si="41"/>
        <v>1664.6063175329091</v>
      </c>
      <c r="X103">
        <f t="shared" ca="1" si="41"/>
        <v>909.73971081296975</v>
      </c>
      <c r="Y103">
        <f t="shared" ca="1" si="41"/>
        <v>1505.1477746955675</v>
      </c>
      <c r="Z103">
        <f t="shared" ca="1" si="41"/>
        <v>1360.9643312111427</v>
      </c>
      <c r="AA103">
        <f t="shared" ca="1" si="41"/>
        <v>1360.9643312111427</v>
      </c>
      <c r="AB103">
        <f t="shared" ca="1" si="41"/>
        <v>1505.1477746955675</v>
      </c>
      <c r="AC103">
        <f t="shared" ca="1" si="41"/>
        <v>1505.1477746955675</v>
      </c>
      <c r="AD103">
        <f t="shared" ca="1" si="41"/>
        <v>1360.9643312111427</v>
      </c>
      <c r="AE103">
        <f t="shared" ca="1" si="41"/>
        <v>1170.1678090266926</v>
      </c>
      <c r="AF103">
        <f t="shared" ca="1" si="41"/>
        <v>1431.2415710013786</v>
      </c>
      <c r="AG103">
        <f t="shared" ca="1" si="41"/>
        <v>1664.6063175329095</v>
      </c>
      <c r="AH103">
        <f t="shared" ca="1" si="41"/>
        <v>956.71669201467876</v>
      </c>
      <c r="AI103">
        <f t="shared" ca="1" si="41"/>
        <v>865.06940700201312</v>
      </c>
      <c r="AJ103">
        <f t="shared" ca="1" si="40"/>
        <v>909.73971081296975</v>
      </c>
      <c r="AK103">
        <f t="shared" ca="1" si="40"/>
        <v>1230.5927311380608</v>
      </c>
      <c r="AL103">
        <f t="shared" ca="1" si="40"/>
        <v>1294.1378648840334</v>
      </c>
      <c r="AM103">
        <f t="shared" ca="1" si="40"/>
        <v>1230.5927311380608</v>
      </c>
      <c r="AN103">
        <f t="shared" ca="1" si="40"/>
        <v>1058.0732844912409</v>
      </c>
      <c r="AO103">
        <f t="shared" ca="1" si="40"/>
        <v>1170.1678090266926</v>
      </c>
      <c r="AP103">
        <f t="shared" ca="1" si="40"/>
        <v>1294.137864884033</v>
      </c>
      <c r="AQ103">
        <f t="shared" ca="1" si="40"/>
        <v>1230.5927311380608</v>
      </c>
      <c r="AR103">
        <f t="shared" ca="1" si="40"/>
        <v>865.06940700201324</v>
      </c>
      <c r="AS103">
        <f t="shared" ca="1" si="40"/>
        <v>1230.5927311380608</v>
      </c>
      <c r="AT103">
        <f t="shared" ca="1" si="40"/>
        <v>1006.1194624136672</v>
      </c>
      <c r="AU103">
        <f t="shared" ca="1" si="40"/>
        <v>782.20134045631642</v>
      </c>
      <c r="AV103">
        <f t="shared" ca="1" si="40"/>
        <v>1170.1678090266928</v>
      </c>
      <c r="AW103">
        <f t="shared" ca="1" si="40"/>
        <v>1360.9643312111427</v>
      </c>
      <c r="AX103">
        <f t="shared" ca="1" si="40"/>
        <v>1431.2415710013781</v>
      </c>
      <c r="AY103">
        <f t="shared" ca="1" si="40"/>
        <v>1230.5927311380606</v>
      </c>
      <c r="AZ103">
        <f t="shared" ref="AZ103:BO116" ca="1" si="46">AZ102*(IF(RAND()&lt;$B$11,$B$9,$B$10))</f>
        <v>1664.6063175329091</v>
      </c>
      <c r="BA103">
        <f t="shared" ca="1" si="46"/>
        <v>1431.2415710013781</v>
      </c>
      <c r="BB103">
        <f t="shared" ca="1" si="46"/>
        <v>1112.7098890109637</v>
      </c>
      <c r="BC103">
        <f t="shared" ca="1" si="46"/>
        <v>1230.5927311380608</v>
      </c>
      <c r="BD103">
        <f t="shared" ca="1" si="46"/>
        <v>1058.0732844912409</v>
      </c>
      <c r="BE103">
        <f t="shared" ca="1" si="46"/>
        <v>1170.167809026693</v>
      </c>
      <c r="BF103">
        <f t="shared" ca="1" si="46"/>
        <v>1058.0732844912407</v>
      </c>
      <c r="BG103">
        <f t="shared" ca="1" si="46"/>
        <v>1170.167809026693</v>
      </c>
      <c r="BH103">
        <f t="shared" ca="1" si="46"/>
        <v>1505.1477746955675</v>
      </c>
      <c r="BI103">
        <f t="shared" ca="1" si="46"/>
        <v>1936.0213177931828</v>
      </c>
      <c r="BJ103">
        <f t="shared" ca="1" si="46"/>
        <v>1170.1678090266928</v>
      </c>
      <c r="BK103">
        <f t="shared" ca="1" si="46"/>
        <v>1112.7098890109639</v>
      </c>
      <c r="BL103">
        <f t="shared" ca="1" si="46"/>
        <v>1664.6063175329089</v>
      </c>
      <c r="BM103">
        <f t="shared" ca="1" si="46"/>
        <v>1230.5927311380608</v>
      </c>
      <c r="BN103">
        <f t="shared" ca="1" si="46"/>
        <v>1170.1678090266928</v>
      </c>
      <c r="BO103">
        <f t="shared" ca="1" si="46"/>
        <v>1294.1378648840334</v>
      </c>
      <c r="BP103">
        <f t="shared" ca="1" si="43"/>
        <v>1360.9643312111427</v>
      </c>
      <c r="BQ103">
        <f t="shared" ca="1" si="43"/>
        <v>1006.1194624136668</v>
      </c>
      <c r="BR103">
        <f t="shared" ca="1" si="43"/>
        <v>1170.167809026693</v>
      </c>
      <c r="BS103">
        <f t="shared" ca="1" si="43"/>
        <v>1505.1477746955675</v>
      </c>
      <c r="BT103">
        <f t="shared" ca="1" si="43"/>
        <v>1505.1477746955675</v>
      </c>
      <c r="BU103">
        <f t="shared" ca="1" si="43"/>
        <v>822.59251743784137</v>
      </c>
      <c r="BV103">
        <f t="shared" ca="1" si="43"/>
        <v>956.71669201467887</v>
      </c>
      <c r="BW103">
        <f t="shared" ca="1" si="43"/>
        <v>1170.1678090266928</v>
      </c>
      <c r="BX103">
        <f t="shared" ca="1" si="42"/>
        <v>1294.1378648840334</v>
      </c>
      <c r="BY103">
        <f t="shared" ca="1" si="42"/>
        <v>1505.1477746955675</v>
      </c>
      <c r="BZ103">
        <f t="shared" ca="1" si="42"/>
        <v>1170.167809026693</v>
      </c>
      <c r="CA103">
        <f t="shared" ca="1" si="42"/>
        <v>1360.9643312111427</v>
      </c>
      <c r="CB103">
        <f t="shared" ca="1" si="42"/>
        <v>1170.1678090266926</v>
      </c>
      <c r="CC103">
        <f t="shared" ca="1" si="42"/>
        <v>1582.870334101578</v>
      </c>
      <c r="CD103">
        <f t="shared" ca="1" si="42"/>
        <v>1170.1678090266926</v>
      </c>
      <c r="CE103">
        <f t="shared" ca="1" si="42"/>
        <v>1170.167809026693</v>
      </c>
      <c r="CF103">
        <f t="shared" ca="1" si="42"/>
        <v>1058.0732844912407</v>
      </c>
      <c r="CG103">
        <f t="shared" ca="1" si="42"/>
        <v>865.06940700201301</v>
      </c>
      <c r="CH103">
        <f t="shared" ca="1" si="42"/>
        <v>1505.1477746955675</v>
      </c>
      <c r="CI103">
        <f t="shared" ca="1" si="42"/>
        <v>1170.167809026693</v>
      </c>
      <c r="CJ103">
        <f t="shared" ca="1" si="42"/>
        <v>822.59251743784137</v>
      </c>
      <c r="CK103">
        <f t="shared" ca="1" si="42"/>
        <v>1294.1378648840339</v>
      </c>
      <c r="CL103">
        <f t="shared" ca="1" si="42"/>
        <v>956.71669201467876</v>
      </c>
      <c r="CM103">
        <f t="shared" ca="1" si="42"/>
        <v>1294.1378648840334</v>
      </c>
      <c r="CN103">
        <f t="shared" ca="1" si="45"/>
        <v>1664.6063175329091</v>
      </c>
      <c r="CO103">
        <f t="shared" ca="1" si="45"/>
        <v>1664.6063175329091</v>
      </c>
      <c r="CP103">
        <f t="shared" ca="1" si="45"/>
        <v>1840.9582360980601</v>
      </c>
      <c r="CQ103">
        <f t="shared" ca="1" si="45"/>
        <v>956.71669201467898</v>
      </c>
      <c r="CR103">
        <f t="shared" ca="1" si="45"/>
        <v>1582.870334101578</v>
      </c>
      <c r="CS103">
        <f t="shared" ca="1" si="45"/>
        <v>865.06940700201301</v>
      </c>
      <c r="CT103">
        <f t="shared" ca="1" si="45"/>
        <v>1582.870334101578</v>
      </c>
      <c r="CU103">
        <f t="shared" ca="1" si="45"/>
        <v>1170.167809026693</v>
      </c>
      <c r="CV103">
        <f t="shared" ca="1" si="45"/>
        <v>1006.119462413667</v>
      </c>
      <c r="CW103">
        <f t="shared" ca="1" si="45"/>
        <v>1006.1194624136668</v>
      </c>
      <c r="CX103">
        <f t="shared" ca="1" si="45"/>
        <v>1058.0732844912411</v>
      </c>
      <c r="CY103">
        <f t="shared" ca="1" si="45"/>
        <v>782.20134045631642</v>
      </c>
    </row>
    <row r="104" spans="1:103">
      <c r="A104">
        <v>88</v>
      </c>
      <c r="B104">
        <v>88</v>
      </c>
      <c r="C104">
        <v>88</v>
      </c>
      <c r="D104">
        <f t="shared" ca="1" si="44"/>
        <v>843.56364387297219</v>
      </c>
      <c r="E104">
        <f t="shared" ca="1" si="44"/>
        <v>932.93256279506863</v>
      </c>
      <c r="F104">
        <f t="shared" ca="1" si="44"/>
        <v>843.56364387297219</v>
      </c>
      <c r="G104">
        <f t="shared" ca="1" si="44"/>
        <v>1467.7295614807629</v>
      </c>
      <c r="H104">
        <f t="shared" ca="1" si="44"/>
        <v>1623.2239395662305</v>
      </c>
      <c r="I104">
        <f t="shared" ca="1" si="44"/>
        <v>1623.2239395662305</v>
      </c>
      <c r="J104">
        <f t="shared" ca="1" si="44"/>
        <v>1795.1917213704278</v>
      </c>
      <c r="K104">
        <f t="shared" ca="1" si="44"/>
        <v>1985.3781341705171</v>
      </c>
      <c r="L104">
        <f t="shared" ca="1" si="44"/>
        <v>1623.2239395662305</v>
      </c>
      <c r="M104">
        <f t="shared" ca="1" si="44"/>
        <v>1141.0772510686097</v>
      </c>
      <c r="N104">
        <f t="shared" ca="1" si="44"/>
        <v>1327.1305413473517</v>
      </c>
      <c r="O104">
        <f t="shared" ca="1" si="44"/>
        <v>1031.7694142523274</v>
      </c>
      <c r="P104">
        <f t="shared" ca="1" si="44"/>
        <v>1085.0477440885793</v>
      </c>
      <c r="Q104">
        <f t="shared" ca="1" si="44"/>
        <v>1141.0772510686099</v>
      </c>
      <c r="R104">
        <f t="shared" ca="1" si="44"/>
        <v>1623.2239395662305</v>
      </c>
      <c r="S104">
        <f t="shared" ca="1" si="44"/>
        <v>1395.6606777721713</v>
      </c>
      <c r="T104">
        <f t="shared" ca="1" si="41"/>
        <v>1199.9999999999991</v>
      </c>
      <c r="U104">
        <f t="shared" ca="1" si="41"/>
        <v>1395.6606777721713</v>
      </c>
      <c r="V104">
        <f t="shared" ca="1" si="41"/>
        <v>1795.1917213704276</v>
      </c>
      <c r="W104">
        <f t="shared" ca="1" si="41"/>
        <v>1707.0436954687445</v>
      </c>
      <c r="X104">
        <f t="shared" ca="1" si="41"/>
        <v>887.12343682215874</v>
      </c>
      <c r="Y104">
        <f t="shared" ca="1" si="41"/>
        <v>1467.7295614807629</v>
      </c>
      <c r="Z104">
        <f t="shared" ca="1" si="41"/>
        <v>1395.6606777721711</v>
      </c>
      <c r="AA104">
        <f t="shared" ca="1" si="41"/>
        <v>1395.6606777721711</v>
      </c>
      <c r="AB104">
        <f t="shared" ca="1" si="41"/>
        <v>1467.7295614807629</v>
      </c>
      <c r="AC104">
        <f t="shared" ca="1" si="41"/>
        <v>1543.5199256908281</v>
      </c>
      <c r="AD104">
        <f t="shared" ca="1" si="41"/>
        <v>1395.6606777721711</v>
      </c>
      <c r="AE104">
        <f t="shared" ca="1" si="41"/>
        <v>1199.9999999999991</v>
      </c>
      <c r="AF104">
        <f t="shared" ca="1" si="41"/>
        <v>1395.6606777721715</v>
      </c>
      <c r="AG104">
        <f t="shared" ca="1" si="41"/>
        <v>1707.043695468745</v>
      </c>
      <c r="AH104">
        <f t="shared" ca="1" si="41"/>
        <v>932.93256279506875</v>
      </c>
      <c r="AI104">
        <f t="shared" ca="1" si="41"/>
        <v>843.56364387297219</v>
      </c>
      <c r="AJ104">
        <f t="shared" ca="1" si="40"/>
        <v>887.12343682215874</v>
      </c>
      <c r="AK104">
        <f t="shared" ca="1" si="40"/>
        <v>1261.9653916081936</v>
      </c>
      <c r="AL104">
        <f t="shared" ca="1" si="40"/>
        <v>1327.1305413473517</v>
      </c>
      <c r="AM104">
        <f t="shared" ca="1" si="40"/>
        <v>1199.9999999999995</v>
      </c>
      <c r="AN104">
        <f t="shared" ca="1" si="40"/>
        <v>1031.7694142523271</v>
      </c>
      <c r="AO104">
        <f t="shared" ca="1" si="40"/>
        <v>1199.9999999999991</v>
      </c>
      <c r="AP104">
        <f t="shared" ca="1" si="40"/>
        <v>1261.9653916081932</v>
      </c>
      <c r="AQ104">
        <f t="shared" ca="1" si="40"/>
        <v>1199.9999999999995</v>
      </c>
      <c r="AR104">
        <f t="shared" ca="1" si="40"/>
        <v>887.12343682215885</v>
      </c>
      <c r="AS104">
        <f t="shared" ca="1" si="40"/>
        <v>1261.9653916081936</v>
      </c>
      <c r="AT104">
        <f t="shared" ca="1" si="40"/>
        <v>1031.7694142523274</v>
      </c>
      <c r="AU104">
        <f t="shared" ca="1" si="40"/>
        <v>802.14273654332578</v>
      </c>
      <c r="AV104">
        <f t="shared" ca="1" si="40"/>
        <v>1199.9999999999993</v>
      </c>
      <c r="AW104">
        <f t="shared" ca="1" si="40"/>
        <v>1327.1305413473517</v>
      </c>
      <c r="AX104">
        <f t="shared" ca="1" si="40"/>
        <v>1395.6606777721711</v>
      </c>
      <c r="AY104">
        <f t="shared" ca="1" si="40"/>
        <v>1199.9999999999993</v>
      </c>
      <c r="AZ104">
        <f t="shared" ca="1" si="46"/>
        <v>1707.0436954687445</v>
      </c>
      <c r="BA104">
        <f t="shared" ca="1" si="46"/>
        <v>1395.6606777721711</v>
      </c>
      <c r="BB104">
        <f t="shared" ca="1" si="46"/>
        <v>1085.0477440885788</v>
      </c>
      <c r="BC104">
        <f t="shared" ca="1" si="46"/>
        <v>1261.9653916081936</v>
      </c>
      <c r="BD104">
        <f t="shared" ca="1" si="46"/>
        <v>1085.0477440885793</v>
      </c>
      <c r="BE104">
        <f t="shared" ca="1" si="46"/>
        <v>1141.0772510686097</v>
      </c>
      <c r="BF104">
        <f t="shared" ca="1" si="46"/>
        <v>1031.7694142523269</v>
      </c>
      <c r="BG104">
        <f t="shared" ca="1" si="46"/>
        <v>1199.9999999999995</v>
      </c>
      <c r="BH104">
        <f t="shared" ca="1" si="46"/>
        <v>1467.7295614807629</v>
      </c>
      <c r="BI104">
        <f t="shared" ca="1" si="46"/>
        <v>1985.3781341705178</v>
      </c>
      <c r="BJ104">
        <f t="shared" ca="1" si="46"/>
        <v>1141.0772510686095</v>
      </c>
      <c r="BK104">
        <f t="shared" ca="1" si="46"/>
        <v>1141.0772510686093</v>
      </c>
      <c r="BL104">
        <f t="shared" ca="1" si="46"/>
        <v>1623.2239395662302</v>
      </c>
      <c r="BM104">
        <f t="shared" ca="1" si="46"/>
        <v>1199.9999999999995</v>
      </c>
      <c r="BN104">
        <f t="shared" ca="1" si="46"/>
        <v>1199.9999999999993</v>
      </c>
      <c r="BO104">
        <f t="shared" ca="1" si="46"/>
        <v>1261.9653916081936</v>
      </c>
      <c r="BP104">
        <f t="shared" ca="1" si="43"/>
        <v>1395.6606777721711</v>
      </c>
      <c r="BQ104">
        <f t="shared" ca="1" si="43"/>
        <v>1031.7694142523269</v>
      </c>
      <c r="BR104">
        <f t="shared" ca="1" si="43"/>
        <v>1199.9999999999995</v>
      </c>
      <c r="BS104">
        <f t="shared" ca="1" si="43"/>
        <v>1543.5199256908281</v>
      </c>
      <c r="BT104">
        <f t="shared" ca="1" si="43"/>
        <v>1467.7295614807629</v>
      </c>
      <c r="BU104">
        <f t="shared" ca="1" si="43"/>
        <v>843.56364387297208</v>
      </c>
      <c r="BV104">
        <f t="shared" ca="1" si="43"/>
        <v>932.93256279506875</v>
      </c>
      <c r="BW104">
        <f t="shared" ca="1" si="43"/>
        <v>1199.9999999999993</v>
      </c>
      <c r="BX104">
        <f t="shared" ca="1" si="42"/>
        <v>1327.1305413473517</v>
      </c>
      <c r="BY104">
        <f t="shared" ca="1" si="42"/>
        <v>1467.7295614807629</v>
      </c>
      <c r="BZ104">
        <f t="shared" ca="1" si="42"/>
        <v>1199.9999999999995</v>
      </c>
      <c r="CA104">
        <f t="shared" ca="1" si="42"/>
        <v>1395.6606777721711</v>
      </c>
      <c r="CB104">
        <f t="shared" ca="1" si="42"/>
        <v>1141.0772510686093</v>
      </c>
      <c r="CC104">
        <f t="shared" ca="1" si="42"/>
        <v>1623.2239395662305</v>
      </c>
      <c r="CD104">
        <f t="shared" ca="1" si="42"/>
        <v>1141.0772510686093</v>
      </c>
      <c r="CE104">
        <f t="shared" ca="1" si="42"/>
        <v>1141.0772510686097</v>
      </c>
      <c r="CF104">
        <f t="shared" ca="1" si="42"/>
        <v>1085.0477440885791</v>
      </c>
      <c r="CG104">
        <f t="shared" ca="1" si="42"/>
        <v>843.56364387297208</v>
      </c>
      <c r="CH104">
        <f t="shared" ca="1" si="42"/>
        <v>1467.7295614807629</v>
      </c>
      <c r="CI104">
        <f t="shared" ca="1" si="42"/>
        <v>1199.9999999999995</v>
      </c>
      <c r="CJ104">
        <f t="shared" ca="1" si="42"/>
        <v>802.14273654332578</v>
      </c>
      <c r="CK104">
        <f t="shared" ca="1" si="42"/>
        <v>1327.1305413473522</v>
      </c>
      <c r="CL104">
        <f t="shared" ca="1" si="42"/>
        <v>932.93256279506875</v>
      </c>
      <c r="CM104">
        <f t="shared" ca="1" si="42"/>
        <v>1261.9653916081936</v>
      </c>
      <c r="CN104">
        <f t="shared" ca="1" si="45"/>
        <v>1623.2239395662305</v>
      </c>
      <c r="CO104">
        <f t="shared" ca="1" si="45"/>
        <v>1707.0436954687445</v>
      </c>
      <c r="CP104">
        <f t="shared" ca="1" si="45"/>
        <v>1795.1917213704276</v>
      </c>
      <c r="CQ104">
        <f t="shared" ca="1" si="45"/>
        <v>981.10717245976275</v>
      </c>
      <c r="CR104">
        <f t="shared" ca="1" si="45"/>
        <v>1623.2239395662305</v>
      </c>
      <c r="CS104">
        <f t="shared" ca="1" si="45"/>
        <v>887.12343682215862</v>
      </c>
      <c r="CT104">
        <f t="shared" ca="1" si="45"/>
        <v>1623.2239395662305</v>
      </c>
      <c r="CU104">
        <f t="shared" ca="1" si="45"/>
        <v>1141.0772510686097</v>
      </c>
      <c r="CV104">
        <f t="shared" ca="1" si="45"/>
        <v>981.10717245976264</v>
      </c>
      <c r="CW104">
        <f t="shared" ca="1" si="45"/>
        <v>981.10717245976264</v>
      </c>
      <c r="CX104">
        <f t="shared" ca="1" si="45"/>
        <v>1085.0477440885795</v>
      </c>
      <c r="CY104">
        <f t="shared" ca="1" si="45"/>
        <v>802.14273654332578</v>
      </c>
    </row>
    <row r="105" spans="1:103">
      <c r="A105">
        <v>89</v>
      </c>
      <c r="B105">
        <v>89</v>
      </c>
      <c r="C105">
        <v>89</v>
      </c>
      <c r="D105">
        <f t="shared" ca="1" si="44"/>
        <v>865.06940700201312</v>
      </c>
      <c r="E105">
        <f t="shared" ca="1" si="44"/>
        <v>909.73971081296963</v>
      </c>
      <c r="F105">
        <f t="shared" ca="1" si="44"/>
        <v>865.06940700201312</v>
      </c>
      <c r="G105">
        <f t="shared" ca="1" si="44"/>
        <v>1431.2415710013781</v>
      </c>
      <c r="H105">
        <f t="shared" ca="1" si="44"/>
        <v>1582.870334101578</v>
      </c>
      <c r="I105">
        <f t="shared" ca="1" si="44"/>
        <v>1664.6063175329091</v>
      </c>
      <c r="J105">
        <f t="shared" ca="1" si="44"/>
        <v>1840.9582360980603</v>
      </c>
      <c r="K105">
        <f t="shared" ca="1" si="44"/>
        <v>1936.0213177931821</v>
      </c>
      <c r="L105">
        <f t="shared" ca="1" si="44"/>
        <v>1582.870334101578</v>
      </c>
      <c r="M105">
        <f t="shared" ca="1" si="44"/>
        <v>1170.167809026693</v>
      </c>
      <c r="N105">
        <f t="shared" ca="1" si="44"/>
        <v>1360.9643312111427</v>
      </c>
      <c r="O105">
        <f t="shared" ca="1" si="44"/>
        <v>1006.1194624136672</v>
      </c>
      <c r="P105">
        <f t="shared" ca="1" si="44"/>
        <v>1112.7098890109642</v>
      </c>
      <c r="Q105">
        <f t="shared" ca="1" si="44"/>
        <v>1170.1678090266932</v>
      </c>
      <c r="R105">
        <f t="shared" ca="1" si="44"/>
        <v>1582.870334101578</v>
      </c>
      <c r="S105">
        <f t="shared" ca="1" si="44"/>
        <v>1431.2415710013784</v>
      </c>
      <c r="T105">
        <f t="shared" ca="1" si="41"/>
        <v>1230.5927311380603</v>
      </c>
      <c r="U105">
        <f t="shared" ca="1" si="41"/>
        <v>1360.964331211143</v>
      </c>
      <c r="V105">
        <f t="shared" ca="1" si="41"/>
        <v>1840.9582360980601</v>
      </c>
      <c r="W105">
        <f t="shared" ca="1" si="41"/>
        <v>1664.6063175329091</v>
      </c>
      <c r="X105">
        <f t="shared" ca="1" si="41"/>
        <v>909.73971081296975</v>
      </c>
      <c r="Y105">
        <f t="shared" ca="1" si="41"/>
        <v>1505.1477746955675</v>
      </c>
      <c r="Z105">
        <f t="shared" ca="1" si="41"/>
        <v>1431.2415710013781</v>
      </c>
      <c r="AA105">
        <f t="shared" ca="1" si="41"/>
        <v>1431.2415710013781</v>
      </c>
      <c r="AB105">
        <f t="shared" ca="1" si="41"/>
        <v>1505.1477746955675</v>
      </c>
      <c r="AC105">
        <f t="shared" ca="1" si="41"/>
        <v>1505.1477746955675</v>
      </c>
      <c r="AD105">
        <f t="shared" ca="1" si="41"/>
        <v>1431.2415710013781</v>
      </c>
      <c r="AE105">
        <f t="shared" ca="1" si="41"/>
        <v>1230.5927311380603</v>
      </c>
      <c r="AF105">
        <f t="shared" ca="1" si="41"/>
        <v>1360.9643312111432</v>
      </c>
      <c r="AG105">
        <f t="shared" ca="1" si="41"/>
        <v>1750.5629694824099</v>
      </c>
      <c r="AH105">
        <f t="shared" ca="1" si="41"/>
        <v>956.71669201467876</v>
      </c>
      <c r="AI105">
        <f t="shared" ca="1" si="41"/>
        <v>865.06940700201312</v>
      </c>
      <c r="AJ105">
        <f t="shared" ca="1" si="40"/>
        <v>865.06940700201312</v>
      </c>
      <c r="AK105">
        <f t="shared" ca="1" si="40"/>
        <v>1294.1378648840334</v>
      </c>
      <c r="AL105">
        <f t="shared" ca="1" si="40"/>
        <v>1294.1378648840334</v>
      </c>
      <c r="AM105">
        <f t="shared" ca="1" si="40"/>
        <v>1230.5927311380608</v>
      </c>
      <c r="AN105">
        <f t="shared" ca="1" si="40"/>
        <v>1006.119462413667</v>
      </c>
      <c r="AO105">
        <f t="shared" ca="1" si="40"/>
        <v>1230.5927311380603</v>
      </c>
      <c r="AP105">
        <f t="shared" ca="1" si="40"/>
        <v>1230.5927311380603</v>
      </c>
      <c r="AQ105">
        <f t="shared" ca="1" si="40"/>
        <v>1170.167809026693</v>
      </c>
      <c r="AR105">
        <f t="shared" ca="1" si="40"/>
        <v>909.73971081296986</v>
      </c>
      <c r="AS105">
        <f t="shared" ca="1" si="40"/>
        <v>1294.1378648840334</v>
      </c>
      <c r="AT105">
        <f t="shared" ca="1" si="40"/>
        <v>1006.1194624136672</v>
      </c>
      <c r="AU105">
        <f t="shared" ca="1" si="40"/>
        <v>822.59251743784137</v>
      </c>
      <c r="AV105">
        <f t="shared" ca="1" si="40"/>
        <v>1170.1678090266928</v>
      </c>
      <c r="AW105">
        <f t="shared" ca="1" si="40"/>
        <v>1360.9643312111427</v>
      </c>
      <c r="AX105">
        <f t="shared" ca="1" si="40"/>
        <v>1360.9643312111427</v>
      </c>
      <c r="AY105">
        <f t="shared" ref="AY105:AY116" ca="1" si="47">AY104*(IF(RAND()&lt;$B$11,$B$9,$B$10))</f>
        <v>1170.1678090266928</v>
      </c>
      <c r="AZ105">
        <f t="shared" ca="1" si="46"/>
        <v>1664.6063175329091</v>
      </c>
      <c r="BA105">
        <f t="shared" ca="1" si="46"/>
        <v>1431.2415710013781</v>
      </c>
      <c r="BB105">
        <f t="shared" ca="1" si="46"/>
        <v>1112.7098890109637</v>
      </c>
      <c r="BC105">
        <f t="shared" ca="1" si="46"/>
        <v>1230.5927311380608</v>
      </c>
      <c r="BD105">
        <f t="shared" ca="1" si="46"/>
        <v>1112.7098890109642</v>
      </c>
      <c r="BE105">
        <f t="shared" ca="1" si="46"/>
        <v>1112.7098890109644</v>
      </c>
      <c r="BF105">
        <f t="shared" ca="1" si="46"/>
        <v>1006.1194624136668</v>
      </c>
      <c r="BG105">
        <f t="shared" ca="1" si="46"/>
        <v>1230.5927311380608</v>
      </c>
      <c r="BH105">
        <f t="shared" ca="1" si="46"/>
        <v>1431.2415710013781</v>
      </c>
      <c r="BI105">
        <f t="shared" ca="1" si="46"/>
        <v>2035.9932503922382</v>
      </c>
      <c r="BJ105">
        <f t="shared" ca="1" si="46"/>
        <v>1112.7098890109642</v>
      </c>
      <c r="BK105">
        <f t="shared" ca="1" si="46"/>
        <v>1170.1678090266926</v>
      </c>
      <c r="BL105">
        <f t="shared" ca="1" si="46"/>
        <v>1664.6063175329089</v>
      </c>
      <c r="BM105">
        <f t="shared" ca="1" si="46"/>
        <v>1230.5927311380608</v>
      </c>
      <c r="BN105">
        <f t="shared" ca="1" si="46"/>
        <v>1170.1678090266928</v>
      </c>
      <c r="BO105">
        <f t="shared" ca="1" si="46"/>
        <v>1294.1378648840334</v>
      </c>
      <c r="BP105">
        <f t="shared" ca="1" si="43"/>
        <v>1360.9643312111427</v>
      </c>
      <c r="BQ105">
        <f t="shared" ca="1" si="43"/>
        <v>1006.1194624136668</v>
      </c>
      <c r="BR105">
        <f t="shared" ca="1" si="43"/>
        <v>1170.167809026693</v>
      </c>
      <c r="BS105">
        <f t="shared" ca="1" si="43"/>
        <v>1505.1477746955675</v>
      </c>
      <c r="BT105">
        <f t="shared" ca="1" si="43"/>
        <v>1431.2415710013781</v>
      </c>
      <c r="BU105">
        <f t="shared" ca="1" si="43"/>
        <v>822.59251743784137</v>
      </c>
      <c r="BV105">
        <f t="shared" ca="1" si="43"/>
        <v>956.71669201467876</v>
      </c>
      <c r="BW105">
        <f t="shared" ca="1" si="43"/>
        <v>1170.1678090266928</v>
      </c>
      <c r="BX105">
        <f t="shared" ca="1" si="42"/>
        <v>1294.1378648840334</v>
      </c>
      <c r="BY105">
        <f t="shared" ca="1" si="42"/>
        <v>1505.1477746955675</v>
      </c>
      <c r="BZ105">
        <f t="shared" ca="1" si="42"/>
        <v>1170.167809026693</v>
      </c>
      <c r="CA105">
        <f t="shared" ca="1" si="42"/>
        <v>1431.2415710013781</v>
      </c>
      <c r="CB105">
        <f t="shared" ca="1" si="42"/>
        <v>1112.7098890109639</v>
      </c>
      <c r="CC105">
        <f t="shared" ca="1" si="42"/>
        <v>1582.870334101578</v>
      </c>
      <c r="CD105">
        <f t="shared" ca="1" si="42"/>
        <v>1170.1678090266926</v>
      </c>
      <c r="CE105">
        <f t="shared" ca="1" si="42"/>
        <v>1170.167809026693</v>
      </c>
      <c r="CF105">
        <f t="shared" ca="1" si="42"/>
        <v>1058.0732844912407</v>
      </c>
      <c r="CG105">
        <f t="shared" ca="1" si="42"/>
        <v>822.59251743784137</v>
      </c>
      <c r="CH105">
        <f t="shared" ca="1" si="42"/>
        <v>1431.2415710013781</v>
      </c>
      <c r="CI105">
        <f t="shared" ca="1" si="42"/>
        <v>1230.5927311380608</v>
      </c>
      <c r="CJ105">
        <f t="shared" ca="1" si="42"/>
        <v>822.59251743784137</v>
      </c>
      <c r="CK105">
        <f t="shared" ca="1" si="42"/>
        <v>1294.1378648840339</v>
      </c>
      <c r="CL105">
        <f t="shared" ca="1" si="42"/>
        <v>909.73971081296975</v>
      </c>
      <c r="CM105">
        <f t="shared" ca="1" si="42"/>
        <v>1230.5927311380608</v>
      </c>
      <c r="CN105">
        <f t="shared" ca="1" si="45"/>
        <v>1664.6063175329091</v>
      </c>
      <c r="CO105">
        <f t="shared" ca="1" si="45"/>
        <v>1664.6063175329091</v>
      </c>
      <c r="CP105">
        <f t="shared" ca="1" si="45"/>
        <v>1840.9582360980601</v>
      </c>
      <c r="CQ105">
        <f t="shared" ca="1" si="45"/>
        <v>1006.119462413667</v>
      </c>
      <c r="CR105">
        <f t="shared" ca="1" si="45"/>
        <v>1664.6063175329091</v>
      </c>
      <c r="CS105">
        <f t="shared" ca="1" si="45"/>
        <v>909.73971081296963</v>
      </c>
      <c r="CT105">
        <f t="shared" ca="1" si="45"/>
        <v>1664.6063175329091</v>
      </c>
      <c r="CU105">
        <f t="shared" ca="1" si="45"/>
        <v>1170.167809026693</v>
      </c>
      <c r="CV105">
        <f t="shared" ca="1" si="45"/>
        <v>956.71669201467887</v>
      </c>
      <c r="CW105">
        <f t="shared" ca="1" si="45"/>
        <v>1006.1194624136668</v>
      </c>
      <c r="CX105">
        <f t="shared" ca="1" si="45"/>
        <v>1058.0732844912411</v>
      </c>
      <c r="CY105">
        <f t="shared" ca="1" si="45"/>
        <v>822.59251743784137</v>
      </c>
    </row>
    <row r="106" spans="1:103">
      <c r="A106">
        <v>90</v>
      </c>
      <c r="B106">
        <v>90</v>
      </c>
      <c r="C106">
        <v>90</v>
      </c>
      <c r="D106">
        <f t="shared" ca="1" si="44"/>
        <v>843.56364387297219</v>
      </c>
      <c r="E106">
        <f t="shared" ca="1" si="44"/>
        <v>932.93256279506863</v>
      </c>
      <c r="F106">
        <f t="shared" ca="1" si="44"/>
        <v>887.12343682215874</v>
      </c>
      <c r="G106">
        <f t="shared" ca="1" si="44"/>
        <v>1467.7295614807629</v>
      </c>
      <c r="H106">
        <f t="shared" ca="1" si="44"/>
        <v>1623.2239395662305</v>
      </c>
      <c r="I106">
        <f t="shared" ca="1" si="44"/>
        <v>1623.2239395662305</v>
      </c>
      <c r="J106">
        <f t="shared" ca="1" si="44"/>
        <v>1887.89151972585</v>
      </c>
      <c r="K106">
        <f t="shared" ca="1" si="44"/>
        <v>1887.8915197258495</v>
      </c>
      <c r="L106">
        <f t="shared" ca="1" si="44"/>
        <v>1543.5199256908281</v>
      </c>
      <c r="M106">
        <f t="shared" ca="1" si="44"/>
        <v>1141.0772510686097</v>
      </c>
      <c r="N106">
        <f t="shared" ca="1" si="44"/>
        <v>1327.1305413473517</v>
      </c>
      <c r="O106">
        <f t="shared" ca="1" si="44"/>
        <v>1031.7694142523274</v>
      </c>
      <c r="P106">
        <f t="shared" ca="1" si="44"/>
        <v>1141.0772510686095</v>
      </c>
      <c r="Q106">
        <f t="shared" ca="1" si="44"/>
        <v>1199.9999999999998</v>
      </c>
      <c r="R106">
        <f t="shared" ca="1" si="44"/>
        <v>1623.2239395662305</v>
      </c>
      <c r="S106">
        <f t="shared" ca="1" si="44"/>
        <v>1395.6606777721713</v>
      </c>
      <c r="T106">
        <f t="shared" ca="1" si="41"/>
        <v>1199.9999999999991</v>
      </c>
      <c r="U106">
        <f t="shared" ca="1" si="41"/>
        <v>1395.6606777721713</v>
      </c>
      <c r="V106">
        <f t="shared" ca="1" si="41"/>
        <v>1795.1917213704276</v>
      </c>
      <c r="W106">
        <f t="shared" ca="1" si="41"/>
        <v>1623.2239395662305</v>
      </c>
      <c r="X106">
        <f t="shared" ca="1" si="41"/>
        <v>932.93256279506875</v>
      </c>
      <c r="Y106">
        <f t="shared" ca="1" si="41"/>
        <v>1543.5199256908281</v>
      </c>
      <c r="Z106">
        <f t="shared" ca="1" si="41"/>
        <v>1395.6606777721711</v>
      </c>
      <c r="AA106">
        <f t="shared" ca="1" si="41"/>
        <v>1467.7295614807629</v>
      </c>
      <c r="AB106">
        <f t="shared" ca="1" si="41"/>
        <v>1543.5199256908281</v>
      </c>
      <c r="AC106">
        <f t="shared" ca="1" si="41"/>
        <v>1543.5199256908281</v>
      </c>
      <c r="AD106">
        <f t="shared" ca="1" si="41"/>
        <v>1395.6606777721711</v>
      </c>
      <c r="AE106">
        <f t="shared" ca="1" si="41"/>
        <v>1261.9653916081932</v>
      </c>
      <c r="AF106">
        <f t="shared" ca="1" si="41"/>
        <v>1395.6606777721715</v>
      </c>
      <c r="AG106">
        <f t="shared" ca="1" si="41"/>
        <v>1707.043695468745</v>
      </c>
      <c r="AH106">
        <f t="shared" ca="1" si="41"/>
        <v>981.10717245976252</v>
      </c>
      <c r="AI106">
        <f t="shared" ca="1" si="41"/>
        <v>887.12343682215874</v>
      </c>
      <c r="AJ106">
        <f t="shared" ref="AJ106:AX116" ca="1" si="48">AJ105*(IF(RAND()&lt;$B$11,$B$9,$B$10))</f>
        <v>887.12343682215874</v>
      </c>
      <c r="AK106">
        <f t="shared" ca="1" si="48"/>
        <v>1261.9653916081936</v>
      </c>
      <c r="AL106">
        <f t="shared" ca="1" si="48"/>
        <v>1327.1305413473517</v>
      </c>
      <c r="AM106">
        <f t="shared" ca="1" si="48"/>
        <v>1199.9999999999995</v>
      </c>
      <c r="AN106">
        <f t="shared" ca="1" si="48"/>
        <v>981.10717245976264</v>
      </c>
      <c r="AO106">
        <f t="shared" ca="1" si="48"/>
        <v>1261.9653916081932</v>
      </c>
      <c r="AP106">
        <f t="shared" ca="1" si="48"/>
        <v>1199.9999999999991</v>
      </c>
      <c r="AQ106">
        <f t="shared" ca="1" si="48"/>
        <v>1141.0772510686097</v>
      </c>
      <c r="AR106">
        <f t="shared" ca="1" si="48"/>
        <v>932.93256279506886</v>
      </c>
      <c r="AS106">
        <f t="shared" ca="1" si="48"/>
        <v>1327.1305413473517</v>
      </c>
      <c r="AT106">
        <f t="shared" ca="1" si="48"/>
        <v>1031.7694142523274</v>
      </c>
      <c r="AU106">
        <f t="shared" ca="1" si="48"/>
        <v>843.56364387297208</v>
      </c>
      <c r="AV106">
        <f t="shared" ca="1" si="48"/>
        <v>1141.0772510686095</v>
      </c>
      <c r="AW106">
        <f t="shared" ca="1" si="48"/>
        <v>1395.6606777721711</v>
      </c>
      <c r="AX106">
        <f t="shared" ca="1" si="48"/>
        <v>1327.1305413473517</v>
      </c>
      <c r="AY106">
        <f t="shared" ca="1" si="47"/>
        <v>1199.9999999999993</v>
      </c>
      <c r="AZ106">
        <f t="shared" ca="1" si="46"/>
        <v>1623.2239395662305</v>
      </c>
      <c r="BA106">
        <f t="shared" ca="1" si="46"/>
        <v>1467.7295614807629</v>
      </c>
      <c r="BB106">
        <f t="shared" ca="1" si="46"/>
        <v>1141.077251068609</v>
      </c>
      <c r="BC106">
        <f t="shared" ca="1" si="46"/>
        <v>1199.9999999999995</v>
      </c>
      <c r="BD106">
        <f t="shared" ca="1" si="46"/>
        <v>1085.0477440885793</v>
      </c>
      <c r="BE106">
        <f t="shared" ca="1" si="46"/>
        <v>1085.0477440885795</v>
      </c>
      <c r="BF106">
        <f t="shared" ca="1" si="46"/>
        <v>1031.7694142523269</v>
      </c>
      <c r="BG106">
        <f t="shared" ca="1" si="46"/>
        <v>1199.9999999999995</v>
      </c>
      <c r="BH106">
        <f t="shared" ca="1" si="46"/>
        <v>1467.7295614807629</v>
      </c>
      <c r="BI106">
        <f t="shared" ca="1" si="46"/>
        <v>1985.3781341705178</v>
      </c>
      <c r="BJ106">
        <f t="shared" ca="1" si="46"/>
        <v>1141.0772510686095</v>
      </c>
      <c r="BK106">
        <f t="shared" ca="1" si="46"/>
        <v>1199.9999999999991</v>
      </c>
      <c r="BL106">
        <f t="shared" ca="1" si="46"/>
        <v>1707.0436954687443</v>
      </c>
      <c r="BM106">
        <f t="shared" ca="1" si="46"/>
        <v>1199.9999999999995</v>
      </c>
      <c r="BN106">
        <f t="shared" ca="1" si="46"/>
        <v>1199.9999999999993</v>
      </c>
      <c r="BO106">
        <f t="shared" ca="1" si="46"/>
        <v>1327.1305413473517</v>
      </c>
      <c r="BP106">
        <f t="shared" ca="1" si="43"/>
        <v>1327.1305413473517</v>
      </c>
      <c r="BQ106">
        <f t="shared" ca="1" si="43"/>
        <v>981.10717245976264</v>
      </c>
      <c r="BR106">
        <f t="shared" ca="1" si="43"/>
        <v>1141.0772510686097</v>
      </c>
      <c r="BS106">
        <f t="shared" ca="1" si="43"/>
        <v>1543.5199256908281</v>
      </c>
      <c r="BT106">
        <f t="shared" ca="1" si="43"/>
        <v>1395.6606777721711</v>
      </c>
      <c r="BU106">
        <f t="shared" ca="1" si="43"/>
        <v>802.14273654332578</v>
      </c>
      <c r="BV106">
        <f t="shared" ca="1" si="43"/>
        <v>932.93256279506875</v>
      </c>
      <c r="BW106">
        <f t="shared" ca="1" si="43"/>
        <v>1141.0772510686095</v>
      </c>
      <c r="BX106">
        <f t="shared" ca="1" si="42"/>
        <v>1261.9653916081936</v>
      </c>
      <c r="BY106">
        <f t="shared" ca="1" si="42"/>
        <v>1543.5199256908281</v>
      </c>
      <c r="BZ106">
        <f t="shared" ca="1" si="42"/>
        <v>1199.9999999999995</v>
      </c>
      <c r="CA106">
        <f t="shared" ca="1" si="42"/>
        <v>1395.6606777721711</v>
      </c>
      <c r="CB106">
        <f t="shared" ca="1" si="42"/>
        <v>1141.0772510686093</v>
      </c>
      <c r="CC106">
        <f t="shared" ca="1" si="42"/>
        <v>1543.5199256908281</v>
      </c>
      <c r="CD106">
        <f t="shared" ca="1" si="42"/>
        <v>1199.9999999999991</v>
      </c>
      <c r="CE106">
        <f t="shared" ca="1" si="42"/>
        <v>1199.9999999999995</v>
      </c>
      <c r="CF106">
        <f t="shared" ca="1" si="42"/>
        <v>1085.0477440885791</v>
      </c>
      <c r="CG106">
        <f t="shared" ca="1" si="42"/>
        <v>802.14273654332578</v>
      </c>
      <c r="CH106">
        <f t="shared" ca="1" si="42"/>
        <v>1467.7295614807629</v>
      </c>
      <c r="CI106">
        <f t="shared" ca="1" si="42"/>
        <v>1261.9653916081936</v>
      </c>
      <c r="CJ106">
        <f t="shared" ca="1" si="42"/>
        <v>843.56364387297208</v>
      </c>
      <c r="CK106">
        <f t="shared" ca="1" si="42"/>
        <v>1327.1305413473522</v>
      </c>
      <c r="CL106">
        <f t="shared" ca="1" si="42"/>
        <v>887.12343682215874</v>
      </c>
      <c r="CM106">
        <f t="shared" ca="1" si="42"/>
        <v>1199.9999999999995</v>
      </c>
      <c r="CN106">
        <f t="shared" ca="1" si="45"/>
        <v>1707.0436954687445</v>
      </c>
      <c r="CO106">
        <f t="shared" ca="1" si="45"/>
        <v>1623.2239395662305</v>
      </c>
      <c r="CP106">
        <f t="shared" ca="1" si="45"/>
        <v>1795.1917213704276</v>
      </c>
      <c r="CQ106">
        <f t="shared" ca="1" si="45"/>
        <v>981.10717245976264</v>
      </c>
      <c r="CR106">
        <f t="shared" ca="1" si="45"/>
        <v>1623.2239395662305</v>
      </c>
      <c r="CS106">
        <f t="shared" ca="1" si="45"/>
        <v>932.93256279506863</v>
      </c>
      <c r="CT106">
        <f t="shared" ca="1" si="45"/>
        <v>1707.0436954687445</v>
      </c>
      <c r="CU106">
        <f t="shared" ca="1" si="45"/>
        <v>1199.9999999999995</v>
      </c>
      <c r="CV106">
        <f t="shared" ca="1" si="45"/>
        <v>981.10717245976264</v>
      </c>
      <c r="CW106">
        <f t="shared" ca="1" si="45"/>
        <v>1031.7694142523269</v>
      </c>
      <c r="CX106">
        <f t="shared" ca="1" si="45"/>
        <v>1031.7694142523274</v>
      </c>
      <c r="CY106">
        <f t="shared" ca="1" si="45"/>
        <v>802.14273654332578</v>
      </c>
    </row>
    <row r="107" spans="1:103">
      <c r="A107">
        <v>91</v>
      </c>
      <c r="B107">
        <v>91</v>
      </c>
      <c r="C107">
        <v>91</v>
      </c>
      <c r="D107">
        <f t="shared" ca="1" si="44"/>
        <v>865.06940700201312</v>
      </c>
      <c r="E107">
        <f t="shared" ca="1" si="44"/>
        <v>956.71669201467864</v>
      </c>
      <c r="F107">
        <f t="shared" ca="1" si="44"/>
        <v>865.06940700201312</v>
      </c>
      <c r="G107">
        <f t="shared" ca="1" si="44"/>
        <v>1431.2415710013781</v>
      </c>
      <c r="H107">
        <f t="shared" ca="1" si="44"/>
        <v>1664.6063175329091</v>
      </c>
      <c r="I107">
        <f t="shared" ca="1" si="44"/>
        <v>1664.6063175329091</v>
      </c>
      <c r="J107">
        <f t="shared" ca="1" si="44"/>
        <v>1936.0213177931826</v>
      </c>
      <c r="K107">
        <f t="shared" ca="1" si="44"/>
        <v>1936.0213177931819</v>
      </c>
      <c r="L107">
        <f t="shared" ca="1" si="44"/>
        <v>1582.870334101578</v>
      </c>
      <c r="M107">
        <f t="shared" ca="1" si="44"/>
        <v>1170.167809026693</v>
      </c>
      <c r="N107">
        <f t="shared" ca="1" si="44"/>
        <v>1360.9643312111427</v>
      </c>
      <c r="O107">
        <f t="shared" ca="1" si="44"/>
        <v>1058.0732844912411</v>
      </c>
      <c r="P107">
        <f t="shared" ca="1" si="44"/>
        <v>1112.7098890109642</v>
      </c>
      <c r="Q107">
        <f t="shared" ca="1" si="44"/>
        <v>1230.592731138061</v>
      </c>
      <c r="R107">
        <f t="shared" ca="1" si="44"/>
        <v>1664.6063175329091</v>
      </c>
      <c r="S107">
        <f t="shared" ca="1" si="44"/>
        <v>1431.2415710013784</v>
      </c>
      <c r="T107">
        <f t="shared" ca="1" si="41"/>
        <v>1170.1678090266926</v>
      </c>
      <c r="U107">
        <f t="shared" ca="1" si="41"/>
        <v>1431.2415710013784</v>
      </c>
      <c r="V107">
        <f t="shared" ca="1" si="41"/>
        <v>1750.5629694824095</v>
      </c>
      <c r="W107">
        <f t="shared" ca="1" si="41"/>
        <v>1582.870334101578</v>
      </c>
      <c r="X107">
        <f t="shared" ca="1" si="41"/>
        <v>909.73971081296975</v>
      </c>
      <c r="Y107">
        <f t="shared" ca="1" si="41"/>
        <v>1582.870334101578</v>
      </c>
      <c r="Z107">
        <f t="shared" ca="1" si="41"/>
        <v>1360.9643312111427</v>
      </c>
      <c r="AA107">
        <f t="shared" ca="1" si="41"/>
        <v>1505.1477746955675</v>
      </c>
      <c r="AB107">
        <f t="shared" ca="1" si="41"/>
        <v>1505.1477746955675</v>
      </c>
      <c r="AC107">
        <f t="shared" ca="1" si="41"/>
        <v>1505.1477746955675</v>
      </c>
      <c r="AD107">
        <f t="shared" ca="1" si="41"/>
        <v>1431.2415710013781</v>
      </c>
      <c r="AE107">
        <f t="shared" ca="1" si="41"/>
        <v>1230.5927311380603</v>
      </c>
      <c r="AF107">
        <f t="shared" ca="1" si="41"/>
        <v>1360.9643312111432</v>
      </c>
      <c r="AG107">
        <f t="shared" ca="1" si="41"/>
        <v>1664.6063175329095</v>
      </c>
      <c r="AH107">
        <f t="shared" ca="1" si="41"/>
        <v>956.71669201467876</v>
      </c>
      <c r="AI107">
        <f t="shared" ca="1" si="41"/>
        <v>909.73971081296975</v>
      </c>
      <c r="AJ107">
        <f t="shared" ca="1" si="48"/>
        <v>865.06940700201312</v>
      </c>
      <c r="AK107">
        <f t="shared" ca="1" si="48"/>
        <v>1230.5927311380608</v>
      </c>
      <c r="AL107">
        <f t="shared" ca="1" si="48"/>
        <v>1360.9643312111427</v>
      </c>
      <c r="AM107">
        <f t="shared" ca="1" si="48"/>
        <v>1170.167809026693</v>
      </c>
      <c r="AN107">
        <f t="shared" ca="1" si="48"/>
        <v>1006.1194624136668</v>
      </c>
      <c r="AO107">
        <f t="shared" ca="1" si="48"/>
        <v>1230.5927311380603</v>
      </c>
      <c r="AP107">
        <f t="shared" ca="1" si="48"/>
        <v>1230.5927311380603</v>
      </c>
      <c r="AQ107">
        <f t="shared" ca="1" si="48"/>
        <v>1170.167809026693</v>
      </c>
      <c r="AR107">
        <f t="shared" ca="1" si="48"/>
        <v>909.73971081296975</v>
      </c>
      <c r="AS107">
        <f t="shared" ca="1" si="48"/>
        <v>1294.1378648840334</v>
      </c>
      <c r="AT107">
        <f t="shared" ca="1" si="48"/>
        <v>1006.1194624136672</v>
      </c>
      <c r="AU107">
        <f t="shared" ca="1" si="48"/>
        <v>865.06940700201301</v>
      </c>
      <c r="AV107">
        <f t="shared" ca="1" si="48"/>
        <v>1112.7098890109642</v>
      </c>
      <c r="AW107">
        <f t="shared" ca="1" si="48"/>
        <v>1360.9643312111427</v>
      </c>
      <c r="AX107">
        <f t="shared" ca="1" si="48"/>
        <v>1294.1378648840334</v>
      </c>
      <c r="AY107">
        <f t="shared" ca="1" si="47"/>
        <v>1230.5927311380606</v>
      </c>
      <c r="AZ107">
        <f t="shared" ca="1" si="46"/>
        <v>1664.6063175329091</v>
      </c>
      <c r="BA107">
        <f t="shared" ca="1" si="46"/>
        <v>1431.2415710013781</v>
      </c>
      <c r="BB107">
        <f t="shared" ca="1" si="46"/>
        <v>1170.1678090266923</v>
      </c>
      <c r="BC107">
        <f t="shared" ca="1" si="46"/>
        <v>1230.5927311380608</v>
      </c>
      <c r="BD107">
        <f t="shared" ca="1" si="46"/>
        <v>1058.0732844912409</v>
      </c>
      <c r="BE107">
        <f t="shared" ca="1" si="46"/>
        <v>1112.7098890109644</v>
      </c>
      <c r="BF107">
        <f t="shared" ca="1" si="46"/>
        <v>1006.1194624136668</v>
      </c>
      <c r="BG107">
        <f t="shared" ca="1" si="46"/>
        <v>1230.5927311380608</v>
      </c>
      <c r="BH107">
        <f t="shared" ca="1" si="46"/>
        <v>1505.1477746955675</v>
      </c>
      <c r="BI107">
        <f t="shared" ca="1" si="46"/>
        <v>1936.0213177931828</v>
      </c>
      <c r="BJ107">
        <f t="shared" ca="1" si="46"/>
        <v>1112.7098890109642</v>
      </c>
      <c r="BK107">
        <f t="shared" ca="1" si="46"/>
        <v>1170.1678090266926</v>
      </c>
      <c r="BL107">
        <f t="shared" ca="1" si="46"/>
        <v>1750.5629694824092</v>
      </c>
      <c r="BM107">
        <f t="shared" ca="1" si="46"/>
        <v>1170.167809026693</v>
      </c>
      <c r="BN107">
        <f t="shared" ca="1" si="46"/>
        <v>1230.5927311380606</v>
      </c>
      <c r="BO107">
        <f t="shared" ca="1" si="46"/>
        <v>1294.1378648840334</v>
      </c>
      <c r="BP107">
        <f t="shared" ca="1" si="43"/>
        <v>1294.1378648840334</v>
      </c>
      <c r="BQ107">
        <f t="shared" ca="1" si="43"/>
        <v>1006.1194624136668</v>
      </c>
      <c r="BR107">
        <f t="shared" ca="1" si="43"/>
        <v>1170.167809026693</v>
      </c>
      <c r="BS107">
        <f t="shared" ca="1" si="43"/>
        <v>1505.1477746955675</v>
      </c>
      <c r="BT107">
        <f t="shared" ca="1" si="43"/>
        <v>1360.9643312111427</v>
      </c>
      <c r="BU107">
        <f t="shared" ca="1" si="43"/>
        <v>822.59251743784137</v>
      </c>
      <c r="BV107">
        <f t="shared" ca="1" si="43"/>
        <v>909.73971081296975</v>
      </c>
      <c r="BW107">
        <f t="shared" ca="1" si="43"/>
        <v>1170.1678090266928</v>
      </c>
      <c r="BX107">
        <f t="shared" ca="1" si="42"/>
        <v>1294.1378648840334</v>
      </c>
      <c r="BY107">
        <f t="shared" ca="1" si="42"/>
        <v>1582.870334101578</v>
      </c>
      <c r="BZ107">
        <f t="shared" ca="1" si="42"/>
        <v>1170.167809026693</v>
      </c>
      <c r="CA107">
        <f t="shared" ca="1" si="42"/>
        <v>1360.9643312111427</v>
      </c>
      <c r="CB107">
        <f t="shared" ca="1" si="42"/>
        <v>1112.7098890109639</v>
      </c>
      <c r="CC107">
        <f t="shared" ca="1" si="42"/>
        <v>1582.870334101578</v>
      </c>
      <c r="CD107">
        <f t="shared" ca="1" si="42"/>
        <v>1230.5927311380603</v>
      </c>
      <c r="CE107">
        <f t="shared" ca="1" si="42"/>
        <v>1170.167809026693</v>
      </c>
      <c r="CF107">
        <f t="shared" ca="1" si="42"/>
        <v>1112.7098890109639</v>
      </c>
      <c r="CG107">
        <f t="shared" ca="1" si="42"/>
        <v>782.20134045631642</v>
      </c>
      <c r="CH107">
        <f t="shared" ca="1" si="42"/>
        <v>1505.1477746955675</v>
      </c>
      <c r="CI107">
        <f t="shared" ca="1" si="42"/>
        <v>1294.1378648840334</v>
      </c>
      <c r="CJ107">
        <f t="shared" ca="1" si="42"/>
        <v>865.06940700201301</v>
      </c>
      <c r="CK107">
        <f t="shared" ca="1" si="42"/>
        <v>1294.1378648840339</v>
      </c>
      <c r="CL107">
        <f t="shared" ca="1" si="42"/>
        <v>909.73971081296975</v>
      </c>
      <c r="CM107">
        <f t="shared" ca="1" si="42"/>
        <v>1170.167809026693</v>
      </c>
      <c r="CN107">
        <f t="shared" ca="1" si="45"/>
        <v>1750.5629694824095</v>
      </c>
      <c r="CO107">
        <f t="shared" ca="1" si="45"/>
        <v>1582.870334101578</v>
      </c>
      <c r="CP107">
        <f t="shared" ca="1" si="45"/>
        <v>1750.5629694824095</v>
      </c>
      <c r="CQ107">
        <f t="shared" ca="1" si="45"/>
        <v>956.71669201467887</v>
      </c>
      <c r="CR107">
        <f t="shared" ca="1" si="45"/>
        <v>1664.6063175329091</v>
      </c>
      <c r="CS107">
        <f t="shared" ca="1" si="45"/>
        <v>909.73971081296963</v>
      </c>
      <c r="CT107">
        <f t="shared" ca="1" si="45"/>
        <v>1664.6063175329091</v>
      </c>
      <c r="CU107">
        <f t="shared" ca="1" si="45"/>
        <v>1230.5927311380608</v>
      </c>
      <c r="CV107">
        <f t="shared" ca="1" si="45"/>
        <v>956.71669201467887</v>
      </c>
      <c r="CW107">
        <f t="shared" ca="1" si="45"/>
        <v>1058.0732844912407</v>
      </c>
      <c r="CX107">
        <f t="shared" ca="1" si="45"/>
        <v>1058.0732844912411</v>
      </c>
      <c r="CY107">
        <f t="shared" ca="1" si="45"/>
        <v>822.59251743784137</v>
      </c>
    </row>
    <row r="108" spans="1:103">
      <c r="A108">
        <v>92</v>
      </c>
      <c r="B108">
        <v>92</v>
      </c>
      <c r="C108">
        <v>92</v>
      </c>
      <c r="D108">
        <f t="shared" ca="1" si="44"/>
        <v>843.56364387297219</v>
      </c>
      <c r="E108">
        <f t="shared" ca="1" si="44"/>
        <v>981.10717245976241</v>
      </c>
      <c r="F108">
        <f t="shared" ca="1" si="44"/>
        <v>843.56364387297219</v>
      </c>
      <c r="G108">
        <f t="shared" ca="1" si="44"/>
        <v>1467.7295614807629</v>
      </c>
      <c r="H108">
        <f t="shared" ca="1" si="44"/>
        <v>1623.2239395662305</v>
      </c>
      <c r="I108">
        <f t="shared" ca="1" si="44"/>
        <v>1623.2239395662305</v>
      </c>
      <c r="J108">
        <f t="shared" ca="1" si="44"/>
        <v>1985.3781341705176</v>
      </c>
      <c r="K108">
        <f t="shared" ca="1" si="44"/>
        <v>1887.8915197258493</v>
      </c>
      <c r="L108">
        <f t="shared" ca="1" si="44"/>
        <v>1623.2239395662305</v>
      </c>
      <c r="M108">
        <f t="shared" ca="1" si="44"/>
        <v>1199.9999999999995</v>
      </c>
      <c r="N108">
        <f t="shared" ca="1" si="44"/>
        <v>1395.6606777721711</v>
      </c>
      <c r="O108">
        <f t="shared" ca="1" si="44"/>
        <v>1031.7694142523274</v>
      </c>
      <c r="P108">
        <f t="shared" ca="1" si="44"/>
        <v>1141.0772510686095</v>
      </c>
      <c r="Q108">
        <f t="shared" ca="1" si="44"/>
        <v>1199.9999999999998</v>
      </c>
      <c r="R108">
        <f t="shared" ca="1" si="44"/>
        <v>1707.0436954687445</v>
      </c>
      <c r="S108">
        <f t="shared" ca="1" si="44"/>
        <v>1467.7295614807631</v>
      </c>
      <c r="T108">
        <f t="shared" ca="1" si="41"/>
        <v>1199.9999999999991</v>
      </c>
      <c r="U108">
        <f t="shared" ca="1" si="41"/>
        <v>1395.6606777721713</v>
      </c>
      <c r="V108">
        <f t="shared" ca="1" si="41"/>
        <v>1707.0436954687445</v>
      </c>
      <c r="W108">
        <f t="shared" ca="1" si="41"/>
        <v>1623.2239395662305</v>
      </c>
      <c r="X108">
        <f t="shared" ca="1" si="41"/>
        <v>887.12343682215874</v>
      </c>
      <c r="Y108">
        <f t="shared" ca="1" si="41"/>
        <v>1623.2239395662305</v>
      </c>
      <c r="Z108">
        <f t="shared" ca="1" si="41"/>
        <v>1395.6606777721711</v>
      </c>
      <c r="AA108">
        <f t="shared" ca="1" si="41"/>
        <v>1543.5199256908281</v>
      </c>
      <c r="AB108">
        <f t="shared" ca="1" si="41"/>
        <v>1543.5199256908281</v>
      </c>
      <c r="AC108">
        <f t="shared" ca="1" si="41"/>
        <v>1467.7295614807629</v>
      </c>
      <c r="AD108">
        <f t="shared" ca="1" si="41"/>
        <v>1467.7295614807629</v>
      </c>
      <c r="AE108">
        <f t="shared" ca="1" si="41"/>
        <v>1199.9999999999991</v>
      </c>
      <c r="AF108">
        <f t="shared" ca="1" si="41"/>
        <v>1327.1305413473522</v>
      </c>
      <c r="AG108">
        <f t="shared" ca="1" si="41"/>
        <v>1707.043695468745</v>
      </c>
      <c r="AH108">
        <f t="shared" ca="1" si="41"/>
        <v>981.10717245976252</v>
      </c>
      <c r="AI108">
        <f t="shared" ca="1" si="41"/>
        <v>932.93256279506875</v>
      </c>
      <c r="AJ108">
        <f t="shared" ca="1" si="48"/>
        <v>843.56364387297219</v>
      </c>
      <c r="AK108">
        <f t="shared" ca="1" si="48"/>
        <v>1199.9999999999995</v>
      </c>
      <c r="AL108">
        <f t="shared" ca="1" si="48"/>
        <v>1395.6606777721711</v>
      </c>
      <c r="AM108">
        <f t="shared" ca="1" si="48"/>
        <v>1199.9999999999995</v>
      </c>
      <c r="AN108">
        <f t="shared" ca="1" si="48"/>
        <v>981.10717245976264</v>
      </c>
      <c r="AO108">
        <f t="shared" ca="1" si="48"/>
        <v>1261.9653916081932</v>
      </c>
      <c r="AP108">
        <f t="shared" ca="1" si="48"/>
        <v>1261.9653916081932</v>
      </c>
      <c r="AQ108">
        <f t="shared" ca="1" si="48"/>
        <v>1141.0772510686097</v>
      </c>
      <c r="AR108">
        <f t="shared" ca="1" si="48"/>
        <v>887.12343682215874</v>
      </c>
      <c r="AS108">
        <f t="shared" ca="1" si="48"/>
        <v>1261.9653916081936</v>
      </c>
      <c r="AT108">
        <f t="shared" ca="1" si="48"/>
        <v>981.10717245976286</v>
      </c>
      <c r="AU108">
        <f t="shared" ca="1" si="48"/>
        <v>887.12343682215862</v>
      </c>
      <c r="AV108">
        <f t="shared" ca="1" si="48"/>
        <v>1141.0772510686095</v>
      </c>
      <c r="AW108">
        <f t="shared" ca="1" si="48"/>
        <v>1395.6606777721711</v>
      </c>
      <c r="AX108">
        <f t="shared" ca="1" si="48"/>
        <v>1261.9653916081936</v>
      </c>
      <c r="AY108">
        <f t="shared" ca="1" si="47"/>
        <v>1261.9653916081934</v>
      </c>
      <c r="AZ108">
        <f t="shared" ca="1" si="46"/>
        <v>1707.0436954687445</v>
      </c>
      <c r="BA108">
        <f t="shared" ca="1" si="46"/>
        <v>1467.7295614807629</v>
      </c>
      <c r="BB108">
        <f t="shared" ca="1" si="46"/>
        <v>1199.9999999999989</v>
      </c>
      <c r="BC108">
        <f t="shared" ca="1" si="46"/>
        <v>1199.9999999999995</v>
      </c>
      <c r="BD108">
        <f t="shared" ca="1" si="46"/>
        <v>1031.7694142523271</v>
      </c>
      <c r="BE108">
        <f t="shared" ca="1" si="46"/>
        <v>1085.0477440885795</v>
      </c>
      <c r="BF108">
        <f t="shared" ca="1" si="46"/>
        <v>1031.7694142523269</v>
      </c>
      <c r="BG108">
        <f t="shared" ca="1" si="46"/>
        <v>1261.9653916081936</v>
      </c>
      <c r="BH108">
        <f t="shared" ca="1" si="46"/>
        <v>1467.7295614807629</v>
      </c>
      <c r="BI108">
        <f t="shared" ca="1" si="46"/>
        <v>1985.3781341705178</v>
      </c>
      <c r="BJ108">
        <f t="shared" ca="1" si="46"/>
        <v>1085.0477440885793</v>
      </c>
      <c r="BK108">
        <f t="shared" ca="1" si="46"/>
        <v>1141.0772510686093</v>
      </c>
      <c r="BL108">
        <f t="shared" ca="1" si="46"/>
        <v>1707.0436954687443</v>
      </c>
      <c r="BM108">
        <f t="shared" ca="1" si="46"/>
        <v>1199.9999999999995</v>
      </c>
      <c r="BN108">
        <f t="shared" ca="1" si="46"/>
        <v>1261.9653916081934</v>
      </c>
      <c r="BO108">
        <f t="shared" ca="1" si="46"/>
        <v>1261.9653916081936</v>
      </c>
      <c r="BP108">
        <f t="shared" ca="1" si="43"/>
        <v>1261.9653916081936</v>
      </c>
      <c r="BQ108">
        <f t="shared" ca="1" si="43"/>
        <v>1031.7694142523269</v>
      </c>
      <c r="BR108">
        <f t="shared" ca="1" si="43"/>
        <v>1141.0772510686097</v>
      </c>
      <c r="BS108">
        <f t="shared" ca="1" si="43"/>
        <v>1467.7295614807629</v>
      </c>
      <c r="BT108">
        <f t="shared" ca="1" si="43"/>
        <v>1395.6606777721711</v>
      </c>
      <c r="BU108">
        <f t="shared" ca="1" si="43"/>
        <v>843.56364387297208</v>
      </c>
      <c r="BV108">
        <f t="shared" ca="1" si="43"/>
        <v>932.93256279506875</v>
      </c>
      <c r="BW108">
        <f t="shared" ca="1" si="43"/>
        <v>1199.9999999999993</v>
      </c>
      <c r="BX108">
        <f t="shared" ca="1" si="42"/>
        <v>1261.9653916081936</v>
      </c>
      <c r="BY108">
        <f t="shared" ca="1" si="42"/>
        <v>1623.2239395662305</v>
      </c>
      <c r="BZ108">
        <f t="shared" ca="1" si="42"/>
        <v>1141.0772510686097</v>
      </c>
      <c r="CA108">
        <f t="shared" ca="1" si="42"/>
        <v>1327.1305413473517</v>
      </c>
      <c r="CB108">
        <f t="shared" ca="1" si="42"/>
        <v>1085.0477440885791</v>
      </c>
      <c r="CC108">
        <f t="shared" ca="1" si="42"/>
        <v>1623.2239395662305</v>
      </c>
      <c r="CD108">
        <f t="shared" ca="1" si="42"/>
        <v>1199.9999999999991</v>
      </c>
      <c r="CE108">
        <f t="shared" ca="1" si="42"/>
        <v>1141.0772510686097</v>
      </c>
      <c r="CF108">
        <f t="shared" ca="1" si="42"/>
        <v>1141.0772510686093</v>
      </c>
      <c r="CG108">
        <f t="shared" ca="1" si="42"/>
        <v>762.755690649592</v>
      </c>
      <c r="CH108">
        <f t="shared" ca="1" si="42"/>
        <v>1467.7295614807629</v>
      </c>
      <c r="CI108">
        <f t="shared" ca="1" si="42"/>
        <v>1261.9653916081936</v>
      </c>
      <c r="CJ108">
        <f t="shared" ca="1" si="42"/>
        <v>843.56364387297208</v>
      </c>
      <c r="CK108">
        <f t="shared" ca="1" si="42"/>
        <v>1327.1305413473522</v>
      </c>
      <c r="CL108">
        <f t="shared" ca="1" si="42"/>
        <v>887.12343682215874</v>
      </c>
      <c r="CM108">
        <f t="shared" ca="1" si="42"/>
        <v>1199.9999999999995</v>
      </c>
      <c r="CN108">
        <f t="shared" ca="1" si="45"/>
        <v>1795.1917213704276</v>
      </c>
      <c r="CO108">
        <f t="shared" ca="1" si="45"/>
        <v>1543.5199256908281</v>
      </c>
      <c r="CP108">
        <f t="shared" ca="1" si="45"/>
        <v>1795.1917213704276</v>
      </c>
      <c r="CQ108">
        <f t="shared" ca="1" si="45"/>
        <v>981.10717245976264</v>
      </c>
      <c r="CR108">
        <f t="shared" ca="1" si="45"/>
        <v>1623.2239395662305</v>
      </c>
      <c r="CS108">
        <f t="shared" ca="1" si="45"/>
        <v>932.93256279506863</v>
      </c>
      <c r="CT108">
        <f t="shared" ca="1" si="45"/>
        <v>1623.2239395662305</v>
      </c>
      <c r="CU108">
        <f t="shared" ca="1" si="45"/>
        <v>1199.9999999999995</v>
      </c>
      <c r="CV108">
        <f t="shared" ca="1" si="45"/>
        <v>932.93256279506875</v>
      </c>
      <c r="CW108">
        <f t="shared" ca="1" si="45"/>
        <v>1085.0477440885791</v>
      </c>
      <c r="CX108">
        <f t="shared" ca="1" si="45"/>
        <v>1085.0477440885795</v>
      </c>
      <c r="CY108">
        <f t="shared" ca="1" si="45"/>
        <v>802.14273654332578</v>
      </c>
    </row>
    <row r="109" spans="1:103">
      <c r="A109">
        <v>93</v>
      </c>
      <c r="B109">
        <v>93</v>
      </c>
      <c r="C109">
        <v>93</v>
      </c>
      <c r="D109">
        <f t="shared" ca="1" si="44"/>
        <v>822.59251743784137</v>
      </c>
      <c r="E109">
        <f t="shared" ca="1" si="44"/>
        <v>956.71669201467864</v>
      </c>
      <c r="F109">
        <f t="shared" ca="1" si="44"/>
        <v>865.06940700201312</v>
      </c>
      <c r="G109">
        <f t="shared" ca="1" si="44"/>
        <v>1431.2415710013781</v>
      </c>
      <c r="H109">
        <f t="shared" ca="1" si="44"/>
        <v>1582.870334101578</v>
      </c>
      <c r="I109">
        <f t="shared" ca="1" si="44"/>
        <v>1582.870334101578</v>
      </c>
      <c r="J109">
        <f t="shared" ca="1" si="44"/>
        <v>1936.0213177931826</v>
      </c>
      <c r="K109">
        <f t="shared" ca="1" si="44"/>
        <v>1840.9582360980596</v>
      </c>
      <c r="L109">
        <f t="shared" ca="1" si="44"/>
        <v>1664.6063175329091</v>
      </c>
      <c r="M109">
        <f t="shared" ca="1" si="44"/>
        <v>1170.167809026693</v>
      </c>
      <c r="N109">
        <f t="shared" ca="1" si="44"/>
        <v>1360.9643312111427</v>
      </c>
      <c r="O109">
        <f t="shared" ca="1" si="44"/>
        <v>1058.0732844912411</v>
      </c>
      <c r="P109">
        <f t="shared" ca="1" si="44"/>
        <v>1112.7098890109642</v>
      </c>
      <c r="Q109">
        <f t="shared" ca="1" si="44"/>
        <v>1170.1678090266932</v>
      </c>
      <c r="R109">
        <f t="shared" ca="1" si="44"/>
        <v>1750.5629694824095</v>
      </c>
      <c r="S109">
        <f t="shared" ca="1" si="44"/>
        <v>1505.1477746955677</v>
      </c>
      <c r="T109">
        <f t="shared" ca="1" si="41"/>
        <v>1170.1678090266926</v>
      </c>
      <c r="U109">
        <f t="shared" ca="1" si="41"/>
        <v>1360.964331211143</v>
      </c>
      <c r="V109">
        <f t="shared" ca="1" si="41"/>
        <v>1664.6063175329091</v>
      </c>
      <c r="W109">
        <f t="shared" ca="1" si="41"/>
        <v>1664.6063175329091</v>
      </c>
      <c r="X109">
        <f t="shared" ca="1" si="41"/>
        <v>909.73971081296975</v>
      </c>
      <c r="Y109">
        <f t="shared" ca="1" si="41"/>
        <v>1664.6063175329091</v>
      </c>
      <c r="Z109">
        <f t="shared" ca="1" si="41"/>
        <v>1360.9643312111427</v>
      </c>
      <c r="AA109">
        <f t="shared" ca="1" si="41"/>
        <v>1582.870334101578</v>
      </c>
      <c r="AB109">
        <f t="shared" ca="1" si="41"/>
        <v>1505.1477746955675</v>
      </c>
      <c r="AC109">
        <f t="shared" ca="1" si="41"/>
        <v>1431.2415710013781</v>
      </c>
      <c r="AD109">
        <f t="shared" ca="1" si="41"/>
        <v>1505.1477746955675</v>
      </c>
      <c r="AE109">
        <f t="shared" ca="1" si="41"/>
        <v>1170.1678090266926</v>
      </c>
      <c r="AF109">
        <f t="shared" ca="1" si="41"/>
        <v>1294.1378648840339</v>
      </c>
      <c r="AG109">
        <f t="shared" ca="1" si="41"/>
        <v>1750.5629694824099</v>
      </c>
      <c r="AH109">
        <f t="shared" ca="1" si="41"/>
        <v>956.71669201467876</v>
      </c>
      <c r="AI109">
        <f t="shared" ca="1" si="41"/>
        <v>956.71669201467876</v>
      </c>
      <c r="AJ109">
        <f t="shared" ca="1" si="48"/>
        <v>865.06940700201312</v>
      </c>
      <c r="AK109">
        <f t="shared" ca="1" si="48"/>
        <v>1230.5927311380608</v>
      </c>
      <c r="AL109">
        <f t="shared" ca="1" si="48"/>
        <v>1360.9643312111427</v>
      </c>
      <c r="AM109">
        <f t="shared" ca="1" si="48"/>
        <v>1230.5927311380608</v>
      </c>
      <c r="AN109">
        <f t="shared" ca="1" si="48"/>
        <v>956.71669201467887</v>
      </c>
      <c r="AO109">
        <f t="shared" ca="1" si="48"/>
        <v>1230.5927311380603</v>
      </c>
      <c r="AP109">
        <f t="shared" ca="1" si="48"/>
        <v>1294.137864884033</v>
      </c>
      <c r="AQ109">
        <f t="shared" ca="1" si="48"/>
        <v>1170.167809026693</v>
      </c>
      <c r="AR109">
        <f t="shared" ca="1" si="48"/>
        <v>909.73971081296975</v>
      </c>
      <c r="AS109">
        <f t="shared" ca="1" si="48"/>
        <v>1294.1378648840334</v>
      </c>
      <c r="AT109">
        <f t="shared" ca="1" si="48"/>
        <v>1006.1194624136671</v>
      </c>
      <c r="AU109">
        <f t="shared" ca="1" si="48"/>
        <v>909.73971081296963</v>
      </c>
      <c r="AV109">
        <f t="shared" ca="1" si="48"/>
        <v>1170.1678090266928</v>
      </c>
      <c r="AW109">
        <f t="shared" ca="1" si="48"/>
        <v>1431.2415710013781</v>
      </c>
      <c r="AX109">
        <f t="shared" ca="1" si="48"/>
        <v>1294.1378648840334</v>
      </c>
      <c r="AY109">
        <f t="shared" ca="1" si="47"/>
        <v>1294.1378648840332</v>
      </c>
      <c r="AZ109">
        <f t="shared" ca="1" si="46"/>
        <v>1750.5629694824095</v>
      </c>
      <c r="BA109">
        <f t="shared" ca="1" si="46"/>
        <v>1505.1477746955675</v>
      </c>
      <c r="BB109">
        <f t="shared" ca="1" si="46"/>
        <v>1230.5927311380601</v>
      </c>
      <c r="BC109">
        <f t="shared" ca="1" si="46"/>
        <v>1230.5927311380608</v>
      </c>
      <c r="BD109">
        <f t="shared" ca="1" si="46"/>
        <v>1006.119462413667</v>
      </c>
      <c r="BE109">
        <f t="shared" ca="1" si="46"/>
        <v>1058.0732844912411</v>
      </c>
      <c r="BF109">
        <f t="shared" ca="1" si="46"/>
        <v>1058.0732844912407</v>
      </c>
      <c r="BG109">
        <f t="shared" ca="1" si="46"/>
        <v>1230.5927311380608</v>
      </c>
      <c r="BH109">
        <f t="shared" ca="1" si="46"/>
        <v>1505.1477746955675</v>
      </c>
      <c r="BI109">
        <f t="shared" ca="1" si="46"/>
        <v>2035.9932503922382</v>
      </c>
      <c r="BJ109">
        <f t="shared" ca="1" si="46"/>
        <v>1112.7098890109642</v>
      </c>
      <c r="BK109">
        <f t="shared" ca="1" si="46"/>
        <v>1170.1678090266926</v>
      </c>
      <c r="BL109">
        <f t="shared" ca="1" si="46"/>
        <v>1750.5629694824092</v>
      </c>
      <c r="BM109">
        <f t="shared" ca="1" si="46"/>
        <v>1230.5927311380608</v>
      </c>
      <c r="BN109">
        <f t="shared" ca="1" si="46"/>
        <v>1294.1378648840332</v>
      </c>
      <c r="BO109">
        <f t="shared" ca="1" si="46"/>
        <v>1230.5927311380608</v>
      </c>
      <c r="BP109">
        <f t="shared" ca="1" si="43"/>
        <v>1230.5927311380608</v>
      </c>
      <c r="BQ109">
        <f t="shared" ca="1" si="43"/>
        <v>1006.1194624136668</v>
      </c>
      <c r="BR109">
        <f t="shared" ca="1" si="43"/>
        <v>1170.167809026693</v>
      </c>
      <c r="BS109">
        <f t="shared" ca="1" si="43"/>
        <v>1505.1477746955675</v>
      </c>
      <c r="BT109">
        <f t="shared" ca="1" si="43"/>
        <v>1360.9643312111427</v>
      </c>
      <c r="BU109">
        <f t="shared" ca="1" si="43"/>
        <v>822.59251743784137</v>
      </c>
      <c r="BV109">
        <f t="shared" ca="1" si="43"/>
        <v>956.71669201467876</v>
      </c>
      <c r="BW109">
        <f t="shared" ca="1" si="43"/>
        <v>1170.1678090266928</v>
      </c>
      <c r="BX109">
        <f t="shared" ca="1" si="42"/>
        <v>1230.5927311380608</v>
      </c>
      <c r="BY109">
        <f t="shared" ca="1" si="42"/>
        <v>1664.6063175329091</v>
      </c>
      <c r="BZ109">
        <f t="shared" ca="1" si="42"/>
        <v>1112.7098890109644</v>
      </c>
      <c r="CA109">
        <f t="shared" ca="1" si="42"/>
        <v>1360.9643312111427</v>
      </c>
      <c r="CB109">
        <f t="shared" ca="1" si="42"/>
        <v>1058.0732844912407</v>
      </c>
      <c r="CC109">
        <f t="shared" ca="1" si="42"/>
        <v>1664.6063175329091</v>
      </c>
      <c r="CD109">
        <f t="shared" ca="1" si="42"/>
        <v>1170.1678090266926</v>
      </c>
      <c r="CE109">
        <f t="shared" ca="1" si="42"/>
        <v>1170.167809026693</v>
      </c>
      <c r="CF109">
        <f t="shared" ca="1" si="42"/>
        <v>1112.7098890109639</v>
      </c>
      <c r="CG109">
        <f t="shared" ca="1" si="42"/>
        <v>743.79346279172944</v>
      </c>
      <c r="CH109">
        <f t="shared" ca="1" si="42"/>
        <v>1431.2415710013781</v>
      </c>
      <c r="CI109">
        <f t="shared" ca="1" si="42"/>
        <v>1294.1378648840334</v>
      </c>
      <c r="CJ109">
        <f t="shared" ca="1" si="42"/>
        <v>865.06940700201301</v>
      </c>
      <c r="CK109">
        <f t="shared" ca="1" si="42"/>
        <v>1294.1378648840339</v>
      </c>
      <c r="CL109">
        <f t="shared" ca="1" si="42"/>
        <v>865.06940700201312</v>
      </c>
      <c r="CM109">
        <f t="shared" ca="1" si="42"/>
        <v>1170.167809026693</v>
      </c>
      <c r="CN109">
        <f t="shared" ca="1" si="45"/>
        <v>1750.5629694824095</v>
      </c>
      <c r="CO109">
        <f t="shared" ca="1" si="45"/>
        <v>1582.870334101578</v>
      </c>
      <c r="CP109">
        <f t="shared" ca="1" si="45"/>
        <v>1750.5629694824095</v>
      </c>
      <c r="CQ109">
        <f t="shared" ca="1" si="45"/>
        <v>1006.1194624136668</v>
      </c>
      <c r="CR109">
        <f t="shared" ca="1" si="45"/>
        <v>1582.870334101578</v>
      </c>
      <c r="CS109">
        <f t="shared" ca="1" si="45"/>
        <v>909.73971081296963</v>
      </c>
      <c r="CT109">
        <f t="shared" ca="1" si="45"/>
        <v>1664.6063175329091</v>
      </c>
      <c r="CU109">
        <f t="shared" ca="1" si="45"/>
        <v>1170.167809026693</v>
      </c>
      <c r="CV109">
        <f t="shared" ca="1" si="45"/>
        <v>956.71669201467876</v>
      </c>
      <c r="CW109">
        <f t="shared" ca="1" si="45"/>
        <v>1058.0732844912407</v>
      </c>
      <c r="CX109">
        <f t="shared" ca="1" si="45"/>
        <v>1112.7098890109644</v>
      </c>
      <c r="CY109">
        <f t="shared" ca="1" si="45"/>
        <v>822.59251743784137</v>
      </c>
    </row>
    <row r="110" spans="1:103">
      <c r="A110">
        <v>94</v>
      </c>
      <c r="B110">
        <v>94</v>
      </c>
      <c r="C110">
        <v>94</v>
      </c>
      <c r="D110">
        <f t="shared" ca="1" si="44"/>
        <v>802.14273654332578</v>
      </c>
      <c r="E110">
        <f t="shared" ca="1" si="44"/>
        <v>932.93256279506863</v>
      </c>
      <c r="F110">
        <f t="shared" ca="1" si="44"/>
        <v>843.56364387297219</v>
      </c>
      <c r="G110">
        <f t="shared" ca="1" si="44"/>
        <v>1395.6606777721711</v>
      </c>
      <c r="H110">
        <f t="shared" ca="1" si="44"/>
        <v>1543.5199256908281</v>
      </c>
      <c r="I110">
        <f t="shared" ca="1" si="44"/>
        <v>1543.5199256908281</v>
      </c>
      <c r="J110">
        <f t="shared" ca="1" si="44"/>
        <v>1887.89151972585</v>
      </c>
      <c r="K110">
        <f t="shared" ca="1" si="44"/>
        <v>1795.1917213704271</v>
      </c>
      <c r="L110">
        <f t="shared" ca="1" si="44"/>
        <v>1707.0436954687445</v>
      </c>
      <c r="M110">
        <f t="shared" ca="1" si="44"/>
        <v>1199.9999999999995</v>
      </c>
      <c r="N110">
        <f t="shared" ca="1" si="44"/>
        <v>1395.6606777721711</v>
      </c>
      <c r="O110">
        <f t="shared" ca="1" si="44"/>
        <v>1085.0477440885795</v>
      </c>
      <c r="P110">
        <f t="shared" ca="1" si="44"/>
        <v>1141.0772510686095</v>
      </c>
      <c r="Q110">
        <f t="shared" ca="1" si="44"/>
        <v>1199.9999999999998</v>
      </c>
      <c r="R110">
        <f t="shared" ca="1" si="44"/>
        <v>1795.1917213704276</v>
      </c>
      <c r="S110">
        <f t="shared" ca="1" si="44"/>
        <v>1543.5199256908284</v>
      </c>
      <c r="T110">
        <f t="shared" ca="1" si="41"/>
        <v>1199.9999999999991</v>
      </c>
      <c r="U110">
        <f t="shared" ca="1" si="41"/>
        <v>1327.1305413473519</v>
      </c>
      <c r="V110">
        <f t="shared" ca="1" si="41"/>
        <v>1707.0436954687445</v>
      </c>
      <c r="W110">
        <f t="shared" ca="1" si="41"/>
        <v>1707.0436954687445</v>
      </c>
      <c r="X110">
        <f t="shared" ca="1" si="41"/>
        <v>887.12343682215874</v>
      </c>
      <c r="Y110">
        <f t="shared" ca="1" si="41"/>
        <v>1707.0436954687445</v>
      </c>
      <c r="Z110">
        <f t="shared" ca="1" si="41"/>
        <v>1395.6606777721711</v>
      </c>
      <c r="AA110">
        <f t="shared" ca="1" si="41"/>
        <v>1623.2239395662305</v>
      </c>
      <c r="AB110">
        <f t="shared" ca="1" si="41"/>
        <v>1467.7295614807629</v>
      </c>
      <c r="AC110">
        <f t="shared" ca="1" si="41"/>
        <v>1467.7295614807629</v>
      </c>
      <c r="AD110">
        <f t="shared" ca="1" si="41"/>
        <v>1543.5199256908281</v>
      </c>
      <c r="AE110">
        <f t="shared" ca="1" si="41"/>
        <v>1199.9999999999991</v>
      </c>
      <c r="AF110">
        <f t="shared" ca="1" si="41"/>
        <v>1261.9653916081941</v>
      </c>
      <c r="AG110">
        <f t="shared" ca="1" si="41"/>
        <v>1795.191721370428</v>
      </c>
      <c r="AH110">
        <f t="shared" ca="1" si="41"/>
        <v>932.93256279506875</v>
      </c>
      <c r="AI110">
        <f t="shared" ca="1" si="41"/>
        <v>981.10717245976252</v>
      </c>
      <c r="AJ110">
        <f t="shared" ca="1" si="48"/>
        <v>887.12343682215874</v>
      </c>
      <c r="AK110">
        <f t="shared" ca="1" si="48"/>
        <v>1199.9999999999995</v>
      </c>
      <c r="AL110">
        <f t="shared" ca="1" si="48"/>
        <v>1327.1305413473517</v>
      </c>
      <c r="AM110">
        <f t="shared" ca="1" si="48"/>
        <v>1199.9999999999995</v>
      </c>
      <c r="AN110">
        <f t="shared" ca="1" si="48"/>
        <v>981.10717245976264</v>
      </c>
      <c r="AO110">
        <f t="shared" ca="1" si="48"/>
        <v>1199.9999999999991</v>
      </c>
      <c r="AP110">
        <f t="shared" ca="1" si="48"/>
        <v>1261.9653916081932</v>
      </c>
      <c r="AQ110">
        <f t="shared" ca="1" si="48"/>
        <v>1141.0772510686097</v>
      </c>
      <c r="AR110">
        <f t="shared" ca="1" si="48"/>
        <v>887.12343682215874</v>
      </c>
      <c r="AS110">
        <f t="shared" ca="1" si="48"/>
        <v>1327.1305413473517</v>
      </c>
      <c r="AT110">
        <f t="shared" ca="1" si="48"/>
        <v>1031.7694142523271</v>
      </c>
      <c r="AU110">
        <f t="shared" ca="1" si="48"/>
        <v>887.12343682215862</v>
      </c>
      <c r="AV110">
        <f t="shared" ca="1" si="48"/>
        <v>1141.0772510686095</v>
      </c>
      <c r="AW110">
        <f t="shared" ca="1" si="48"/>
        <v>1395.6606777721711</v>
      </c>
      <c r="AX110">
        <f t="shared" ca="1" si="48"/>
        <v>1327.1305413473517</v>
      </c>
      <c r="AY110">
        <f t="shared" ca="1" si="47"/>
        <v>1261.9653916081934</v>
      </c>
      <c r="AZ110">
        <f t="shared" ca="1" si="46"/>
        <v>1707.0436954687445</v>
      </c>
      <c r="BA110">
        <f t="shared" ca="1" si="46"/>
        <v>1543.5199256908281</v>
      </c>
      <c r="BB110">
        <f t="shared" ca="1" si="46"/>
        <v>1261.9653916081929</v>
      </c>
      <c r="BC110">
        <f t="shared" ca="1" si="46"/>
        <v>1199.9999999999995</v>
      </c>
      <c r="BD110">
        <f t="shared" ca="1" si="46"/>
        <v>1031.7694142523271</v>
      </c>
      <c r="BE110">
        <f t="shared" ca="1" si="46"/>
        <v>1031.7694142523274</v>
      </c>
      <c r="BF110">
        <f t="shared" ca="1" si="46"/>
        <v>1031.7694142523269</v>
      </c>
      <c r="BG110">
        <f t="shared" ca="1" si="46"/>
        <v>1199.9999999999995</v>
      </c>
      <c r="BH110">
        <f t="shared" ca="1" si="46"/>
        <v>1467.7295614807629</v>
      </c>
      <c r="BI110">
        <f t="shared" ca="1" si="46"/>
        <v>1985.3781341705178</v>
      </c>
      <c r="BJ110">
        <f t="shared" ca="1" si="46"/>
        <v>1085.0477440885793</v>
      </c>
      <c r="BK110">
        <f t="shared" ca="1" si="46"/>
        <v>1199.9999999999991</v>
      </c>
      <c r="BL110">
        <f t="shared" ca="1" si="46"/>
        <v>1795.1917213704273</v>
      </c>
      <c r="BM110">
        <f t="shared" ca="1" si="46"/>
        <v>1199.9999999999995</v>
      </c>
      <c r="BN110">
        <f t="shared" ca="1" si="46"/>
        <v>1327.1305413473515</v>
      </c>
      <c r="BO110">
        <f t="shared" ca="1" si="46"/>
        <v>1261.9653916081936</v>
      </c>
      <c r="BP110">
        <f t="shared" ca="1" si="43"/>
        <v>1261.9653916081936</v>
      </c>
      <c r="BQ110">
        <f t="shared" ca="1" si="43"/>
        <v>981.10717245976264</v>
      </c>
      <c r="BR110">
        <f t="shared" ca="1" si="43"/>
        <v>1141.0772510686097</v>
      </c>
      <c r="BS110">
        <f t="shared" ca="1" si="43"/>
        <v>1467.7295614807629</v>
      </c>
      <c r="BT110">
        <f t="shared" ca="1" si="43"/>
        <v>1395.6606777721711</v>
      </c>
      <c r="BU110">
        <f t="shared" ca="1" si="43"/>
        <v>843.56364387297208</v>
      </c>
      <c r="BV110">
        <f t="shared" ca="1" si="43"/>
        <v>932.93256279506875</v>
      </c>
      <c r="BW110">
        <f t="shared" ca="1" si="43"/>
        <v>1199.9999999999993</v>
      </c>
      <c r="BX110">
        <f t="shared" ca="1" si="42"/>
        <v>1199.9999999999995</v>
      </c>
      <c r="BY110">
        <f t="shared" ca="1" si="42"/>
        <v>1707.0436954687445</v>
      </c>
      <c r="BZ110">
        <f t="shared" ca="1" si="42"/>
        <v>1085.0477440885795</v>
      </c>
      <c r="CA110">
        <f t="shared" ca="1" si="42"/>
        <v>1327.1305413473517</v>
      </c>
      <c r="CB110">
        <f t="shared" ca="1" si="42"/>
        <v>1031.7694142523269</v>
      </c>
      <c r="CC110">
        <f t="shared" ca="1" si="42"/>
        <v>1623.2239395662305</v>
      </c>
      <c r="CD110">
        <f t="shared" ca="1" si="42"/>
        <v>1199.9999999999991</v>
      </c>
      <c r="CE110">
        <f t="shared" ca="1" si="42"/>
        <v>1141.0772510686097</v>
      </c>
      <c r="CF110">
        <f t="shared" ca="1" si="42"/>
        <v>1141.0772510686093</v>
      </c>
      <c r="CG110">
        <f t="shared" ca="1" si="42"/>
        <v>725.3026389361462</v>
      </c>
      <c r="CH110">
        <f t="shared" ca="1" si="42"/>
        <v>1467.7295614807629</v>
      </c>
      <c r="CI110">
        <f t="shared" ca="1" si="42"/>
        <v>1327.1305413473517</v>
      </c>
      <c r="CJ110">
        <f t="shared" ca="1" si="42"/>
        <v>843.56364387297208</v>
      </c>
      <c r="CK110">
        <f t="shared" ca="1" si="42"/>
        <v>1327.1305413473522</v>
      </c>
      <c r="CL110">
        <f t="shared" ca="1" si="42"/>
        <v>887.12343682215874</v>
      </c>
      <c r="CM110">
        <f t="shared" ca="1" si="42"/>
        <v>1199.9999999999995</v>
      </c>
      <c r="CN110">
        <f t="shared" ca="1" si="45"/>
        <v>1707.0436954687445</v>
      </c>
      <c r="CO110">
        <f t="shared" ca="1" si="45"/>
        <v>1623.2239395662305</v>
      </c>
      <c r="CP110">
        <f t="shared" ca="1" si="45"/>
        <v>1795.1917213704276</v>
      </c>
      <c r="CQ110">
        <f t="shared" ca="1" si="45"/>
        <v>981.10717245976264</v>
      </c>
      <c r="CR110">
        <f t="shared" ca="1" si="45"/>
        <v>1543.5199256908281</v>
      </c>
      <c r="CS110">
        <f t="shared" ca="1" si="45"/>
        <v>887.12343682215862</v>
      </c>
      <c r="CT110">
        <f t="shared" ca="1" si="45"/>
        <v>1707.0436954687445</v>
      </c>
      <c r="CU110">
        <f t="shared" ca="1" si="45"/>
        <v>1141.0772510686097</v>
      </c>
      <c r="CV110">
        <f t="shared" ca="1" si="45"/>
        <v>932.93256279506875</v>
      </c>
      <c r="CW110">
        <f t="shared" ca="1" si="45"/>
        <v>1031.7694142523269</v>
      </c>
      <c r="CX110">
        <f t="shared" ca="1" si="45"/>
        <v>1085.0477440885795</v>
      </c>
      <c r="CY110">
        <f t="shared" ca="1" si="45"/>
        <v>802.14273654332578</v>
      </c>
    </row>
    <row r="111" spans="1:103">
      <c r="A111">
        <v>95</v>
      </c>
      <c r="B111">
        <v>95</v>
      </c>
      <c r="C111">
        <v>95</v>
      </c>
      <c r="D111">
        <f t="shared" ca="1" si="44"/>
        <v>782.20134045631642</v>
      </c>
      <c r="E111">
        <f t="shared" ca="1" si="44"/>
        <v>909.73971081296963</v>
      </c>
      <c r="F111">
        <f t="shared" ca="1" si="44"/>
        <v>822.59251743784137</v>
      </c>
      <c r="G111">
        <f t="shared" ca="1" si="44"/>
        <v>1360.9643312111427</v>
      </c>
      <c r="H111">
        <f t="shared" ca="1" si="44"/>
        <v>1505.1477746955675</v>
      </c>
      <c r="I111">
        <f t="shared" ca="1" si="44"/>
        <v>1582.870334101578</v>
      </c>
      <c r="J111">
        <f t="shared" ca="1" si="44"/>
        <v>1840.9582360980603</v>
      </c>
      <c r="K111">
        <f t="shared" ca="1" si="44"/>
        <v>1750.562969482409</v>
      </c>
      <c r="L111">
        <f t="shared" ca="1" si="44"/>
        <v>1664.6063175329091</v>
      </c>
      <c r="M111">
        <f t="shared" ca="1" si="44"/>
        <v>1230.5927311380608</v>
      </c>
      <c r="N111">
        <f t="shared" ca="1" si="44"/>
        <v>1360.9643312111427</v>
      </c>
      <c r="O111">
        <f t="shared" ca="1" si="44"/>
        <v>1058.0732844912411</v>
      </c>
      <c r="P111">
        <f t="shared" ca="1" si="44"/>
        <v>1112.7098890109642</v>
      </c>
      <c r="Q111">
        <f t="shared" ca="1" si="44"/>
        <v>1230.592731138061</v>
      </c>
      <c r="R111">
        <f t="shared" ca="1" si="44"/>
        <v>1840.9582360980601</v>
      </c>
      <c r="S111">
        <f t="shared" ca="1" si="44"/>
        <v>1505.1477746955677</v>
      </c>
      <c r="T111">
        <f t="shared" ca="1" si="41"/>
        <v>1170.1678090266926</v>
      </c>
      <c r="U111">
        <f t="shared" ca="1" si="41"/>
        <v>1360.964331211143</v>
      </c>
      <c r="V111">
        <f t="shared" ca="1" si="41"/>
        <v>1750.5629694824095</v>
      </c>
      <c r="W111">
        <f t="shared" ca="1" si="41"/>
        <v>1750.5629694824095</v>
      </c>
      <c r="X111">
        <f t="shared" ca="1" si="41"/>
        <v>909.73971081296975</v>
      </c>
      <c r="Y111">
        <f t="shared" ca="1" si="41"/>
        <v>1750.5629694824095</v>
      </c>
      <c r="Z111">
        <f t="shared" ca="1" si="41"/>
        <v>1360.9643312111427</v>
      </c>
      <c r="AA111">
        <f t="shared" ca="1" si="41"/>
        <v>1664.6063175329091</v>
      </c>
      <c r="AB111">
        <f t="shared" ca="1" si="41"/>
        <v>1431.2415710013781</v>
      </c>
      <c r="AC111">
        <f t="shared" ca="1" si="41"/>
        <v>1431.2415710013781</v>
      </c>
      <c r="AD111">
        <f t="shared" ca="1" si="41"/>
        <v>1582.870334101578</v>
      </c>
      <c r="AE111">
        <f t="shared" ca="1" si="41"/>
        <v>1170.1678090266926</v>
      </c>
      <c r="AF111">
        <f t="shared" ca="1" si="41"/>
        <v>1294.1378648840339</v>
      </c>
      <c r="AG111">
        <f t="shared" ca="1" si="41"/>
        <v>1750.5629694824099</v>
      </c>
      <c r="AH111">
        <f t="shared" ca="1" si="41"/>
        <v>909.73971081296975</v>
      </c>
      <c r="AI111">
        <f t="shared" ref="AI111:AI116" ca="1" si="49">AI110*(IF(RAND()&lt;$B$11,$B$9,$B$10))</f>
        <v>956.71669201467876</v>
      </c>
      <c r="AJ111">
        <f t="shared" ca="1" si="48"/>
        <v>865.06940700201312</v>
      </c>
      <c r="AK111">
        <f t="shared" ca="1" si="48"/>
        <v>1170.167809026693</v>
      </c>
      <c r="AL111">
        <f t="shared" ca="1" si="48"/>
        <v>1360.9643312111427</v>
      </c>
      <c r="AM111">
        <f t="shared" ca="1" si="48"/>
        <v>1230.5927311380608</v>
      </c>
      <c r="AN111">
        <f t="shared" ca="1" si="48"/>
        <v>956.71669201467887</v>
      </c>
      <c r="AO111">
        <f t="shared" ca="1" si="48"/>
        <v>1230.5927311380603</v>
      </c>
      <c r="AP111">
        <f t="shared" ca="1" si="48"/>
        <v>1294.137864884033</v>
      </c>
      <c r="AQ111">
        <f t="shared" ca="1" si="48"/>
        <v>1112.7098890109644</v>
      </c>
      <c r="AR111">
        <f t="shared" ca="1" si="48"/>
        <v>909.73971081296975</v>
      </c>
      <c r="AS111">
        <f t="shared" ca="1" si="48"/>
        <v>1360.9643312111427</v>
      </c>
      <c r="AT111">
        <f t="shared" ca="1" si="48"/>
        <v>1006.119462413667</v>
      </c>
      <c r="AU111">
        <f t="shared" ca="1" si="48"/>
        <v>865.06940700201301</v>
      </c>
      <c r="AV111">
        <f t="shared" ca="1" si="48"/>
        <v>1170.1678090266928</v>
      </c>
      <c r="AW111">
        <f t="shared" ca="1" si="48"/>
        <v>1360.9643312111427</v>
      </c>
      <c r="AX111">
        <f t="shared" ca="1" si="48"/>
        <v>1360.9643312111427</v>
      </c>
      <c r="AY111">
        <f t="shared" ca="1" si="47"/>
        <v>1294.1378648840332</v>
      </c>
      <c r="AZ111">
        <f t="shared" ca="1" si="46"/>
        <v>1664.6063175329091</v>
      </c>
      <c r="BA111">
        <f t="shared" ca="1" si="46"/>
        <v>1505.1477746955675</v>
      </c>
      <c r="BB111">
        <f t="shared" ca="1" si="46"/>
        <v>1230.5927311380601</v>
      </c>
      <c r="BC111">
        <f t="shared" ca="1" si="46"/>
        <v>1170.167809026693</v>
      </c>
      <c r="BD111">
        <f t="shared" ca="1" si="46"/>
        <v>1006.119462413667</v>
      </c>
      <c r="BE111">
        <f t="shared" ca="1" si="46"/>
        <v>1058.0732844912411</v>
      </c>
      <c r="BF111">
        <f t="shared" ca="1" si="46"/>
        <v>1006.1194624136668</v>
      </c>
      <c r="BG111">
        <f t="shared" ca="1" si="46"/>
        <v>1230.5927311380608</v>
      </c>
      <c r="BH111">
        <f t="shared" ca="1" si="46"/>
        <v>1431.2415710013781</v>
      </c>
      <c r="BI111">
        <f t="shared" ca="1" si="46"/>
        <v>1936.0213177931828</v>
      </c>
      <c r="BJ111">
        <f t="shared" ca="1" si="46"/>
        <v>1058.0732844912409</v>
      </c>
      <c r="BK111">
        <f t="shared" ca="1" si="46"/>
        <v>1230.5927311380603</v>
      </c>
      <c r="BL111">
        <f t="shared" ca="1" si="46"/>
        <v>1750.5629694824092</v>
      </c>
      <c r="BM111">
        <f t="shared" ca="1" si="46"/>
        <v>1230.5927311380608</v>
      </c>
      <c r="BN111">
        <f t="shared" ca="1" si="46"/>
        <v>1360.9643312111425</v>
      </c>
      <c r="BO111">
        <f t="shared" ca="1" si="46"/>
        <v>1294.1378648840334</v>
      </c>
      <c r="BP111">
        <f t="shared" ca="1" si="43"/>
        <v>1294.1378648840334</v>
      </c>
      <c r="BQ111">
        <f t="shared" ca="1" si="43"/>
        <v>956.71669201467887</v>
      </c>
      <c r="BR111">
        <f t="shared" ca="1" si="43"/>
        <v>1112.7098890109644</v>
      </c>
      <c r="BS111">
        <f t="shared" ca="1" si="43"/>
        <v>1431.2415710013781</v>
      </c>
      <c r="BT111">
        <f t="shared" ca="1" si="43"/>
        <v>1360.9643312111427</v>
      </c>
      <c r="BU111">
        <f t="shared" ca="1" si="43"/>
        <v>865.06940700201301</v>
      </c>
      <c r="BV111">
        <f t="shared" ca="1" si="43"/>
        <v>909.73971081296975</v>
      </c>
      <c r="BW111">
        <f t="shared" ca="1" si="43"/>
        <v>1170.1678090266928</v>
      </c>
      <c r="BX111">
        <f t="shared" ca="1" si="42"/>
        <v>1170.167809026693</v>
      </c>
      <c r="BY111">
        <f t="shared" ca="1" si="42"/>
        <v>1664.6063175329091</v>
      </c>
      <c r="BZ111">
        <f t="shared" ca="1" si="42"/>
        <v>1112.7098890109644</v>
      </c>
      <c r="CA111">
        <f t="shared" ca="1" si="42"/>
        <v>1360.9643312111427</v>
      </c>
      <c r="CB111">
        <f t="shared" ca="1" si="42"/>
        <v>1058.0732844912407</v>
      </c>
      <c r="CC111">
        <f t="shared" ca="1" si="42"/>
        <v>1582.870334101578</v>
      </c>
      <c r="CD111">
        <f t="shared" ca="1" si="42"/>
        <v>1230.5927311380603</v>
      </c>
      <c r="CE111">
        <f t="shared" ca="1" si="42"/>
        <v>1170.167809026693</v>
      </c>
      <c r="CF111">
        <f t="shared" ca="1" si="42"/>
        <v>1170.1678090266926</v>
      </c>
      <c r="CG111">
        <f t="shared" ca="1" si="42"/>
        <v>743.79346279172944</v>
      </c>
      <c r="CH111">
        <f t="shared" ca="1" si="42"/>
        <v>1505.1477746955675</v>
      </c>
      <c r="CI111">
        <f t="shared" ca="1" si="42"/>
        <v>1360.9643312111427</v>
      </c>
      <c r="CJ111">
        <f t="shared" ca="1" si="42"/>
        <v>822.59251743784137</v>
      </c>
      <c r="CK111">
        <f t="shared" ca="1" si="42"/>
        <v>1360.9643312111432</v>
      </c>
      <c r="CL111">
        <f t="shared" ca="1" si="42"/>
        <v>865.06940700201312</v>
      </c>
      <c r="CM111">
        <f t="shared" ca="1" si="42"/>
        <v>1230.5927311380608</v>
      </c>
      <c r="CN111">
        <f t="shared" ca="1" si="45"/>
        <v>1750.5629694824095</v>
      </c>
      <c r="CO111">
        <f t="shared" ca="1" si="45"/>
        <v>1582.870334101578</v>
      </c>
      <c r="CP111">
        <f t="shared" ca="1" si="45"/>
        <v>1750.5629694824095</v>
      </c>
      <c r="CQ111">
        <f t="shared" ca="1" si="45"/>
        <v>1006.1194624136668</v>
      </c>
      <c r="CR111">
        <f t="shared" ca="1" si="45"/>
        <v>1505.1477746955675</v>
      </c>
      <c r="CS111">
        <f t="shared" ca="1" si="45"/>
        <v>865.06940700201301</v>
      </c>
      <c r="CT111">
        <f t="shared" ca="1" si="45"/>
        <v>1750.5629694824095</v>
      </c>
      <c r="CU111">
        <f t="shared" ca="1" si="45"/>
        <v>1170.167809026693</v>
      </c>
      <c r="CV111">
        <f t="shared" ca="1" si="45"/>
        <v>956.71669201467876</v>
      </c>
      <c r="CW111">
        <f t="shared" ca="1" si="45"/>
        <v>1006.1194624136668</v>
      </c>
      <c r="CX111">
        <f t="shared" ca="1" si="45"/>
        <v>1058.0732844912411</v>
      </c>
      <c r="CY111">
        <f t="shared" ca="1" si="45"/>
        <v>782.20134045631642</v>
      </c>
    </row>
    <row r="112" spans="1:103">
      <c r="A112">
        <v>96</v>
      </c>
      <c r="B112">
        <v>96</v>
      </c>
      <c r="C112">
        <v>96</v>
      </c>
      <c r="D112">
        <f t="shared" ca="1" si="44"/>
        <v>802.14273654332578</v>
      </c>
      <c r="E112">
        <f t="shared" ca="1" si="44"/>
        <v>932.93256279506863</v>
      </c>
      <c r="F112">
        <f t="shared" ca="1" si="44"/>
        <v>802.14273654332578</v>
      </c>
      <c r="G112">
        <f t="shared" ca="1" si="44"/>
        <v>1327.1305413473517</v>
      </c>
      <c r="H112">
        <f t="shared" ca="1" si="44"/>
        <v>1467.7295614807629</v>
      </c>
      <c r="I112">
        <f t="shared" ca="1" si="44"/>
        <v>1623.2239395662305</v>
      </c>
      <c r="J112">
        <f t="shared" ca="1" si="44"/>
        <v>1795.1917213704278</v>
      </c>
      <c r="K112">
        <f t="shared" ca="1" si="44"/>
        <v>1707.0436954687441</v>
      </c>
      <c r="L112">
        <f t="shared" ca="1" si="44"/>
        <v>1623.2239395662305</v>
      </c>
      <c r="M112">
        <f t="shared" ca="1" si="44"/>
        <v>1261.9653916081936</v>
      </c>
      <c r="N112">
        <f t="shared" ca="1" si="44"/>
        <v>1327.1305413473517</v>
      </c>
      <c r="O112">
        <f t="shared" ca="1" si="44"/>
        <v>1085.0477440885795</v>
      </c>
      <c r="P112">
        <f t="shared" ca="1" si="44"/>
        <v>1141.0772510686095</v>
      </c>
      <c r="Q112">
        <f t="shared" ca="1" si="44"/>
        <v>1261.9653916081938</v>
      </c>
      <c r="R112">
        <f t="shared" ca="1" si="44"/>
        <v>1795.1917213704276</v>
      </c>
      <c r="S112">
        <f t="shared" ca="1" si="44"/>
        <v>1467.7295614807629</v>
      </c>
      <c r="T112">
        <f t="shared" ref="T112:AH116" ca="1" si="50">T111*(IF(RAND()&lt;$B$11,$B$9,$B$10))</f>
        <v>1199.9999999999991</v>
      </c>
      <c r="U112">
        <f t="shared" ca="1" si="50"/>
        <v>1327.1305413473519</v>
      </c>
      <c r="V112">
        <f t="shared" ca="1" si="50"/>
        <v>1707.0436954687445</v>
      </c>
      <c r="W112">
        <f t="shared" ca="1" si="50"/>
        <v>1707.0436954687445</v>
      </c>
      <c r="X112">
        <f t="shared" ca="1" si="50"/>
        <v>932.93256279506875</v>
      </c>
      <c r="Y112">
        <f t="shared" ca="1" si="50"/>
        <v>1795.1917213704276</v>
      </c>
      <c r="Z112">
        <f t="shared" ca="1" si="50"/>
        <v>1395.6606777721711</v>
      </c>
      <c r="AA112">
        <f t="shared" ca="1" si="50"/>
        <v>1707.0436954687445</v>
      </c>
      <c r="AB112">
        <f t="shared" ca="1" si="50"/>
        <v>1395.6606777721711</v>
      </c>
      <c r="AC112">
        <f t="shared" ca="1" si="50"/>
        <v>1467.7295614807629</v>
      </c>
      <c r="AD112">
        <f t="shared" ca="1" si="50"/>
        <v>1543.5199256908281</v>
      </c>
      <c r="AE112">
        <f t="shared" ca="1" si="50"/>
        <v>1199.9999999999991</v>
      </c>
      <c r="AF112">
        <f t="shared" ca="1" si="50"/>
        <v>1261.9653916081941</v>
      </c>
      <c r="AG112">
        <f t="shared" ca="1" si="50"/>
        <v>1795.191721370428</v>
      </c>
      <c r="AH112">
        <f t="shared" ca="1" si="50"/>
        <v>887.12343682215874</v>
      </c>
      <c r="AI112">
        <f t="shared" ca="1" si="49"/>
        <v>981.10717245976252</v>
      </c>
      <c r="AJ112">
        <f t="shared" ca="1" si="48"/>
        <v>887.12343682215874</v>
      </c>
      <c r="AK112">
        <f t="shared" ca="1" si="48"/>
        <v>1141.0772510686097</v>
      </c>
      <c r="AL112">
        <f t="shared" ca="1" si="48"/>
        <v>1395.6606777721711</v>
      </c>
      <c r="AM112">
        <f t="shared" ca="1" si="48"/>
        <v>1261.9653916081936</v>
      </c>
      <c r="AN112">
        <f t="shared" ca="1" si="48"/>
        <v>932.93256279506875</v>
      </c>
      <c r="AO112">
        <f t="shared" ca="1" si="48"/>
        <v>1199.9999999999991</v>
      </c>
      <c r="AP112">
        <f t="shared" ca="1" si="48"/>
        <v>1327.1305413473513</v>
      </c>
      <c r="AQ112">
        <f t="shared" ca="1" si="48"/>
        <v>1085.0477440885795</v>
      </c>
      <c r="AR112">
        <f t="shared" ca="1" si="48"/>
        <v>932.93256279506875</v>
      </c>
      <c r="AS112">
        <f t="shared" ca="1" si="48"/>
        <v>1327.1305413473517</v>
      </c>
      <c r="AT112">
        <f t="shared" ca="1" si="48"/>
        <v>1031.7694142523271</v>
      </c>
      <c r="AU112">
        <f t="shared" ca="1" si="48"/>
        <v>887.12343682215862</v>
      </c>
      <c r="AV112">
        <f t="shared" ca="1" si="48"/>
        <v>1199.9999999999993</v>
      </c>
      <c r="AW112">
        <f t="shared" ca="1" si="48"/>
        <v>1395.6606777721711</v>
      </c>
      <c r="AX112">
        <f t="shared" ca="1" si="48"/>
        <v>1327.1305413473517</v>
      </c>
      <c r="AY112">
        <f t="shared" ca="1" si="47"/>
        <v>1261.9653916081934</v>
      </c>
      <c r="AZ112">
        <f t="shared" ca="1" si="46"/>
        <v>1623.2239395662305</v>
      </c>
      <c r="BA112">
        <f t="shared" ca="1" si="46"/>
        <v>1543.5199256908281</v>
      </c>
      <c r="BB112">
        <f t="shared" ca="1" si="46"/>
        <v>1199.9999999999989</v>
      </c>
      <c r="BC112">
        <f t="shared" ca="1" si="46"/>
        <v>1141.0772510686097</v>
      </c>
      <c r="BD112">
        <f t="shared" ca="1" si="46"/>
        <v>981.10717245976264</v>
      </c>
      <c r="BE112">
        <f t="shared" ca="1" si="46"/>
        <v>1031.7694142523274</v>
      </c>
      <c r="BF112">
        <f t="shared" ca="1" si="46"/>
        <v>981.10717245976264</v>
      </c>
      <c r="BG112">
        <f t="shared" ca="1" si="46"/>
        <v>1261.9653916081936</v>
      </c>
      <c r="BH112">
        <f t="shared" ca="1" si="46"/>
        <v>1467.7295614807629</v>
      </c>
      <c r="BI112">
        <f t="shared" ca="1" si="46"/>
        <v>1985.3781341705178</v>
      </c>
      <c r="BJ112">
        <f t="shared" ca="1" si="46"/>
        <v>1031.7694142523271</v>
      </c>
      <c r="BK112">
        <f t="shared" ca="1" si="46"/>
        <v>1199.9999999999991</v>
      </c>
      <c r="BL112">
        <f t="shared" ca="1" si="46"/>
        <v>1795.1917213704273</v>
      </c>
      <c r="BM112">
        <f t="shared" ca="1" si="46"/>
        <v>1261.9653916081936</v>
      </c>
      <c r="BN112">
        <f t="shared" ca="1" si="46"/>
        <v>1395.6606777721709</v>
      </c>
      <c r="BO112">
        <f t="shared" ca="1" si="46"/>
        <v>1261.9653916081936</v>
      </c>
      <c r="BP112">
        <f t="shared" ca="1" si="43"/>
        <v>1261.9653916081936</v>
      </c>
      <c r="BQ112">
        <f t="shared" ca="1" si="43"/>
        <v>932.93256279506875</v>
      </c>
      <c r="BR112">
        <f t="shared" ca="1" si="43"/>
        <v>1141.0772510686097</v>
      </c>
      <c r="BS112">
        <f t="shared" ca="1" si="43"/>
        <v>1467.7295614807629</v>
      </c>
      <c r="BT112">
        <f t="shared" ca="1" si="43"/>
        <v>1327.1305413473517</v>
      </c>
      <c r="BU112">
        <f t="shared" ca="1" si="43"/>
        <v>843.56364387297208</v>
      </c>
      <c r="BV112">
        <f t="shared" ca="1" si="43"/>
        <v>887.12343682215874</v>
      </c>
      <c r="BW112">
        <f t="shared" ca="1" si="43"/>
        <v>1199.9999999999993</v>
      </c>
      <c r="BX112">
        <f t="shared" ca="1" si="43"/>
        <v>1199.9999999999995</v>
      </c>
      <c r="BY112">
        <f t="shared" ca="1" si="43"/>
        <v>1707.0436954687445</v>
      </c>
      <c r="BZ112">
        <f t="shared" ca="1" si="43"/>
        <v>1141.0772510686097</v>
      </c>
      <c r="CA112">
        <f t="shared" ca="1" si="43"/>
        <v>1327.1305413473517</v>
      </c>
      <c r="CB112">
        <f t="shared" ca="1" si="43"/>
        <v>1031.7694142523269</v>
      </c>
      <c r="CC112">
        <f t="shared" ca="1" si="43"/>
        <v>1543.5199256908281</v>
      </c>
      <c r="CD112">
        <f t="shared" ca="1" si="43"/>
        <v>1199.9999999999991</v>
      </c>
      <c r="CE112">
        <f t="shared" ca="1" si="43"/>
        <v>1141.0772510686097</v>
      </c>
      <c r="CF112">
        <f t="shared" ref="CF112:CU116" ca="1" si="51">CF111*(IF(RAND()&lt;$B$11,$B$9,$B$10))</f>
        <v>1141.0772510686093</v>
      </c>
      <c r="CG112">
        <f t="shared" ca="1" si="51"/>
        <v>725.3026389361462</v>
      </c>
      <c r="CH112">
        <f t="shared" ca="1" si="51"/>
        <v>1543.5199256908281</v>
      </c>
      <c r="CI112">
        <f t="shared" ca="1" si="51"/>
        <v>1327.1305413473517</v>
      </c>
      <c r="CJ112">
        <f t="shared" ca="1" si="51"/>
        <v>802.14273654332578</v>
      </c>
      <c r="CK112">
        <f t="shared" ca="1" si="51"/>
        <v>1395.6606777721715</v>
      </c>
      <c r="CL112">
        <f t="shared" ca="1" si="51"/>
        <v>887.12343682215874</v>
      </c>
      <c r="CM112">
        <f t="shared" ca="1" si="51"/>
        <v>1261.9653916081936</v>
      </c>
      <c r="CN112">
        <f t="shared" ca="1" si="45"/>
        <v>1795.1917213704276</v>
      </c>
      <c r="CO112">
        <f t="shared" ca="1" si="45"/>
        <v>1543.5199256908281</v>
      </c>
      <c r="CP112">
        <f t="shared" ca="1" si="45"/>
        <v>1795.1917213704276</v>
      </c>
      <c r="CQ112">
        <f t="shared" ca="1" si="45"/>
        <v>1031.7694142523269</v>
      </c>
      <c r="CR112">
        <f t="shared" ca="1" si="45"/>
        <v>1543.5199256908281</v>
      </c>
      <c r="CS112">
        <f t="shared" ca="1" si="45"/>
        <v>887.12343682215862</v>
      </c>
      <c r="CT112">
        <f t="shared" ca="1" si="45"/>
        <v>1707.0436954687445</v>
      </c>
      <c r="CU112">
        <f t="shared" ca="1" si="45"/>
        <v>1141.0772510686097</v>
      </c>
      <c r="CV112">
        <f t="shared" ca="1" si="45"/>
        <v>981.10717245976252</v>
      </c>
      <c r="CW112">
        <f t="shared" ca="1" si="45"/>
        <v>981.10717245976264</v>
      </c>
      <c r="CX112">
        <f t="shared" ca="1" si="45"/>
        <v>1031.7694142523274</v>
      </c>
      <c r="CY112">
        <f t="shared" ca="1" si="45"/>
        <v>802.14273654332578</v>
      </c>
    </row>
    <row r="113" spans="1:103">
      <c r="A113">
        <v>97</v>
      </c>
      <c r="B113">
        <v>97</v>
      </c>
      <c r="C113">
        <v>97</v>
      </c>
      <c r="D113">
        <f t="shared" ca="1" si="44"/>
        <v>822.59251743784137</v>
      </c>
      <c r="E113">
        <f t="shared" ca="1" si="44"/>
        <v>909.73971081296963</v>
      </c>
      <c r="F113">
        <f t="shared" ca="1" si="44"/>
        <v>822.59251743784137</v>
      </c>
      <c r="G113">
        <f t="shared" ca="1" si="44"/>
        <v>1360.9643312111427</v>
      </c>
      <c r="H113">
        <f t="shared" ca="1" si="44"/>
        <v>1431.2415710013781</v>
      </c>
      <c r="I113">
        <f t="shared" ca="1" si="44"/>
        <v>1664.6063175329091</v>
      </c>
      <c r="J113">
        <f t="shared" ca="1" si="44"/>
        <v>1840.9582360980603</v>
      </c>
      <c r="K113">
        <f t="shared" ca="1" si="44"/>
        <v>1664.6063175329086</v>
      </c>
      <c r="L113">
        <f t="shared" ca="1" si="44"/>
        <v>1664.6063175329091</v>
      </c>
      <c r="M113">
        <f t="shared" ca="1" si="44"/>
        <v>1230.5927311380608</v>
      </c>
      <c r="N113">
        <f t="shared" ca="1" si="44"/>
        <v>1360.9643312111427</v>
      </c>
      <c r="O113">
        <f t="shared" ca="1" si="44"/>
        <v>1112.7098890109644</v>
      </c>
      <c r="P113">
        <f t="shared" ca="1" si="44"/>
        <v>1112.7098890109642</v>
      </c>
      <c r="Q113">
        <f t="shared" ca="1" si="44"/>
        <v>1294.1378648840337</v>
      </c>
      <c r="R113">
        <f t="shared" ca="1" si="44"/>
        <v>1840.9582360980601</v>
      </c>
      <c r="S113">
        <f t="shared" ref="S113:S116" ca="1" si="52">S112*(IF(RAND()&lt;$B$11,$B$9,$B$10))</f>
        <v>1431.2415710013781</v>
      </c>
      <c r="T113">
        <f t="shared" ca="1" si="50"/>
        <v>1170.1678090266926</v>
      </c>
      <c r="U113">
        <f t="shared" ca="1" si="50"/>
        <v>1294.1378648840337</v>
      </c>
      <c r="V113">
        <f t="shared" ca="1" si="50"/>
        <v>1750.5629694824095</v>
      </c>
      <c r="W113">
        <f t="shared" ca="1" si="50"/>
        <v>1750.5629694824095</v>
      </c>
      <c r="X113">
        <f t="shared" ca="1" si="50"/>
        <v>956.71669201467876</v>
      </c>
      <c r="Y113">
        <f t="shared" ca="1" si="50"/>
        <v>1750.5629694824095</v>
      </c>
      <c r="Z113">
        <f t="shared" ca="1" si="50"/>
        <v>1360.9643312111427</v>
      </c>
      <c r="AA113">
        <f t="shared" ca="1" si="50"/>
        <v>1750.5629694824095</v>
      </c>
      <c r="AB113">
        <f t="shared" ca="1" si="50"/>
        <v>1431.2415710013781</v>
      </c>
      <c r="AC113">
        <f t="shared" ca="1" si="50"/>
        <v>1505.1477746955675</v>
      </c>
      <c r="AD113">
        <f t="shared" ca="1" si="50"/>
        <v>1582.870334101578</v>
      </c>
      <c r="AE113">
        <f t="shared" ca="1" si="50"/>
        <v>1170.1678090266926</v>
      </c>
      <c r="AF113">
        <f t="shared" ca="1" si="50"/>
        <v>1294.1378648840339</v>
      </c>
      <c r="AG113">
        <f t="shared" ca="1" si="50"/>
        <v>1840.9582360980605</v>
      </c>
      <c r="AH113">
        <f t="shared" ca="1" si="50"/>
        <v>909.73971081296975</v>
      </c>
      <c r="AI113">
        <f t="shared" ca="1" si="49"/>
        <v>1006.1194624136667</v>
      </c>
      <c r="AJ113">
        <f t="shared" ca="1" si="48"/>
        <v>909.73971081296975</v>
      </c>
      <c r="AK113">
        <f t="shared" ca="1" si="48"/>
        <v>1112.7098890109644</v>
      </c>
      <c r="AL113">
        <f t="shared" ca="1" si="48"/>
        <v>1360.9643312111427</v>
      </c>
      <c r="AM113">
        <f t="shared" ca="1" si="48"/>
        <v>1230.5927311380608</v>
      </c>
      <c r="AN113">
        <f t="shared" ca="1" si="48"/>
        <v>956.71669201467876</v>
      </c>
      <c r="AO113">
        <f t="shared" ca="1" si="48"/>
        <v>1170.1678090266926</v>
      </c>
      <c r="AP113">
        <f t="shared" ca="1" si="48"/>
        <v>1294.137864884033</v>
      </c>
      <c r="AQ113">
        <f t="shared" ca="1" si="48"/>
        <v>1058.0732844912411</v>
      </c>
      <c r="AR113">
        <f t="shared" ca="1" si="48"/>
        <v>909.73971081296975</v>
      </c>
      <c r="AS113">
        <f t="shared" ca="1" si="48"/>
        <v>1294.1378648840334</v>
      </c>
      <c r="AT113">
        <f t="shared" ca="1" si="48"/>
        <v>1058.0732844912409</v>
      </c>
      <c r="AU113">
        <f t="shared" ca="1" si="48"/>
        <v>909.73971081296963</v>
      </c>
      <c r="AV113">
        <f t="shared" ca="1" si="48"/>
        <v>1230.5927311380606</v>
      </c>
      <c r="AW113">
        <f t="shared" ca="1" si="48"/>
        <v>1360.9643312111427</v>
      </c>
      <c r="AX113">
        <f t="shared" ca="1" si="48"/>
        <v>1360.9643312111427</v>
      </c>
      <c r="AY113">
        <f t="shared" ca="1" si="47"/>
        <v>1230.5927311380606</v>
      </c>
      <c r="AZ113">
        <f t="shared" ca="1" si="46"/>
        <v>1582.870334101578</v>
      </c>
      <c r="BA113">
        <f t="shared" ca="1" si="46"/>
        <v>1505.1477746955675</v>
      </c>
      <c r="BB113">
        <f t="shared" ca="1" si="46"/>
        <v>1230.5927311380601</v>
      </c>
      <c r="BC113">
        <f t="shared" ca="1" si="46"/>
        <v>1170.167809026693</v>
      </c>
      <c r="BD113">
        <f t="shared" ca="1" si="46"/>
        <v>1006.1194624136668</v>
      </c>
      <c r="BE113">
        <f t="shared" ca="1" si="46"/>
        <v>1058.0732844912411</v>
      </c>
      <c r="BF113">
        <f t="shared" ca="1" si="46"/>
        <v>956.71669201467887</v>
      </c>
      <c r="BG113">
        <f t="shared" ca="1" si="46"/>
        <v>1294.1378648840334</v>
      </c>
      <c r="BH113">
        <f t="shared" ca="1" si="46"/>
        <v>1505.1477746955675</v>
      </c>
      <c r="BI113">
        <f t="shared" ca="1" si="46"/>
        <v>2035.9932503922382</v>
      </c>
      <c r="BJ113">
        <f t="shared" ca="1" si="46"/>
        <v>1058.0732844912409</v>
      </c>
      <c r="BK113">
        <f t="shared" ca="1" si="46"/>
        <v>1230.5927311380603</v>
      </c>
      <c r="BL113">
        <f t="shared" ca="1" si="46"/>
        <v>1750.5629694824092</v>
      </c>
      <c r="BM113">
        <f t="shared" ca="1" si="46"/>
        <v>1230.5927311380608</v>
      </c>
      <c r="BN113">
        <f t="shared" ca="1" si="46"/>
        <v>1431.2415710013779</v>
      </c>
      <c r="BO113">
        <f t="shared" ca="1" si="46"/>
        <v>1294.1378648840334</v>
      </c>
      <c r="BP113">
        <f t="shared" ref="BP113:CE116" ca="1" si="53">BP112*(IF(RAND()&lt;$B$11,$B$9,$B$10))</f>
        <v>1230.5927311380608</v>
      </c>
      <c r="BQ113">
        <f t="shared" ca="1" si="53"/>
        <v>956.71669201467876</v>
      </c>
      <c r="BR113">
        <f t="shared" ca="1" si="53"/>
        <v>1112.7098890109644</v>
      </c>
      <c r="BS113">
        <f t="shared" ca="1" si="53"/>
        <v>1505.1477746955675</v>
      </c>
      <c r="BT113">
        <f t="shared" ca="1" si="53"/>
        <v>1360.9643312111427</v>
      </c>
      <c r="BU113">
        <f t="shared" ca="1" si="53"/>
        <v>865.06940700201301</v>
      </c>
      <c r="BV113">
        <f t="shared" ca="1" si="53"/>
        <v>909.73971081296975</v>
      </c>
      <c r="BW113">
        <f t="shared" ca="1" si="53"/>
        <v>1230.5927311380606</v>
      </c>
      <c r="BX113">
        <f t="shared" ca="1" si="53"/>
        <v>1170.167809026693</v>
      </c>
      <c r="BY113">
        <f t="shared" ca="1" si="53"/>
        <v>1750.5629694824095</v>
      </c>
      <c r="BZ113">
        <f t="shared" ca="1" si="53"/>
        <v>1170.167809026693</v>
      </c>
      <c r="CA113">
        <f t="shared" ca="1" si="53"/>
        <v>1360.9643312111427</v>
      </c>
      <c r="CB113">
        <f t="shared" ca="1" si="53"/>
        <v>1006.1194624136668</v>
      </c>
      <c r="CC113">
        <f t="shared" ca="1" si="53"/>
        <v>1582.870334101578</v>
      </c>
      <c r="CD113">
        <f t="shared" ca="1" si="53"/>
        <v>1230.5927311380603</v>
      </c>
      <c r="CE113">
        <f t="shared" ca="1" si="53"/>
        <v>1170.167809026693</v>
      </c>
      <c r="CF113">
        <f t="shared" ca="1" si="51"/>
        <v>1170.1678090266926</v>
      </c>
      <c r="CG113">
        <f t="shared" ca="1" si="51"/>
        <v>707.27149990432417</v>
      </c>
      <c r="CH113">
        <f t="shared" ca="1" si="51"/>
        <v>1505.1477746955675</v>
      </c>
      <c r="CI113">
        <f t="shared" ca="1" si="51"/>
        <v>1294.1378648840334</v>
      </c>
      <c r="CJ113">
        <f t="shared" ca="1" si="51"/>
        <v>822.59251743784137</v>
      </c>
      <c r="CK113">
        <f t="shared" ca="1" si="51"/>
        <v>1431.2415710013786</v>
      </c>
      <c r="CL113">
        <f t="shared" ca="1" si="51"/>
        <v>909.73971081296975</v>
      </c>
      <c r="CM113">
        <f t="shared" ca="1" si="51"/>
        <v>1230.5927311380608</v>
      </c>
      <c r="CN113">
        <f t="shared" ca="1" si="45"/>
        <v>1840.9582360980601</v>
      </c>
      <c r="CO113">
        <f t="shared" ca="1" si="45"/>
        <v>1582.870334101578</v>
      </c>
      <c r="CP113">
        <f t="shared" ca="1" si="45"/>
        <v>1750.5629694824095</v>
      </c>
      <c r="CQ113">
        <f t="shared" ca="1" si="45"/>
        <v>1006.1194624136668</v>
      </c>
      <c r="CR113">
        <f t="shared" ca="1" si="45"/>
        <v>1582.870334101578</v>
      </c>
      <c r="CS113">
        <f t="shared" ca="1" si="45"/>
        <v>909.73971081296963</v>
      </c>
      <c r="CT113">
        <f t="shared" ca="1" si="45"/>
        <v>1750.5629694824095</v>
      </c>
      <c r="CU113">
        <f t="shared" ca="1" si="45"/>
        <v>1170.167809026693</v>
      </c>
      <c r="CV113">
        <f t="shared" ca="1" si="45"/>
        <v>956.71669201467876</v>
      </c>
      <c r="CW113">
        <f t="shared" ca="1" si="45"/>
        <v>1006.1194624136668</v>
      </c>
      <c r="CX113">
        <f t="shared" ca="1" si="45"/>
        <v>1058.0732844912411</v>
      </c>
      <c r="CY113">
        <f t="shared" ca="1" si="45"/>
        <v>782.20134045631642</v>
      </c>
    </row>
    <row r="114" spans="1:103">
      <c r="A114">
        <v>98</v>
      </c>
      <c r="B114">
        <v>98</v>
      </c>
      <c r="C114">
        <v>98</v>
      </c>
      <c r="D114">
        <f t="shared" ref="D114:R116" ca="1" si="54">D113*(IF(RAND()&lt;$B$11,$B$9,$B$10))</f>
        <v>802.14273654332578</v>
      </c>
      <c r="E114">
        <f t="shared" ca="1" si="54"/>
        <v>887.12343682215862</v>
      </c>
      <c r="F114">
        <f t="shared" ca="1" si="54"/>
        <v>802.14273654332578</v>
      </c>
      <c r="G114">
        <f t="shared" ca="1" si="54"/>
        <v>1327.1305413473517</v>
      </c>
      <c r="H114">
        <f t="shared" ca="1" si="54"/>
        <v>1467.7295614807629</v>
      </c>
      <c r="I114">
        <f t="shared" ca="1" si="54"/>
        <v>1707.0436954687445</v>
      </c>
      <c r="J114">
        <f t="shared" ca="1" si="54"/>
        <v>1795.1917213704278</v>
      </c>
      <c r="K114">
        <f t="shared" ca="1" si="54"/>
        <v>1707.0436954687441</v>
      </c>
      <c r="L114">
        <f t="shared" ca="1" si="54"/>
        <v>1623.2239395662305</v>
      </c>
      <c r="M114">
        <f t="shared" ca="1" si="54"/>
        <v>1199.9999999999995</v>
      </c>
      <c r="N114">
        <f t="shared" ca="1" si="54"/>
        <v>1327.1305413473517</v>
      </c>
      <c r="O114">
        <f t="shared" ca="1" si="54"/>
        <v>1141.0772510686097</v>
      </c>
      <c r="P114">
        <f t="shared" ca="1" si="54"/>
        <v>1085.0477440885793</v>
      </c>
      <c r="Q114">
        <f t="shared" ca="1" si="54"/>
        <v>1261.9653916081938</v>
      </c>
      <c r="R114">
        <f t="shared" ca="1" si="54"/>
        <v>1887.8915197258498</v>
      </c>
      <c r="S114">
        <f t="shared" ca="1" si="52"/>
        <v>1467.7295614807629</v>
      </c>
      <c r="T114">
        <f t="shared" ca="1" si="50"/>
        <v>1199.9999999999991</v>
      </c>
      <c r="U114">
        <f t="shared" ca="1" si="50"/>
        <v>1327.1305413473519</v>
      </c>
      <c r="V114">
        <f t="shared" ca="1" si="50"/>
        <v>1707.0436954687445</v>
      </c>
      <c r="W114">
        <f t="shared" ca="1" si="50"/>
        <v>1707.0436954687445</v>
      </c>
      <c r="X114">
        <f t="shared" ca="1" si="50"/>
        <v>932.93256279506875</v>
      </c>
      <c r="Y114">
        <f t="shared" ca="1" si="50"/>
        <v>1795.1917213704276</v>
      </c>
      <c r="Z114">
        <f t="shared" ca="1" si="50"/>
        <v>1327.1305413473517</v>
      </c>
      <c r="AA114">
        <f t="shared" ca="1" si="50"/>
        <v>1795.1917213704276</v>
      </c>
      <c r="AB114">
        <f t="shared" ca="1" si="50"/>
        <v>1395.6606777721711</v>
      </c>
      <c r="AC114">
        <f t="shared" ca="1" si="50"/>
        <v>1467.7295614807629</v>
      </c>
      <c r="AD114">
        <f t="shared" ca="1" si="50"/>
        <v>1623.2239395662305</v>
      </c>
      <c r="AE114">
        <f t="shared" ca="1" si="50"/>
        <v>1199.9999999999991</v>
      </c>
      <c r="AF114">
        <f t="shared" ca="1" si="50"/>
        <v>1261.9653916081941</v>
      </c>
      <c r="AG114">
        <f t="shared" ca="1" si="50"/>
        <v>1887.8915197258502</v>
      </c>
      <c r="AH114">
        <f t="shared" ca="1" si="50"/>
        <v>887.12343682215874</v>
      </c>
      <c r="AI114">
        <f t="shared" ca="1" si="49"/>
        <v>981.10717245976252</v>
      </c>
      <c r="AJ114">
        <f t="shared" ca="1" si="48"/>
        <v>932.93256279506875</v>
      </c>
      <c r="AK114">
        <f t="shared" ca="1" si="48"/>
        <v>1085.0477440885795</v>
      </c>
      <c r="AL114">
        <f t="shared" ca="1" si="48"/>
        <v>1395.6606777721711</v>
      </c>
      <c r="AM114">
        <f t="shared" ca="1" si="48"/>
        <v>1199.9999999999995</v>
      </c>
      <c r="AN114">
        <f t="shared" ca="1" si="48"/>
        <v>932.93256279506875</v>
      </c>
      <c r="AO114">
        <f t="shared" ca="1" si="48"/>
        <v>1199.9999999999991</v>
      </c>
      <c r="AP114">
        <f t="shared" ca="1" si="48"/>
        <v>1327.1305413473513</v>
      </c>
      <c r="AQ114">
        <f t="shared" ca="1" si="48"/>
        <v>1085.0477440885795</v>
      </c>
      <c r="AR114">
        <f t="shared" ca="1" si="48"/>
        <v>932.93256279506875</v>
      </c>
      <c r="AS114">
        <f t="shared" ca="1" si="48"/>
        <v>1327.1305413473517</v>
      </c>
      <c r="AT114">
        <f t="shared" ca="1" si="48"/>
        <v>1085.0477440885793</v>
      </c>
      <c r="AU114">
        <f t="shared" ca="1" si="48"/>
        <v>887.12343682215862</v>
      </c>
      <c r="AV114">
        <f t="shared" ca="1" si="48"/>
        <v>1199.9999999999993</v>
      </c>
      <c r="AW114">
        <f t="shared" ca="1" si="48"/>
        <v>1327.1305413473517</v>
      </c>
      <c r="AX114">
        <f t="shared" ca="1" si="48"/>
        <v>1395.6606777721711</v>
      </c>
      <c r="AY114">
        <f t="shared" ca="1" si="47"/>
        <v>1199.9999999999993</v>
      </c>
      <c r="AZ114">
        <f t="shared" ca="1" si="46"/>
        <v>1543.5199256908281</v>
      </c>
      <c r="BA114">
        <f t="shared" ca="1" si="46"/>
        <v>1543.5199256908281</v>
      </c>
      <c r="BB114">
        <f t="shared" ca="1" si="46"/>
        <v>1261.9653916081929</v>
      </c>
      <c r="BC114">
        <f t="shared" ca="1" si="46"/>
        <v>1141.0772510686097</v>
      </c>
      <c r="BD114">
        <f t="shared" ca="1" si="46"/>
        <v>981.10717245976264</v>
      </c>
      <c r="BE114">
        <f t="shared" ca="1" si="46"/>
        <v>1085.0477440885795</v>
      </c>
      <c r="BF114">
        <f t="shared" ca="1" si="46"/>
        <v>932.93256279506875</v>
      </c>
      <c r="BG114">
        <f t="shared" ca="1" si="46"/>
        <v>1327.1305413473517</v>
      </c>
      <c r="BH114">
        <f t="shared" ca="1" si="46"/>
        <v>1467.7295614807629</v>
      </c>
      <c r="BI114">
        <f t="shared" ca="1" si="46"/>
        <v>2087.8987454823691</v>
      </c>
      <c r="BJ114">
        <f t="shared" ca="1" si="46"/>
        <v>1031.7694142523271</v>
      </c>
      <c r="BK114">
        <f t="shared" ca="1" si="46"/>
        <v>1199.9999999999991</v>
      </c>
      <c r="BL114">
        <f t="shared" ca="1" si="46"/>
        <v>1795.1917213704273</v>
      </c>
      <c r="BM114">
        <f t="shared" ca="1" si="46"/>
        <v>1261.9653916081936</v>
      </c>
      <c r="BN114">
        <f t="shared" ca="1" si="46"/>
        <v>1395.6606777721709</v>
      </c>
      <c r="BO114">
        <f t="shared" ca="1" si="46"/>
        <v>1261.9653916081936</v>
      </c>
      <c r="BP114">
        <f t="shared" ca="1" si="53"/>
        <v>1199.9999999999995</v>
      </c>
      <c r="BQ114">
        <f t="shared" ca="1" si="53"/>
        <v>932.93256279506875</v>
      </c>
      <c r="BR114">
        <f t="shared" ca="1" si="53"/>
        <v>1085.0477440885795</v>
      </c>
      <c r="BS114">
        <f t="shared" ca="1" si="53"/>
        <v>1543.5199256908281</v>
      </c>
      <c r="BT114">
        <f t="shared" ca="1" si="53"/>
        <v>1327.1305413473517</v>
      </c>
      <c r="BU114">
        <f t="shared" ca="1" si="53"/>
        <v>887.12343682215862</v>
      </c>
      <c r="BV114">
        <f t="shared" ca="1" si="53"/>
        <v>887.12343682215874</v>
      </c>
      <c r="BW114">
        <f t="shared" ca="1" si="53"/>
        <v>1199.9999999999993</v>
      </c>
      <c r="BX114">
        <f t="shared" ca="1" si="53"/>
        <v>1141.0772510686097</v>
      </c>
      <c r="BY114">
        <f t="shared" ca="1" si="53"/>
        <v>1795.1917213704276</v>
      </c>
      <c r="BZ114">
        <f t="shared" ca="1" si="53"/>
        <v>1199.9999999999995</v>
      </c>
      <c r="CA114">
        <f t="shared" ca="1" si="53"/>
        <v>1327.1305413473517</v>
      </c>
      <c r="CB114">
        <f t="shared" ca="1" si="53"/>
        <v>1031.7694142523269</v>
      </c>
      <c r="CC114">
        <f t="shared" ca="1" si="53"/>
        <v>1543.5199256908281</v>
      </c>
      <c r="CD114">
        <f t="shared" ca="1" si="53"/>
        <v>1261.9653916081932</v>
      </c>
      <c r="CE114">
        <f t="shared" ca="1" si="53"/>
        <v>1199.9999999999995</v>
      </c>
      <c r="CF114">
        <f t="shared" ca="1" si="51"/>
        <v>1141.0772510686093</v>
      </c>
      <c r="CG114">
        <f t="shared" ca="1" si="51"/>
        <v>725.3026389361462</v>
      </c>
      <c r="CH114">
        <f t="shared" ca="1" si="51"/>
        <v>1543.5199256908281</v>
      </c>
      <c r="CI114">
        <f t="shared" ca="1" si="51"/>
        <v>1261.9653916081936</v>
      </c>
      <c r="CJ114">
        <f t="shared" ca="1" si="51"/>
        <v>802.14273654332578</v>
      </c>
      <c r="CK114">
        <f t="shared" ca="1" si="51"/>
        <v>1395.6606777721715</v>
      </c>
      <c r="CL114">
        <f t="shared" ca="1" si="51"/>
        <v>932.93256279506875</v>
      </c>
      <c r="CM114">
        <f t="shared" ca="1" si="51"/>
        <v>1261.9653916081936</v>
      </c>
      <c r="CN114">
        <f t="shared" ca="1" si="45"/>
        <v>1795.1917213704276</v>
      </c>
      <c r="CO114">
        <f t="shared" ca="1" si="45"/>
        <v>1623.2239395662305</v>
      </c>
      <c r="CP114">
        <f t="shared" ca="1" si="45"/>
        <v>1707.0436954687445</v>
      </c>
      <c r="CQ114">
        <f t="shared" ca="1" si="45"/>
        <v>1031.7694142523269</v>
      </c>
      <c r="CR114">
        <f t="shared" ca="1" si="45"/>
        <v>1623.2239395662305</v>
      </c>
      <c r="CS114">
        <f t="shared" ca="1" si="45"/>
        <v>932.93256279506863</v>
      </c>
      <c r="CT114">
        <f t="shared" ca="1" si="45"/>
        <v>1707.0436954687445</v>
      </c>
      <c r="CU114">
        <f t="shared" ca="1" si="45"/>
        <v>1199.9999999999995</v>
      </c>
      <c r="CV114">
        <f t="shared" ca="1" si="45"/>
        <v>932.93256279506875</v>
      </c>
      <c r="CW114">
        <f t="shared" ca="1" si="45"/>
        <v>1031.7694142523269</v>
      </c>
      <c r="CX114">
        <f t="shared" ca="1" si="45"/>
        <v>1085.0477440885795</v>
      </c>
      <c r="CY114">
        <f t="shared" ca="1" si="45"/>
        <v>762.755690649592</v>
      </c>
    </row>
    <row r="115" spans="1:103">
      <c r="A115">
        <v>99</v>
      </c>
      <c r="B115">
        <v>99</v>
      </c>
      <c r="C115">
        <v>99</v>
      </c>
      <c r="D115">
        <f t="shared" ca="1" si="54"/>
        <v>822.59251743784137</v>
      </c>
      <c r="E115">
        <f t="shared" ca="1" si="54"/>
        <v>865.06940700201301</v>
      </c>
      <c r="F115">
        <f t="shared" ca="1" si="54"/>
        <v>782.20134045631642</v>
      </c>
      <c r="G115">
        <f t="shared" ca="1" si="54"/>
        <v>1360.9643312111427</v>
      </c>
      <c r="H115">
        <f t="shared" ca="1" si="54"/>
        <v>1505.1477746955675</v>
      </c>
      <c r="I115">
        <f t="shared" ca="1" si="54"/>
        <v>1750.5629694824095</v>
      </c>
      <c r="J115">
        <f t="shared" ca="1" si="54"/>
        <v>1750.5629694824097</v>
      </c>
      <c r="K115">
        <f t="shared" ca="1" si="54"/>
        <v>1664.6063175329086</v>
      </c>
      <c r="L115">
        <f t="shared" ca="1" si="54"/>
        <v>1664.6063175329091</v>
      </c>
      <c r="M115">
        <f t="shared" ca="1" si="54"/>
        <v>1170.167809026693</v>
      </c>
      <c r="N115">
        <f t="shared" ca="1" si="54"/>
        <v>1294.1378648840334</v>
      </c>
      <c r="O115">
        <f t="shared" ca="1" si="54"/>
        <v>1112.7098890109644</v>
      </c>
      <c r="P115">
        <f t="shared" ca="1" si="54"/>
        <v>1058.0732844912409</v>
      </c>
      <c r="Q115">
        <f t="shared" ca="1" si="54"/>
        <v>1230.592731138061</v>
      </c>
      <c r="R115">
        <f t="shared" ca="1" si="54"/>
        <v>1840.9582360980601</v>
      </c>
      <c r="S115">
        <f t="shared" ca="1" si="52"/>
        <v>1505.1477746955675</v>
      </c>
      <c r="T115">
        <f t="shared" ca="1" si="50"/>
        <v>1230.5927311380603</v>
      </c>
      <c r="U115">
        <f t="shared" ca="1" si="50"/>
        <v>1294.1378648840337</v>
      </c>
      <c r="V115">
        <f t="shared" ca="1" si="50"/>
        <v>1750.5629694824095</v>
      </c>
      <c r="W115">
        <f t="shared" ca="1" si="50"/>
        <v>1664.6063175329091</v>
      </c>
      <c r="X115">
        <f t="shared" ca="1" si="50"/>
        <v>909.73971081296975</v>
      </c>
      <c r="Y115">
        <f t="shared" ca="1" si="50"/>
        <v>1750.5629694824095</v>
      </c>
      <c r="Z115">
        <f t="shared" ca="1" si="50"/>
        <v>1294.1378648840334</v>
      </c>
      <c r="AA115">
        <f t="shared" ca="1" si="50"/>
        <v>1750.5629694824095</v>
      </c>
      <c r="AB115">
        <f t="shared" ca="1" si="50"/>
        <v>1431.2415710013781</v>
      </c>
      <c r="AC115">
        <f t="shared" ca="1" si="50"/>
        <v>1505.1477746955675</v>
      </c>
      <c r="AD115">
        <f t="shared" ca="1" si="50"/>
        <v>1664.6063175329091</v>
      </c>
      <c r="AE115">
        <f t="shared" ca="1" si="50"/>
        <v>1230.5927311380603</v>
      </c>
      <c r="AF115">
        <f t="shared" ca="1" si="50"/>
        <v>1230.5927311380613</v>
      </c>
      <c r="AG115">
        <f t="shared" ca="1" si="50"/>
        <v>1840.9582360980605</v>
      </c>
      <c r="AH115">
        <f t="shared" ca="1" si="50"/>
        <v>865.06940700201312</v>
      </c>
      <c r="AI115">
        <f t="shared" ca="1" si="49"/>
        <v>956.71669201467876</v>
      </c>
      <c r="AJ115">
        <f t="shared" ca="1" si="48"/>
        <v>956.71669201467876</v>
      </c>
      <c r="AK115">
        <f t="shared" ca="1" si="48"/>
        <v>1112.7098890109644</v>
      </c>
      <c r="AL115">
        <f t="shared" ca="1" si="48"/>
        <v>1360.9643312111427</v>
      </c>
      <c r="AM115">
        <f t="shared" ca="1" si="48"/>
        <v>1170.167809026693</v>
      </c>
      <c r="AN115">
        <f t="shared" ca="1" si="48"/>
        <v>909.73971081296975</v>
      </c>
      <c r="AO115">
        <f t="shared" ca="1" si="48"/>
        <v>1230.5927311380603</v>
      </c>
      <c r="AP115">
        <f t="shared" ca="1" si="48"/>
        <v>1360.9643312111423</v>
      </c>
      <c r="AQ115">
        <f t="shared" ca="1" si="48"/>
        <v>1058.0732844912411</v>
      </c>
      <c r="AR115">
        <f t="shared" ca="1" si="48"/>
        <v>909.73971081296975</v>
      </c>
      <c r="AS115">
        <f t="shared" ca="1" si="48"/>
        <v>1294.1378648840334</v>
      </c>
      <c r="AT115">
        <f t="shared" ca="1" si="48"/>
        <v>1112.7098890109642</v>
      </c>
      <c r="AU115">
        <f t="shared" ca="1" si="48"/>
        <v>909.73971081296963</v>
      </c>
      <c r="AV115">
        <f t="shared" ca="1" si="48"/>
        <v>1170.1678090266928</v>
      </c>
      <c r="AW115">
        <f t="shared" ca="1" si="48"/>
        <v>1360.9643312111427</v>
      </c>
      <c r="AX115">
        <f t="shared" ca="1" si="48"/>
        <v>1360.9643312111427</v>
      </c>
      <c r="AY115">
        <f t="shared" ca="1" si="47"/>
        <v>1230.5927311380606</v>
      </c>
      <c r="AZ115">
        <f t="shared" ca="1" si="46"/>
        <v>1582.870334101578</v>
      </c>
      <c r="BA115">
        <f t="shared" ca="1" si="46"/>
        <v>1582.870334101578</v>
      </c>
      <c r="BB115">
        <f t="shared" ca="1" si="46"/>
        <v>1294.1378648840328</v>
      </c>
      <c r="BC115">
        <f t="shared" ca="1" si="46"/>
        <v>1170.167809026693</v>
      </c>
      <c r="BD115">
        <f t="shared" ca="1" si="46"/>
        <v>956.71669201467887</v>
      </c>
      <c r="BE115">
        <f t="shared" ca="1" si="46"/>
        <v>1112.7098890109644</v>
      </c>
      <c r="BF115">
        <f t="shared" ca="1" si="46"/>
        <v>909.73971081296975</v>
      </c>
      <c r="BG115">
        <f t="shared" ca="1" si="46"/>
        <v>1360.9643312111427</v>
      </c>
      <c r="BH115">
        <f t="shared" ca="1" si="46"/>
        <v>1431.2415710013781</v>
      </c>
      <c r="BI115">
        <f t="shared" ca="1" si="46"/>
        <v>2141.1275162857337</v>
      </c>
      <c r="BJ115">
        <f t="shared" ca="1" si="46"/>
        <v>1058.0732844912409</v>
      </c>
      <c r="BK115">
        <f t="shared" ca="1" si="46"/>
        <v>1170.1678090266926</v>
      </c>
      <c r="BL115">
        <f t="shared" ca="1" si="46"/>
        <v>1750.5629694824092</v>
      </c>
      <c r="BM115">
        <f t="shared" ca="1" si="46"/>
        <v>1230.5927311380608</v>
      </c>
      <c r="BN115">
        <f t="shared" ca="1" si="46"/>
        <v>1431.2415710013779</v>
      </c>
      <c r="BO115">
        <f t="shared" ca="1" si="46"/>
        <v>1294.1378648840334</v>
      </c>
      <c r="BP115">
        <f t="shared" ca="1" si="53"/>
        <v>1170.167809026693</v>
      </c>
      <c r="BQ115">
        <f t="shared" ca="1" si="53"/>
        <v>956.71669201467876</v>
      </c>
      <c r="BR115">
        <f t="shared" ca="1" si="53"/>
        <v>1112.7098890109644</v>
      </c>
      <c r="BS115">
        <f t="shared" ca="1" si="53"/>
        <v>1505.1477746955675</v>
      </c>
      <c r="BT115">
        <f t="shared" ca="1" si="53"/>
        <v>1294.1378648840334</v>
      </c>
      <c r="BU115">
        <f t="shared" ca="1" si="53"/>
        <v>865.06940700201301</v>
      </c>
      <c r="BV115">
        <f t="shared" ca="1" si="53"/>
        <v>909.73971081296975</v>
      </c>
      <c r="BW115">
        <f t="shared" ca="1" si="53"/>
        <v>1170.1678090266928</v>
      </c>
      <c r="BX115">
        <f t="shared" ca="1" si="53"/>
        <v>1170.167809026693</v>
      </c>
      <c r="BY115">
        <f t="shared" ca="1" si="53"/>
        <v>1750.5629694824095</v>
      </c>
      <c r="BZ115">
        <f t="shared" ca="1" si="53"/>
        <v>1170.167809026693</v>
      </c>
      <c r="CA115">
        <f t="shared" ca="1" si="53"/>
        <v>1294.1378648840334</v>
      </c>
      <c r="CB115">
        <f t="shared" ca="1" si="53"/>
        <v>1006.1194624136668</v>
      </c>
      <c r="CC115">
        <f t="shared" ca="1" si="53"/>
        <v>1505.1477746955675</v>
      </c>
      <c r="CD115">
        <f t="shared" ca="1" si="53"/>
        <v>1230.5927311380603</v>
      </c>
      <c r="CE115">
        <f t="shared" ca="1" si="53"/>
        <v>1170.167809026693</v>
      </c>
      <c r="CF115">
        <f t="shared" ca="1" si="51"/>
        <v>1170.1678090266926</v>
      </c>
      <c r="CG115">
        <f t="shared" ca="1" si="51"/>
        <v>743.79346279172944</v>
      </c>
      <c r="CH115">
        <f t="shared" ca="1" si="51"/>
        <v>1582.870334101578</v>
      </c>
      <c r="CI115">
        <f t="shared" ca="1" si="51"/>
        <v>1294.1378648840334</v>
      </c>
      <c r="CJ115">
        <f t="shared" ca="1" si="51"/>
        <v>822.59251743784137</v>
      </c>
      <c r="CK115">
        <f t="shared" ca="1" si="51"/>
        <v>1431.2415710013786</v>
      </c>
      <c r="CL115">
        <f t="shared" ca="1" si="51"/>
        <v>956.71669201467876</v>
      </c>
      <c r="CM115">
        <f t="shared" ca="1" si="51"/>
        <v>1294.1378648840334</v>
      </c>
      <c r="CN115">
        <f t="shared" ca="1" si="51"/>
        <v>1750.5629694824095</v>
      </c>
      <c r="CO115">
        <f t="shared" ca="1" si="51"/>
        <v>1582.870334101578</v>
      </c>
      <c r="CP115">
        <f t="shared" ca="1" si="51"/>
        <v>1664.6063175329091</v>
      </c>
      <c r="CQ115">
        <f t="shared" ca="1" si="51"/>
        <v>1058.0732844912407</v>
      </c>
      <c r="CR115">
        <f t="shared" ca="1" si="51"/>
        <v>1664.6063175329091</v>
      </c>
      <c r="CS115">
        <f t="shared" ca="1" si="51"/>
        <v>909.73971081296963</v>
      </c>
      <c r="CT115">
        <f t="shared" ca="1" si="51"/>
        <v>1664.6063175329091</v>
      </c>
      <c r="CU115">
        <f t="shared" ca="1" si="51"/>
        <v>1230.5927311380608</v>
      </c>
      <c r="CV115">
        <f t="shared" ref="CV115:CY116" ca="1" si="55">CV114*(IF(RAND()&lt;$B$11,$B$9,$B$10))</f>
        <v>909.73971081296975</v>
      </c>
      <c r="CW115">
        <f t="shared" ca="1" si="55"/>
        <v>1058.0732844912407</v>
      </c>
      <c r="CX115">
        <f t="shared" ca="1" si="55"/>
        <v>1112.7098890109644</v>
      </c>
      <c r="CY115">
        <f t="shared" ca="1" si="55"/>
        <v>743.79346279172944</v>
      </c>
    </row>
    <row r="116" spans="1:103">
      <c r="A116">
        <v>100</v>
      </c>
      <c r="B116">
        <v>100</v>
      </c>
      <c r="C116">
        <v>100</v>
      </c>
      <c r="D116">
        <f t="shared" ca="1" si="54"/>
        <v>843.56364387297208</v>
      </c>
      <c r="E116">
        <f t="shared" ca="1" si="54"/>
        <v>887.12343682215862</v>
      </c>
      <c r="F116">
        <f t="shared" ca="1" si="54"/>
        <v>762.755690649592</v>
      </c>
      <c r="G116">
        <f t="shared" ca="1" si="54"/>
        <v>1395.6606777721711</v>
      </c>
      <c r="H116">
        <f t="shared" ca="1" si="54"/>
        <v>1467.7295614807629</v>
      </c>
      <c r="I116">
        <f t="shared" ca="1" si="54"/>
        <v>1707.0436954687445</v>
      </c>
      <c r="J116">
        <f t="shared" ca="1" si="54"/>
        <v>1795.1917213704278</v>
      </c>
      <c r="K116">
        <f t="shared" ca="1" si="54"/>
        <v>1707.0436954687441</v>
      </c>
      <c r="L116">
        <f t="shared" ca="1" si="54"/>
        <v>1623.2239395662305</v>
      </c>
      <c r="M116">
        <f t="shared" ca="1" si="54"/>
        <v>1199.9999999999995</v>
      </c>
      <c r="N116">
        <f t="shared" ca="1" si="54"/>
        <v>1261.9653916081936</v>
      </c>
      <c r="O116">
        <f t="shared" ca="1" si="54"/>
        <v>1141.0772510686097</v>
      </c>
      <c r="P116">
        <f t="shared" ca="1" si="54"/>
        <v>1031.7694142523271</v>
      </c>
      <c r="Q116">
        <f t="shared" ca="1" si="54"/>
        <v>1261.9653916081938</v>
      </c>
      <c r="R116">
        <f t="shared" ca="1" si="54"/>
        <v>1795.1917213704276</v>
      </c>
      <c r="S116">
        <f t="shared" ca="1" si="52"/>
        <v>1543.5199256908281</v>
      </c>
      <c r="T116">
        <f t="shared" ca="1" si="50"/>
        <v>1199.9999999999991</v>
      </c>
      <c r="U116">
        <f t="shared" ca="1" si="50"/>
        <v>1327.1305413473519</v>
      </c>
      <c r="V116">
        <f t="shared" ca="1" si="50"/>
        <v>1795.1917213704276</v>
      </c>
      <c r="W116">
        <f t="shared" ca="1" si="50"/>
        <v>1623.2239395662305</v>
      </c>
      <c r="X116">
        <f t="shared" ca="1" si="50"/>
        <v>932.93256279506875</v>
      </c>
      <c r="Y116">
        <f t="shared" ca="1" si="50"/>
        <v>1795.1917213704276</v>
      </c>
      <c r="Z116">
        <f t="shared" ca="1" si="50"/>
        <v>1327.1305413473517</v>
      </c>
      <c r="AA116">
        <f t="shared" ca="1" si="50"/>
        <v>1707.0436954687445</v>
      </c>
      <c r="AB116">
        <f t="shared" ca="1" si="50"/>
        <v>1395.6606777721711</v>
      </c>
      <c r="AC116">
        <f t="shared" ca="1" si="50"/>
        <v>1467.7295614807629</v>
      </c>
      <c r="AD116">
        <f t="shared" ca="1" si="50"/>
        <v>1707.0436954687445</v>
      </c>
      <c r="AE116">
        <f t="shared" ca="1" si="50"/>
        <v>1261.9653916081932</v>
      </c>
      <c r="AF116">
        <f t="shared" ca="1" si="50"/>
        <v>1261.9653916081941</v>
      </c>
      <c r="AG116">
        <f t="shared" ca="1" si="50"/>
        <v>1795.191721370428</v>
      </c>
      <c r="AH116">
        <f t="shared" ca="1" si="50"/>
        <v>843.56364387297219</v>
      </c>
      <c r="AI116">
        <f t="shared" ca="1" si="49"/>
        <v>981.10717245976252</v>
      </c>
      <c r="AJ116">
        <f t="shared" ca="1" si="48"/>
        <v>981.10717245976252</v>
      </c>
      <c r="AK116">
        <f t="shared" ca="1" si="48"/>
        <v>1085.0477440885795</v>
      </c>
      <c r="AL116">
        <f t="shared" ca="1" si="48"/>
        <v>1395.6606777721711</v>
      </c>
      <c r="AM116">
        <f t="shared" ca="1" si="48"/>
        <v>1141.0772510686097</v>
      </c>
      <c r="AN116">
        <f t="shared" ca="1" si="48"/>
        <v>887.12343682215874</v>
      </c>
      <c r="AO116">
        <f t="shared" ca="1" si="48"/>
        <v>1199.9999999999991</v>
      </c>
      <c r="AP116">
        <f t="shared" ca="1" si="48"/>
        <v>1395.6606777721706</v>
      </c>
      <c r="AQ116">
        <f t="shared" ca="1" si="48"/>
        <v>1031.7694142523274</v>
      </c>
      <c r="AR116">
        <f t="shared" ca="1" si="48"/>
        <v>932.93256279506875</v>
      </c>
      <c r="AS116">
        <f t="shared" ca="1" si="48"/>
        <v>1327.1305413473517</v>
      </c>
      <c r="AT116">
        <f t="shared" ca="1" si="48"/>
        <v>1085.0477440885793</v>
      </c>
      <c r="AU116">
        <f t="shared" ca="1" si="48"/>
        <v>887.12343682215862</v>
      </c>
      <c r="AV116">
        <f t="shared" ca="1" si="48"/>
        <v>1141.0772510686095</v>
      </c>
      <c r="AW116">
        <f t="shared" ca="1" si="48"/>
        <v>1395.6606777721711</v>
      </c>
      <c r="AX116">
        <f t="shared" ca="1" si="48"/>
        <v>1327.1305413473517</v>
      </c>
      <c r="AY116">
        <f t="shared" ca="1" si="47"/>
        <v>1261.9653916081934</v>
      </c>
      <c r="AZ116">
        <f t="shared" ca="1" si="46"/>
        <v>1543.5199256908281</v>
      </c>
      <c r="BA116">
        <f t="shared" ca="1" si="46"/>
        <v>1623.2239395662305</v>
      </c>
      <c r="BB116">
        <f t="shared" ca="1" si="46"/>
        <v>1327.130541347351</v>
      </c>
      <c r="BC116">
        <f t="shared" ca="1" si="46"/>
        <v>1199.9999999999995</v>
      </c>
      <c r="BD116">
        <f t="shared" ca="1" si="46"/>
        <v>981.10717245976264</v>
      </c>
      <c r="BE116">
        <f t="shared" ca="1" si="46"/>
        <v>1141.0772510686097</v>
      </c>
      <c r="BF116">
        <f t="shared" ca="1" si="46"/>
        <v>887.12343682215874</v>
      </c>
      <c r="BG116">
        <f t="shared" ca="1" si="46"/>
        <v>1395.6606777721711</v>
      </c>
      <c r="BH116">
        <f t="shared" ca="1" si="46"/>
        <v>1395.6606777721711</v>
      </c>
      <c r="BI116">
        <f t="shared" ca="1" si="46"/>
        <v>2195.7132983174292</v>
      </c>
      <c r="BJ116">
        <f t="shared" ca="1" si="46"/>
        <v>1031.7694142523271</v>
      </c>
      <c r="BK116">
        <f t="shared" ca="1" si="46"/>
        <v>1199.9999999999991</v>
      </c>
      <c r="BL116">
        <f t="shared" ca="1" si="46"/>
        <v>1707.0436954687443</v>
      </c>
      <c r="BM116">
        <f t="shared" ca="1" si="46"/>
        <v>1261.9653916081936</v>
      </c>
      <c r="BN116">
        <f t="shared" ca="1" si="46"/>
        <v>1467.7295614807626</v>
      </c>
      <c r="BO116">
        <f t="shared" ca="1" si="46"/>
        <v>1327.1305413473517</v>
      </c>
      <c r="BP116">
        <f t="shared" ca="1" si="53"/>
        <v>1141.0772510686097</v>
      </c>
      <c r="BQ116">
        <f t="shared" ca="1" si="53"/>
        <v>981.10717245976252</v>
      </c>
      <c r="BR116">
        <f t="shared" ca="1" si="53"/>
        <v>1141.0772510686097</v>
      </c>
      <c r="BS116">
        <f t="shared" ca="1" si="53"/>
        <v>1543.5199256908281</v>
      </c>
      <c r="BT116">
        <f t="shared" ca="1" si="53"/>
        <v>1327.1305413473517</v>
      </c>
      <c r="BU116">
        <f t="shared" ca="1" si="53"/>
        <v>843.56364387297208</v>
      </c>
      <c r="BV116">
        <f t="shared" ca="1" si="53"/>
        <v>887.12343682215874</v>
      </c>
      <c r="BW116">
        <f t="shared" ca="1" si="53"/>
        <v>1199.9999999999993</v>
      </c>
      <c r="BX116">
        <f t="shared" ca="1" si="53"/>
        <v>1199.9999999999995</v>
      </c>
      <c r="BY116">
        <f t="shared" ca="1" si="53"/>
        <v>1707.0436954687445</v>
      </c>
      <c r="BZ116">
        <f t="shared" ca="1" si="53"/>
        <v>1141.0772510686097</v>
      </c>
      <c r="CA116">
        <f t="shared" ca="1" si="53"/>
        <v>1261.9653916081936</v>
      </c>
      <c r="CB116">
        <f t="shared" ca="1" si="53"/>
        <v>1031.7694142523269</v>
      </c>
      <c r="CC116">
        <f t="shared" ca="1" si="53"/>
        <v>1543.5199256908281</v>
      </c>
      <c r="CD116">
        <f t="shared" ca="1" si="53"/>
        <v>1199.9999999999991</v>
      </c>
      <c r="CE116">
        <f t="shared" ca="1" si="53"/>
        <v>1141.0772510686097</v>
      </c>
      <c r="CF116">
        <f t="shared" ca="1" si="51"/>
        <v>1199.9999999999991</v>
      </c>
      <c r="CG116">
        <f t="shared" ca="1" si="51"/>
        <v>725.3026389361462</v>
      </c>
      <c r="CH116">
        <f t="shared" ca="1" si="51"/>
        <v>1623.2239395662305</v>
      </c>
      <c r="CI116">
        <f t="shared" ca="1" si="51"/>
        <v>1261.9653916081936</v>
      </c>
      <c r="CJ116">
        <f t="shared" ca="1" si="51"/>
        <v>843.56364387297208</v>
      </c>
      <c r="CK116">
        <f t="shared" ca="1" si="51"/>
        <v>1467.7295614807633</v>
      </c>
      <c r="CL116">
        <f t="shared" ca="1" si="51"/>
        <v>932.93256279506875</v>
      </c>
      <c r="CM116">
        <f t="shared" ca="1" si="51"/>
        <v>1327.1305413473517</v>
      </c>
      <c r="CN116">
        <f t="shared" ca="1" si="51"/>
        <v>1795.1917213704276</v>
      </c>
      <c r="CO116">
        <f t="shared" ca="1" si="51"/>
        <v>1623.2239395662305</v>
      </c>
      <c r="CP116">
        <f t="shared" ca="1" si="51"/>
        <v>1623.2239395662305</v>
      </c>
      <c r="CQ116">
        <f t="shared" ca="1" si="51"/>
        <v>1085.0477440885791</v>
      </c>
      <c r="CR116">
        <f t="shared" ca="1" si="51"/>
        <v>1707.0436954687445</v>
      </c>
      <c r="CS116">
        <f t="shared" ca="1" si="51"/>
        <v>887.12343682215862</v>
      </c>
      <c r="CT116">
        <f t="shared" ca="1" si="51"/>
        <v>1623.2239395662305</v>
      </c>
      <c r="CU116">
        <f t="shared" ca="1" si="51"/>
        <v>1261.9653916081936</v>
      </c>
      <c r="CV116">
        <f t="shared" ca="1" si="55"/>
        <v>887.12343682215874</v>
      </c>
      <c r="CW116">
        <f t="shared" ca="1" si="55"/>
        <v>1031.7694142523269</v>
      </c>
      <c r="CX116">
        <f t="shared" ca="1" si="55"/>
        <v>1085.0477440885795</v>
      </c>
      <c r="CY116">
        <f t="shared" ca="1" si="55"/>
        <v>725.3026389361462</v>
      </c>
    </row>
    <row r="118" spans="1:103">
      <c r="A118" t="s">
        <v>31</v>
      </c>
      <c r="D118">
        <f ca="1">MAX(D116-$B$2,0)</f>
        <v>0</v>
      </c>
      <c r="E118">
        <f t="shared" ref="E118:BP118" ca="1" si="56">MAX(E116-$B$2,0)</f>
        <v>0</v>
      </c>
      <c r="F118">
        <f t="shared" ca="1" si="56"/>
        <v>0</v>
      </c>
      <c r="G118">
        <f t="shared" ca="1" si="56"/>
        <v>95.660677772171084</v>
      </c>
      <c r="H118">
        <f t="shared" ca="1" si="56"/>
        <v>167.72956148076287</v>
      </c>
      <c r="I118">
        <f t="shared" ca="1" si="56"/>
        <v>407.04369546874454</v>
      </c>
      <c r="J118">
        <f t="shared" ca="1" si="56"/>
        <v>495.19172137042779</v>
      </c>
      <c r="K118">
        <f t="shared" ca="1" si="56"/>
        <v>407.04369546874409</v>
      </c>
      <c r="L118">
        <f t="shared" ca="1" si="56"/>
        <v>323.22393956623046</v>
      </c>
      <c r="M118">
        <f t="shared" ca="1" si="56"/>
        <v>0</v>
      </c>
      <c r="N118">
        <f t="shared" ca="1" si="56"/>
        <v>0</v>
      </c>
      <c r="O118">
        <f t="shared" ca="1" si="56"/>
        <v>0</v>
      </c>
      <c r="P118">
        <f t="shared" ca="1" si="56"/>
        <v>0</v>
      </c>
      <c r="Q118">
        <f t="shared" ca="1" si="56"/>
        <v>0</v>
      </c>
      <c r="R118">
        <f t="shared" ca="1" si="56"/>
        <v>495.19172137042756</v>
      </c>
      <c r="S118">
        <f t="shared" ca="1" si="56"/>
        <v>243.51992569082813</v>
      </c>
      <c r="T118">
        <f t="shared" ca="1" si="56"/>
        <v>0</v>
      </c>
      <c r="U118">
        <f t="shared" ca="1" si="56"/>
        <v>27.130541347351937</v>
      </c>
      <c r="V118">
        <f t="shared" ca="1" si="56"/>
        <v>495.19172137042756</v>
      </c>
      <c r="W118">
        <f t="shared" ca="1" si="56"/>
        <v>323.22393956623046</v>
      </c>
      <c r="X118">
        <f t="shared" ca="1" si="56"/>
        <v>0</v>
      </c>
      <c r="Y118">
        <f t="shared" ca="1" si="56"/>
        <v>495.19172137042756</v>
      </c>
      <c r="Z118">
        <f t="shared" ca="1" si="56"/>
        <v>27.130541347351709</v>
      </c>
      <c r="AA118">
        <f t="shared" ca="1" si="56"/>
        <v>407.04369546874454</v>
      </c>
      <c r="AB118">
        <f t="shared" ca="1" si="56"/>
        <v>95.660677772171084</v>
      </c>
      <c r="AC118">
        <f t="shared" ca="1" si="56"/>
        <v>167.72956148076287</v>
      </c>
      <c r="AD118">
        <f t="shared" ca="1" si="56"/>
        <v>407.04369546874454</v>
      </c>
      <c r="AE118">
        <f t="shared" ca="1" si="56"/>
        <v>0</v>
      </c>
      <c r="AF118">
        <f t="shared" ca="1" si="56"/>
        <v>0</v>
      </c>
      <c r="AG118">
        <f t="shared" ca="1" si="56"/>
        <v>495.19172137042801</v>
      </c>
      <c r="AH118">
        <f t="shared" ca="1" si="56"/>
        <v>0</v>
      </c>
      <c r="AI118">
        <f t="shared" ca="1" si="56"/>
        <v>0</v>
      </c>
      <c r="AJ118">
        <f t="shared" ca="1" si="56"/>
        <v>0</v>
      </c>
      <c r="AK118">
        <f t="shared" ca="1" si="56"/>
        <v>0</v>
      </c>
      <c r="AL118">
        <f t="shared" ca="1" si="56"/>
        <v>95.660677772171084</v>
      </c>
      <c r="AM118">
        <f t="shared" ca="1" si="56"/>
        <v>0</v>
      </c>
      <c r="AN118">
        <f t="shared" ca="1" si="56"/>
        <v>0</v>
      </c>
      <c r="AO118">
        <f t="shared" ca="1" si="56"/>
        <v>0</v>
      </c>
      <c r="AP118">
        <f t="shared" ca="1" si="56"/>
        <v>95.660677772170629</v>
      </c>
      <c r="AQ118">
        <f t="shared" ca="1" si="56"/>
        <v>0</v>
      </c>
      <c r="AR118">
        <f t="shared" ca="1" si="56"/>
        <v>0</v>
      </c>
      <c r="AS118">
        <f t="shared" ca="1" si="56"/>
        <v>27.130541347351709</v>
      </c>
      <c r="AT118">
        <f t="shared" ca="1" si="56"/>
        <v>0</v>
      </c>
      <c r="AU118">
        <f t="shared" ca="1" si="56"/>
        <v>0</v>
      </c>
      <c r="AV118">
        <f t="shared" ca="1" si="56"/>
        <v>0</v>
      </c>
      <c r="AW118">
        <f t="shared" ca="1" si="56"/>
        <v>95.660677772171084</v>
      </c>
      <c r="AX118">
        <f t="shared" ca="1" si="56"/>
        <v>27.130541347351709</v>
      </c>
      <c r="AY118">
        <f t="shared" ca="1" si="56"/>
        <v>0</v>
      </c>
      <c r="AZ118">
        <f t="shared" ca="1" si="56"/>
        <v>243.51992569082813</v>
      </c>
      <c r="BA118">
        <f t="shared" ca="1" si="56"/>
        <v>323.22393956623046</v>
      </c>
      <c r="BB118">
        <f t="shared" ca="1" si="56"/>
        <v>27.130541347351027</v>
      </c>
      <c r="BC118">
        <f t="shared" ca="1" si="56"/>
        <v>0</v>
      </c>
      <c r="BD118">
        <f t="shared" ca="1" si="56"/>
        <v>0</v>
      </c>
      <c r="BE118">
        <f t="shared" ca="1" si="56"/>
        <v>0</v>
      </c>
      <c r="BF118">
        <f t="shared" ca="1" si="56"/>
        <v>0</v>
      </c>
      <c r="BG118">
        <f t="shared" ca="1" si="56"/>
        <v>95.660677772171084</v>
      </c>
      <c r="BH118">
        <f t="shared" ca="1" si="56"/>
        <v>95.660677772171084</v>
      </c>
      <c r="BI118">
        <f t="shared" ca="1" si="56"/>
        <v>895.71329831742923</v>
      </c>
      <c r="BJ118">
        <f t="shared" ca="1" si="56"/>
        <v>0</v>
      </c>
      <c r="BK118">
        <f t="shared" ca="1" si="56"/>
        <v>0</v>
      </c>
      <c r="BL118">
        <f t="shared" ca="1" si="56"/>
        <v>407.04369546874432</v>
      </c>
      <c r="BM118">
        <f t="shared" ca="1" si="56"/>
        <v>0</v>
      </c>
      <c r="BN118">
        <f t="shared" ca="1" si="56"/>
        <v>167.72956148076264</v>
      </c>
      <c r="BO118">
        <f t="shared" ca="1" si="56"/>
        <v>27.130541347351709</v>
      </c>
      <c r="BP118">
        <f t="shared" ca="1" si="56"/>
        <v>0</v>
      </c>
      <c r="BQ118">
        <f t="shared" ref="BQ118:CY118" ca="1" si="57">MAX(BQ116-$B$2,0)</f>
        <v>0</v>
      </c>
      <c r="BR118">
        <f t="shared" ca="1" si="57"/>
        <v>0</v>
      </c>
      <c r="BS118">
        <f t="shared" ca="1" si="57"/>
        <v>243.51992569082813</v>
      </c>
      <c r="BT118">
        <f t="shared" ca="1" si="57"/>
        <v>27.130541347351709</v>
      </c>
      <c r="BU118">
        <f t="shared" ca="1" si="57"/>
        <v>0</v>
      </c>
      <c r="BV118">
        <f t="shared" ca="1" si="57"/>
        <v>0</v>
      </c>
      <c r="BW118">
        <f t="shared" ca="1" si="57"/>
        <v>0</v>
      </c>
      <c r="BX118">
        <f t="shared" ca="1" si="57"/>
        <v>0</v>
      </c>
      <c r="BY118">
        <f t="shared" ca="1" si="57"/>
        <v>407.04369546874454</v>
      </c>
      <c r="BZ118">
        <f t="shared" ca="1" si="57"/>
        <v>0</v>
      </c>
      <c r="CA118">
        <f t="shared" ca="1" si="57"/>
        <v>0</v>
      </c>
      <c r="CB118">
        <f t="shared" ca="1" si="57"/>
        <v>0</v>
      </c>
      <c r="CC118">
        <f t="shared" ca="1" si="57"/>
        <v>243.51992569082813</v>
      </c>
      <c r="CD118">
        <f t="shared" ca="1" si="57"/>
        <v>0</v>
      </c>
      <c r="CE118">
        <f t="shared" ca="1" si="57"/>
        <v>0</v>
      </c>
      <c r="CF118">
        <f t="shared" ca="1" si="57"/>
        <v>0</v>
      </c>
      <c r="CG118">
        <f t="shared" ca="1" si="57"/>
        <v>0</v>
      </c>
      <c r="CH118">
        <f t="shared" ca="1" si="57"/>
        <v>323.22393956623046</v>
      </c>
      <c r="CI118">
        <f t="shared" ca="1" si="57"/>
        <v>0</v>
      </c>
      <c r="CJ118">
        <f t="shared" ca="1" si="57"/>
        <v>0</v>
      </c>
      <c r="CK118">
        <f t="shared" ca="1" si="57"/>
        <v>167.72956148076332</v>
      </c>
      <c r="CL118">
        <f t="shared" ca="1" si="57"/>
        <v>0</v>
      </c>
      <c r="CM118">
        <f t="shared" ca="1" si="57"/>
        <v>27.130541347351709</v>
      </c>
      <c r="CN118">
        <f t="shared" ca="1" si="57"/>
        <v>495.19172137042756</v>
      </c>
      <c r="CO118">
        <f t="shared" ca="1" si="57"/>
        <v>323.22393956623046</v>
      </c>
      <c r="CP118">
        <f t="shared" ca="1" si="57"/>
        <v>323.22393956623046</v>
      </c>
      <c r="CQ118">
        <f t="shared" ca="1" si="57"/>
        <v>0</v>
      </c>
      <c r="CR118">
        <f t="shared" ca="1" si="57"/>
        <v>407.04369546874454</v>
      </c>
      <c r="CS118">
        <f t="shared" ca="1" si="57"/>
        <v>0</v>
      </c>
      <c r="CT118">
        <f t="shared" ca="1" si="57"/>
        <v>323.22393956623046</v>
      </c>
      <c r="CU118">
        <f t="shared" ca="1" si="57"/>
        <v>0</v>
      </c>
      <c r="CV118">
        <f t="shared" ca="1" si="57"/>
        <v>0</v>
      </c>
      <c r="CW118">
        <f t="shared" ca="1" si="57"/>
        <v>0</v>
      </c>
      <c r="CX118">
        <f t="shared" ca="1" si="57"/>
        <v>0</v>
      </c>
      <c r="CY118">
        <f t="shared" ca="1" si="57"/>
        <v>0</v>
      </c>
    </row>
    <row r="119" spans="1:103">
      <c r="A119" t="s">
        <v>32</v>
      </c>
      <c r="D119">
        <f ca="1">D118*$B$6</f>
        <v>0</v>
      </c>
      <c r="E119">
        <f t="shared" ref="E119:BP119" ca="1" si="58">E118*$B$6</f>
        <v>0</v>
      </c>
      <c r="F119">
        <f t="shared" ca="1" si="58"/>
        <v>0</v>
      </c>
      <c r="G119">
        <f t="shared" ca="1" si="58"/>
        <v>354.9011145347547</v>
      </c>
      <c r="H119">
        <f t="shared" ca="1" si="58"/>
        <v>622.27667309363028</v>
      </c>
      <c r="I119">
        <f t="shared" ca="1" si="58"/>
        <v>1510.1321101890424</v>
      </c>
      <c r="J119">
        <f t="shared" ca="1" si="58"/>
        <v>1837.1612862842871</v>
      </c>
      <c r="K119">
        <f t="shared" ca="1" si="58"/>
        <v>1510.1321101890405</v>
      </c>
      <c r="L119">
        <f t="shared" ca="1" si="58"/>
        <v>1199.1608157907149</v>
      </c>
      <c r="M119">
        <f t="shared" ca="1" si="58"/>
        <v>0</v>
      </c>
      <c r="N119">
        <f t="shared" ca="1" si="58"/>
        <v>0</v>
      </c>
      <c r="O119">
        <f t="shared" ca="1" si="58"/>
        <v>0</v>
      </c>
      <c r="P119">
        <f t="shared" ca="1" si="58"/>
        <v>0</v>
      </c>
      <c r="Q119">
        <f t="shared" ca="1" si="58"/>
        <v>0</v>
      </c>
      <c r="R119">
        <f t="shared" ca="1" si="58"/>
        <v>1837.1612862842862</v>
      </c>
      <c r="S119">
        <f t="shared" ca="1" si="58"/>
        <v>903.45892431297239</v>
      </c>
      <c r="T119">
        <f t="shared" ca="1" si="58"/>
        <v>0</v>
      </c>
      <c r="U119">
        <f t="shared" ca="1" si="58"/>
        <v>100.65430839867568</v>
      </c>
      <c r="V119">
        <f t="shared" ca="1" si="58"/>
        <v>1837.1612862842862</v>
      </c>
      <c r="W119">
        <f t="shared" ca="1" si="58"/>
        <v>1199.1608157907149</v>
      </c>
      <c r="X119">
        <f t="shared" ca="1" si="58"/>
        <v>0</v>
      </c>
      <c r="Y119">
        <f t="shared" ca="1" si="58"/>
        <v>1837.1612862842862</v>
      </c>
      <c r="Z119">
        <f t="shared" ca="1" si="58"/>
        <v>100.65430839867484</v>
      </c>
      <c r="AA119">
        <f t="shared" ca="1" si="58"/>
        <v>1510.1321101890424</v>
      </c>
      <c r="AB119">
        <f t="shared" ca="1" si="58"/>
        <v>354.9011145347547</v>
      </c>
      <c r="AC119">
        <f t="shared" ca="1" si="58"/>
        <v>622.27667309363028</v>
      </c>
      <c r="AD119">
        <f t="shared" ca="1" si="58"/>
        <v>1510.1321101890424</v>
      </c>
      <c r="AE119">
        <f t="shared" ca="1" si="58"/>
        <v>0</v>
      </c>
      <c r="AF119">
        <f t="shared" ca="1" si="58"/>
        <v>0</v>
      </c>
      <c r="AG119">
        <f t="shared" ca="1" si="58"/>
        <v>1837.1612862842878</v>
      </c>
      <c r="AH119">
        <f t="shared" ca="1" si="58"/>
        <v>0</v>
      </c>
      <c r="AI119">
        <f t="shared" ca="1" si="58"/>
        <v>0</v>
      </c>
      <c r="AJ119">
        <f t="shared" ca="1" si="58"/>
        <v>0</v>
      </c>
      <c r="AK119">
        <f t="shared" ca="1" si="58"/>
        <v>0</v>
      </c>
      <c r="AL119">
        <f t="shared" ca="1" si="58"/>
        <v>354.9011145347547</v>
      </c>
      <c r="AM119">
        <f t="shared" ca="1" si="58"/>
        <v>0</v>
      </c>
      <c r="AN119">
        <f t="shared" ca="1" si="58"/>
        <v>0</v>
      </c>
      <c r="AO119">
        <f t="shared" ca="1" si="58"/>
        <v>0</v>
      </c>
      <c r="AP119">
        <f t="shared" ca="1" si="58"/>
        <v>354.90111453475305</v>
      </c>
      <c r="AQ119">
        <f t="shared" ca="1" si="58"/>
        <v>0</v>
      </c>
      <c r="AR119">
        <f t="shared" ca="1" si="58"/>
        <v>0</v>
      </c>
      <c r="AS119">
        <f t="shared" ca="1" si="58"/>
        <v>100.65430839867484</v>
      </c>
      <c r="AT119">
        <f t="shared" ca="1" si="58"/>
        <v>0</v>
      </c>
      <c r="AU119">
        <f t="shared" ca="1" si="58"/>
        <v>0</v>
      </c>
      <c r="AV119">
        <f t="shared" ca="1" si="58"/>
        <v>0</v>
      </c>
      <c r="AW119">
        <f t="shared" ca="1" si="58"/>
        <v>354.9011145347547</v>
      </c>
      <c r="AX119">
        <f t="shared" ca="1" si="58"/>
        <v>100.65430839867484</v>
      </c>
      <c r="AY119">
        <f t="shared" ca="1" si="58"/>
        <v>0</v>
      </c>
      <c r="AZ119">
        <f t="shared" ca="1" si="58"/>
        <v>903.45892431297239</v>
      </c>
      <c r="BA119">
        <f t="shared" ca="1" si="58"/>
        <v>1199.1608157907149</v>
      </c>
      <c r="BB119">
        <f t="shared" ca="1" si="58"/>
        <v>100.65430839867231</v>
      </c>
      <c r="BC119">
        <f t="shared" ca="1" si="58"/>
        <v>0</v>
      </c>
      <c r="BD119">
        <f t="shared" ca="1" si="58"/>
        <v>0</v>
      </c>
      <c r="BE119">
        <f t="shared" ca="1" si="58"/>
        <v>0</v>
      </c>
      <c r="BF119">
        <f t="shared" ca="1" si="58"/>
        <v>0</v>
      </c>
      <c r="BG119">
        <f t="shared" ca="1" si="58"/>
        <v>354.9011145347547</v>
      </c>
      <c r="BH119">
        <f t="shared" ca="1" si="58"/>
        <v>354.9011145347547</v>
      </c>
      <c r="BI119">
        <f t="shared" ca="1" si="58"/>
        <v>3323.0963367576624</v>
      </c>
      <c r="BJ119">
        <f t="shared" ca="1" si="58"/>
        <v>0</v>
      </c>
      <c r="BK119">
        <f t="shared" ca="1" si="58"/>
        <v>0</v>
      </c>
      <c r="BL119">
        <f t="shared" ca="1" si="58"/>
        <v>1510.1321101890414</v>
      </c>
      <c r="BM119">
        <f t="shared" ca="1" si="58"/>
        <v>0</v>
      </c>
      <c r="BN119">
        <f t="shared" ca="1" si="58"/>
        <v>622.27667309362937</v>
      </c>
      <c r="BO119">
        <f t="shared" ca="1" si="58"/>
        <v>100.65430839867484</v>
      </c>
      <c r="BP119">
        <f t="shared" ca="1" si="58"/>
        <v>0</v>
      </c>
      <c r="BQ119">
        <f t="shared" ref="BQ119:CY119" ca="1" si="59">BQ118*$B$6</f>
        <v>0</v>
      </c>
      <c r="BR119">
        <f t="shared" ca="1" si="59"/>
        <v>0</v>
      </c>
      <c r="BS119">
        <f t="shared" ca="1" si="59"/>
        <v>903.45892431297239</v>
      </c>
      <c r="BT119">
        <f t="shared" ca="1" si="59"/>
        <v>100.65430839867484</v>
      </c>
      <c r="BU119">
        <f t="shared" ca="1" si="59"/>
        <v>0</v>
      </c>
      <c r="BV119">
        <f t="shared" ca="1" si="59"/>
        <v>0</v>
      </c>
      <c r="BW119">
        <f t="shared" ca="1" si="59"/>
        <v>0</v>
      </c>
      <c r="BX119">
        <f t="shared" ca="1" si="59"/>
        <v>0</v>
      </c>
      <c r="BY119">
        <f t="shared" ca="1" si="59"/>
        <v>1510.1321101890424</v>
      </c>
      <c r="BZ119">
        <f t="shared" ca="1" si="59"/>
        <v>0</v>
      </c>
      <c r="CA119">
        <f t="shared" ca="1" si="59"/>
        <v>0</v>
      </c>
      <c r="CB119">
        <f t="shared" ca="1" si="59"/>
        <v>0</v>
      </c>
      <c r="CC119">
        <f t="shared" ca="1" si="59"/>
        <v>903.45892431297239</v>
      </c>
      <c r="CD119">
        <f t="shared" ca="1" si="59"/>
        <v>0</v>
      </c>
      <c r="CE119">
        <f t="shared" ca="1" si="59"/>
        <v>0</v>
      </c>
      <c r="CF119">
        <f t="shared" ca="1" si="59"/>
        <v>0</v>
      </c>
      <c r="CG119">
        <f t="shared" ca="1" si="59"/>
        <v>0</v>
      </c>
      <c r="CH119">
        <f t="shared" ca="1" si="59"/>
        <v>1199.1608157907149</v>
      </c>
      <c r="CI119">
        <f t="shared" ca="1" si="59"/>
        <v>0</v>
      </c>
      <c r="CJ119">
        <f t="shared" ca="1" si="59"/>
        <v>0</v>
      </c>
      <c r="CK119">
        <f t="shared" ca="1" si="59"/>
        <v>622.27667309363187</v>
      </c>
      <c r="CL119">
        <f t="shared" ca="1" si="59"/>
        <v>0</v>
      </c>
      <c r="CM119">
        <f t="shared" ca="1" si="59"/>
        <v>100.65430839867484</v>
      </c>
      <c r="CN119">
        <f t="shared" ca="1" si="59"/>
        <v>1837.1612862842862</v>
      </c>
      <c r="CO119">
        <f t="shared" ca="1" si="59"/>
        <v>1199.1608157907149</v>
      </c>
      <c r="CP119">
        <f t="shared" ca="1" si="59"/>
        <v>1199.1608157907149</v>
      </c>
      <c r="CQ119">
        <f t="shared" ca="1" si="59"/>
        <v>0</v>
      </c>
      <c r="CR119">
        <f t="shared" ca="1" si="59"/>
        <v>1510.1321101890424</v>
      </c>
      <c r="CS119">
        <f t="shared" ca="1" si="59"/>
        <v>0</v>
      </c>
      <c r="CT119">
        <f t="shared" ca="1" si="59"/>
        <v>1199.1608157907149</v>
      </c>
      <c r="CU119">
        <f t="shared" ca="1" si="59"/>
        <v>0</v>
      </c>
      <c r="CV119">
        <f t="shared" ca="1" si="59"/>
        <v>0</v>
      </c>
      <c r="CW119">
        <f t="shared" ca="1" si="59"/>
        <v>0</v>
      </c>
      <c r="CX119">
        <f t="shared" ca="1" si="59"/>
        <v>0</v>
      </c>
      <c r="CY119">
        <f t="shared" ca="1" si="59"/>
        <v>0</v>
      </c>
    </row>
    <row r="120" spans="1:103">
      <c r="A120" t="s">
        <v>33</v>
      </c>
      <c r="D120">
        <f ca="1">D119*EXP($B$7*$B$8*$B$4*-1)</f>
        <v>0</v>
      </c>
      <c r="E120">
        <f t="shared" ref="E120:BP120" ca="1" si="60">E119*EXP($B$7*$B$8*$B$4*-1)</f>
        <v>0</v>
      </c>
      <c r="F120">
        <f t="shared" ca="1" si="60"/>
        <v>0</v>
      </c>
      <c r="G120">
        <f t="shared" ca="1" si="60"/>
        <v>347.58382770993632</v>
      </c>
      <c r="H120">
        <f t="shared" ca="1" si="60"/>
        <v>609.44668548598668</v>
      </c>
      <c r="I120">
        <f t="shared" ca="1" si="60"/>
        <v>1478.9964801752928</v>
      </c>
      <c r="J120">
        <f t="shared" ca="1" si="60"/>
        <v>1799.2830280184121</v>
      </c>
      <c r="K120">
        <f t="shared" ca="1" si="60"/>
        <v>1478.9964801752913</v>
      </c>
      <c r="L120">
        <f t="shared" ca="1" si="60"/>
        <v>1174.4367355360598</v>
      </c>
      <c r="M120">
        <f t="shared" ca="1" si="60"/>
        <v>0</v>
      </c>
      <c r="N120">
        <f t="shared" ca="1" si="60"/>
        <v>0</v>
      </c>
      <c r="O120">
        <f t="shared" ca="1" si="60"/>
        <v>0</v>
      </c>
      <c r="P120">
        <f t="shared" ca="1" si="60"/>
        <v>0</v>
      </c>
      <c r="Q120">
        <f t="shared" ca="1" si="60"/>
        <v>0</v>
      </c>
      <c r="R120">
        <f t="shared" ca="1" si="60"/>
        <v>1799.2830280184112</v>
      </c>
      <c r="S120">
        <f t="shared" ca="1" si="60"/>
        <v>884.83157203681469</v>
      </c>
      <c r="T120">
        <f t="shared" ca="1" si="60"/>
        <v>0</v>
      </c>
      <c r="U120">
        <f t="shared" ca="1" si="60"/>
        <v>98.579036119882346</v>
      </c>
      <c r="V120">
        <f t="shared" ca="1" si="60"/>
        <v>1799.2830280184112</v>
      </c>
      <c r="W120">
        <f t="shared" ca="1" si="60"/>
        <v>1174.4367355360598</v>
      </c>
      <c r="X120">
        <f t="shared" ca="1" si="60"/>
        <v>0</v>
      </c>
      <c r="Y120">
        <f t="shared" ca="1" si="60"/>
        <v>1799.2830280184112</v>
      </c>
      <c r="Z120">
        <f t="shared" ca="1" si="60"/>
        <v>98.579036119881536</v>
      </c>
      <c r="AA120">
        <f t="shared" ca="1" si="60"/>
        <v>1478.9964801752928</v>
      </c>
      <c r="AB120">
        <f t="shared" ca="1" si="60"/>
        <v>347.58382770993632</v>
      </c>
      <c r="AC120">
        <f t="shared" ca="1" si="60"/>
        <v>609.44668548598668</v>
      </c>
      <c r="AD120">
        <f t="shared" ca="1" si="60"/>
        <v>1478.9964801752928</v>
      </c>
      <c r="AE120">
        <f t="shared" ca="1" si="60"/>
        <v>0</v>
      </c>
      <c r="AF120">
        <f t="shared" ca="1" si="60"/>
        <v>0</v>
      </c>
      <c r="AG120">
        <f t="shared" ca="1" si="60"/>
        <v>1799.2830280184128</v>
      </c>
      <c r="AH120">
        <f t="shared" ca="1" si="60"/>
        <v>0</v>
      </c>
      <c r="AI120">
        <f t="shared" ca="1" si="60"/>
        <v>0</v>
      </c>
      <c r="AJ120">
        <f t="shared" ca="1" si="60"/>
        <v>0</v>
      </c>
      <c r="AK120">
        <f t="shared" ca="1" si="60"/>
        <v>0</v>
      </c>
      <c r="AL120">
        <f t="shared" ca="1" si="60"/>
        <v>347.58382770993632</v>
      </c>
      <c r="AM120">
        <f t="shared" ca="1" si="60"/>
        <v>0</v>
      </c>
      <c r="AN120">
        <f t="shared" ca="1" si="60"/>
        <v>0</v>
      </c>
      <c r="AO120">
        <f t="shared" ca="1" si="60"/>
        <v>0</v>
      </c>
      <c r="AP120">
        <f t="shared" ca="1" si="60"/>
        <v>347.58382770993472</v>
      </c>
      <c r="AQ120">
        <f t="shared" ca="1" si="60"/>
        <v>0</v>
      </c>
      <c r="AR120">
        <f t="shared" ca="1" si="60"/>
        <v>0</v>
      </c>
      <c r="AS120">
        <f t="shared" ca="1" si="60"/>
        <v>98.579036119881536</v>
      </c>
      <c r="AT120">
        <f t="shared" ca="1" si="60"/>
        <v>0</v>
      </c>
      <c r="AU120">
        <f t="shared" ca="1" si="60"/>
        <v>0</v>
      </c>
      <c r="AV120">
        <f t="shared" ca="1" si="60"/>
        <v>0</v>
      </c>
      <c r="AW120">
        <f t="shared" ca="1" si="60"/>
        <v>347.58382770993632</v>
      </c>
      <c r="AX120">
        <f t="shared" ca="1" si="60"/>
        <v>98.579036119881536</v>
      </c>
      <c r="AY120">
        <f t="shared" ca="1" si="60"/>
        <v>0</v>
      </c>
      <c r="AZ120">
        <f t="shared" ca="1" si="60"/>
        <v>884.83157203681469</v>
      </c>
      <c r="BA120">
        <f t="shared" ca="1" si="60"/>
        <v>1174.4367355360598</v>
      </c>
      <c r="BB120">
        <f t="shared" ca="1" si="60"/>
        <v>98.579036119879049</v>
      </c>
      <c r="BC120">
        <f t="shared" ca="1" si="60"/>
        <v>0</v>
      </c>
      <c r="BD120">
        <f t="shared" ca="1" si="60"/>
        <v>0</v>
      </c>
      <c r="BE120">
        <f t="shared" ca="1" si="60"/>
        <v>0</v>
      </c>
      <c r="BF120">
        <f t="shared" ca="1" si="60"/>
        <v>0</v>
      </c>
      <c r="BG120">
        <f t="shared" ca="1" si="60"/>
        <v>347.58382770993632</v>
      </c>
      <c r="BH120">
        <f t="shared" ca="1" si="60"/>
        <v>347.58382770993632</v>
      </c>
      <c r="BI120">
        <f t="shared" ca="1" si="60"/>
        <v>3254.5813390675726</v>
      </c>
      <c r="BJ120">
        <f t="shared" ca="1" si="60"/>
        <v>0</v>
      </c>
      <c r="BK120">
        <f t="shared" ca="1" si="60"/>
        <v>0</v>
      </c>
      <c r="BL120">
        <f t="shared" ca="1" si="60"/>
        <v>1478.9964801752922</v>
      </c>
      <c r="BM120">
        <f t="shared" ca="1" si="60"/>
        <v>0</v>
      </c>
      <c r="BN120">
        <f t="shared" ca="1" si="60"/>
        <v>609.44668548598577</v>
      </c>
      <c r="BO120">
        <f t="shared" ca="1" si="60"/>
        <v>98.579036119881536</v>
      </c>
      <c r="BP120">
        <f t="shared" ca="1" si="60"/>
        <v>0</v>
      </c>
      <c r="BQ120">
        <f t="shared" ref="BQ120:CY120" ca="1" si="61">BQ119*EXP($B$7*$B$8*$B$4*-1)</f>
        <v>0</v>
      </c>
      <c r="BR120">
        <f t="shared" ca="1" si="61"/>
        <v>0</v>
      </c>
      <c r="BS120">
        <f t="shared" ca="1" si="61"/>
        <v>884.83157203681469</v>
      </c>
      <c r="BT120">
        <f t="shared" ca="1" si="61"/>
        <v>98.579036119881536</v>
      </c>
      <c r="BU120">
        <f t="shared" ca="1" si="61"/>
        <v>0</v>
      </c>
      <c r="BV120">
        <f t="shared" ca="1" si="61"/>
        <v>0</v>
      </c>
      <c r="BW120">
        <f t="shared" ca="1" si="61"/>
        <v>0</v>
      </c>
      <c r="BX120">
        <f t="shared" ca="1" si="61"/>
        <v>0</v>
      </c>
      <c r="BY120">
        <f t="shared" ca="1" si="61"/>
        <v>1478.9964801752928</v>
      </c>
      <c r="BZ120">
        <f t="shared" ca="1" si="61"/>
        <v>0</v>
      </c>
      <c r="CA120">
        <f t="shared" ca="1" si="61"/>
        <v>0</v>
      </c>
      <c r="CB120">
        <f t="shared" ca="1" si="61"/>
        <v>0</v>
      </c>
      <c r="CC120">
        <f t="shared" ca="1" si="61"/>
        <v>884.83157203681469</v>
      </c>
      <c r="CD120">
        <f t="shared" ca="1" si="61"/>
        <v>0</v>
      </c>
      <c r="CE120">
        <f t="shared" ca="1" si="61"/>
        <v>0</v>
      </c>
      <c r="CF120">
        <f t="shared" ca="1" si="61"/>
        <v>0</v>
      </c>
      <c r="CG120">
        <f t="shared" ca="1" si="61"/>
        <v>0</v>
      </c>
      <c r="CH120">
        <f t="shared" ca="1" si="61"/>
        <v>1174.4367355360598</v>
      </c>
      <c r="CI120">
        <f t="shared" ca="1" si="61"/>
        <v>0</v>
      </c>
      <c r="CJ120">
        <f t="shared" ca="1" si="61"/>
        <v>0</v>
      </c>
      <c r="CK120">
        <f t="shared" ca="1" si="61"/>
        <v>609.44668548598816</v>
      </c>
      <c r="CL120">
        <f t="shared" ca="1" si="61"/>
        <v>0</v>
      </c>
      <c r="CM120">
        <f t="shared" ca="1" si="61"/>
        <v>98.579036119881536</v>
      </c>
      <c r="CN120">
        <f t="shared" ca="1" si="61"/>
        <v>1799.2830280184112</v>
      </c>
      <c r="CO120">
        <f t="shared" ca="1" si="61"/>
        <v>1174.4367355360598</v>
      </c>
      <c r="CP120">
        <f t="shared" ca="1" si="61"/>
        <v>1174.4367355360598</v>
      </c>
      <c r="CQ120">
        <f t="shared" ca="1" si="61"/>
        <v>0</v>
      </c>
      <c r="CR120">
        <f t="shared" ca="1" si="61"/>
        <v>1478.9964801752928</v>
      </c>
      <c r="CS120">
        <f t="shared" ca="1" si="61"/>
        <v>0</v>
      </c>
      <c r="CT120">
        <f t="shared" ca="1" si="61"/>
        <v>1174.4367355360598</v>
      </c>
      <c r="CU120">
        <f t="shared" ca="1" si="61"/>
        <v>0</v>
      </c>
      <c r="CV120">
        <f t="shared" ca="1" si="61"/>
        <v>0</v>
      </c>
      <c r="CW120">
        <f t="shared" ca="1" si="61"/>
        <v>0</v>
      </c>
      <c r="CX120">
        <f t="shared" ca="1" si="61"/>
        <v>0</v>
      </c>
      <c r="CY120">
        <f t="shared" ca="1" si="61"/>
        <v>0</v>
      </c>
    </row>
    <row r="121" spans="1:103">
      <c r="A121" t="s">
        <v>34</v>
      </c>
      <c r="C121">
        <f ca="1">COUNTIF(D120:CY120,"&gt;0")</f>
        <v>44</v>
      </c>
    </row>
    <row r="122" spans="1:103">
      <c r="A122" t="s">
        <v>35</v>
      </c>
      <c r="C122">
        <f ca="1">AVERAGE(D120:CY120)</f>
        <v>418.23144130177315</v>
      </c>
      <c r="D122" t="s">
        <v>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F18"/>
  <sheetViews>
    <sheetView workbookViewId="0">
      <selection activeCell="H16" sqref="H16"/>
    </sheetView>
  </sheetViews>
  <sheetFormatPr defaultRowHeight="15"/>
  <cols>
    <col min="1" max="1" width="18.140625" customWidth="1"/>
    <col min="6" max="6" width="20" customWidth="1"/>
  </cols>
  <sheetData>
    <row r="1" spans="1:6">
      <c r="A1" s="38" t="s">
        <v>20</v>
      </c>
      <c r="B1" s="13">
        <v>1200</v>
      </c>
      <c r="C1" s="39" t="str">
        <f>[2]Arkusz!C1</f>
        <v>XUAUSD</v>
      </c>
    </row>
    <row r="2" spans="1:6">
      <c r="A2" s="38" t="s">
        <v>19</v>
      </c>
      <c r="B2" s="13">
        <v>1300</v>
      </c>
      <c r="C2" s="39" t="str">
        <f>[2]Arkusz!C2</f>
        <v>XUAUSD</v>
      </c>
    </row>
    <row r="3" spans="1:6">
      <c r="A3" s="38" t="s">
        <v>15</v>
      </c>
      <c r="B3" s="13">
        <f>1/12</f>
        <v>8.3333333333333329E-2</v>
      </c>
      <c r="C3" s="39" t="s">
        <v>54</v>
      </c>
    </row>
    <row r="4" spans="1:6">
      <c r="A4" s="38" t="s">
        <v>13</v>
      </c>
      <c r="B4" s="13">
        <v>0.05</v>
      </c>
    </row>
    <row r="5" spans="1:6">
      <c r="A5" s="38" t="s">
        <v>12</v>
      </c>
      <c r="B5" s="13">
        <v>0.39</v>
      </c>
    </row>
    <row r="6" spans="1:6">
      <c r="A6" s="38" t="s">
        <v>28</v>
      </c>
      <c r="B6" s="13">
        <v>3.71</v>
      </c>
      <c r="C6" s="39" t="str">
        <f>[2]Arkusz!C6</f>
        <v>USDPLN</v>
      </c>
    </row>
    <row r="7" spans="1:6">
      <c r="A7" s="38" t="s">
        <v>11</v>
      </c>
      <c r="B7" s="13">
        <v>10</v>
      </c>
    </row>
    <row r="8" spans="1:6">
      <c r="A8" s="38" t="s">
        <v>10</v>
      </c>
      <c r="B8" s="39">
        <f>B3/B7</f>
        <v>8.3333333333333332E-3</v>
      </c>
    </row>
    <row r="9" spans="1:6">
      <c r="A9" s="38" t="s">
        <v>9</v>
      </c>
      <c r="B9" s="39">
        <f>EXP(B5*SQRT(B8))</f>
        <v>1.0362433045725279</v>
      </c>
    </row>
    <row r="10" spans="1:6">
      <c r="A10" s="38" t="s">
        <v>8</v>
      </c>
      <c r="B10" s="39">
        <f>1/B9</f>
        <v>0.96502432931281612</v>
      </c>
    </row>
    <row r="11" spans="1:6">
      <c r="A11" s="38" t="s">
        <v>6</v>
      </c>
      <c r="B11" s="39">
        <f>(EXP(B4*B8) - B10)/(B9-B10)</f>
        <v>0.49695216818831472</v>
      </c>
    </row>
    <row r="12" spans="1:6">
      <c r="A12" s="38" t="s">
        <v>57</v>
      </c>
      <c r="B12" s="13">
        <v>100</v>
      </c>
    </row>
    <row r="13" spans="1:6">
      <c r="D13" s="11" t="s">
        <v>37</v>
      </c>
      <c r="E13" s="11" t="s">
        <v>38</v>
      </c>
      <c r="F13" s="11" t="s">
        <v>39</v>
      </c>
    </row>
    <row r="14" spans="1:6">
      <c r="D14">
        <v>1</v>
      </c>
      <c r="E14">
        <v>1486.7120003181863</v>
      </c>
      <c r="F14">
        <v>692.70152118047145</v>
      </c>
    </row>
    <row r="15" spans="1:6">
      <c r="D15">
        <v>5</v>
      </c>
      <c r="E15">
        <v>1312.351658277551</v>
      </c>
      <c r="F15">
        <v>252.70411780339211</v>
      </c>
    </row>
    <row r="16" spans="1:6">
      <c r="D16">
        <v>10</v>
      </c>
      <c r="E16">
        <v>1221.5302156883126</v>
      </c>
      <c r="F16">
        <v>137.83860971094114</v>
      </c>
    </row>
    <row r="17" spans="4:6">
      <c r="D17">
        <v>50</v>
      </c>
      <c r="E17">
        <v>1196.2439939704436</v>
      </c>
      <c r="F17">
        <v>62.022789827861786</v>
      </c>
    </row>
    <row r="18" spans="4:6">
      <c r="D18">
        <v>100</v>
      </c>
      <c r="E18">
        <v>1199.1822045054053</v>
      </c>
      <c r="F18">
        <v>83.384047273378016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F20"/>
  <sheetViews>
    <sheetView workbookViewId="0">
      <selection activeCell="I15" sqref="I15"/>
    </sheetView>
  </sheetViews>
  <sheetFormatPr defaultRowHeight="15"/>
  <cols>
    <col min="1" max="1" width="18.140625" customWidth="1"/>
    <col min="6" max="6" width="20" customWidth="1"/>
  </cols>
  <sheetData>
    <row r="1" spans="1:6">
      <c r="A1" s="38" t="s">
        <v>20</v>
      </c>
      <c r="B1" s="13">
        <v>1200</v>
      </c>
      <c r="C1" s="39" t="str">
        <f>[2]Arkusz!C1</f>
        <v>XUAUSD</v>
      </c>
    </row>
    <row r="2" spans="1:6">
      <c r="A2" s="38" t="s">
        <v>19</v>
      </c>
      <c r="B2" s="13">
        <v>1300</v>
      </c>
      <c r="C2" s="39" t="str">
        <f>[2]Arkusz!C2</f>
        <v>XUAUSD</v>
      </c>
    </row>
    <row r="3" spans="1:6">
      <c r="A3" s="38" t="s">
        <v>15</v>
      </c>
      <c r="B3" s="13">
        <f>1/12</f>
        <v>8.3333333333333329E-2</v>
      </c>
      <c r="C3" s="39" t="s">
        <v>54</v>
      </c>
    </row>
    <row r="4" spans="1:6">
      <c r="A4" s="38" t="s">
        <v>13</v>
      </c>
      <c r="B4" s="13">
        <v>0.05</v>
      </c>
    </row>
    <row r="5" spans="1:6">
      <c r="A5" s="38" t="s">
        <v>12</v>
      </c>
      <c r="B5" s="13">
        <v>0.39</v>
      </c>
    </row>
    <row r="6" spans="1:6">
      <c r="A6" s="38" t="s">
        <v>28</v>
      </c>
      <c r="B6" s="13">
        <v>3.71</v>
      </c>
      <c r="C6" s="39" t="str">
        <f>[2]Arkusz!C6</f>
        <v>USDPLN</v>
      </c>
    </row>
    <row r="7" spans="1:6">
      <c r="A7" s="38" t="s">
        <v>11</v>
      </c>
      <c r="B7" s="13">
        <v>10</v>
      </c>
    </row>
    <row r="8" spans="1:6">
      <c r="A8" s="38" t="s">
        <v>10</v>
      </c>
      <c r="B8" s="39">
        <f>B3/B7</f>
        <v>8.3333333333333332E-3</v>
      </c>
    </row>
    <row r="9" spans="1:6">
      <c r="A9" s="38" t="s">
        <v>9</v>
      </c>
      <c r="B9" s="39">
        <f>EXP(B5*SQRT(B8))</f>
        <v>1.0362433045725279</v>
      </c>
    </row>
    <row r="10" spans="1:6">
      <c r="A10" s="38" t="s">
        <v>8</v>
      </c>
      <c r="B10" s="39">
        <f>1/B9</f>
        <v>0.96502432931281612</v>
      </c>
    </row>
    <row r="11" spans="1:6">
      <c r="A11" s="38" t="s">
        <v>6</v>
      </c>
      <c r="B11" s="39">
        <f>(EXP(B4*B8) - B10)/(B9-B10)</f>
        <v>0.49695216818831472</v>
      </c>
    </row>
    <row r="12" spans="1:6">
      <c r="A12" s="38" t="s">
        <v>57</v>
      </c>
      <c r="B12" s="13">
        <v>1000</v>
      </c>
    </row>
    <row r="13" spans="1:6">
      <c r="D13" s="11" t="s">
        <v>37</v>
      </c>
      <c r="E13" s="11" t="s">
        <v>38</v>
      </c>
      <c r="F13" s="11" t="s">
        <v>39</v>
      </c>
    </row>
    <row r="14" spans="1:6">
      <c r="D14">
        <v>1</v>
      </c>
      <c r="E14">
        <v>1041.3805741779049</v>
      </c>
      <c r="F14">
        <v>959.47806979997256</v>
      </c>
    </row>
    <row r="15" spans="1:6">
      <c r="D15">
        <v>5</v>
      </c>
      <c r="E15">
        <v>1109.8022326756593</v>
      </c>
      <c r="F15">
        <v>727.43732751653886</v>
      </c>
    </row>
    <row r="16" spans="1:6">
      <c r="D16">
        <v>10</v>
      </c>
      <c r="E16">
        <v>1151.6972841061522</v>
      </c>
      <c r="F16">
        <v>619.11743550895653</v>
      </c>
    </row>
    <row r="17" spans="4:6">
      <c r="D17">
        <v>50</v>
      </c>
      <c r="E17">
        <v>1211.8463208150779</v>
      </c>
      <c r="F17">
        <v>438.8381548543199</v>
      </c>
    </row>
    <row r="18" spans="4:6">
      <c r="D18">
        <v>100</v>
      </c>
      <c r="E18">
        <v>1208.1129208902121</v>
      </c>
      <c r="F18">
        <v>444.70608613045437</v>
      </c>
    </row>
    <row r="19" spans="4:6">
      <c r="D19">
        <v>500</v>
      </c>
      <c r="E19">
        <v>1211.7540860933573</v>
      </c>
      <c r="F19">
        <v>427.08885685680667</v>
      </c>
    </row>
    <row r="20" spans="4:6">
      <c r="D20">
        <v>1000</v>
      </c>
      <c r="E20">
        <v>1209.7067911043373</v>
      </c>
      <c r="F20">
        <v>429.12998058950967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BI41"/>
  <sheetViews>
    <sheetView tabSelected="1" workbookViewId="0">
      <selection activeCell="G12" sqref="G12"/>
    </sheetView>
  </sheetViews>
  <sheetFormatPr defaultRowHeight="15"/>
  <sheetData>
    <row r="1" spans="1:61">
      <c r="A1" s="38" t="s">
        <v>40</v>
      </c>
      <c r="B1" s="13">
        <v>120</v>
      </c>
      <c r="C1" s="39" t="str">
        <f>[2]Arkusz!C1</f>
        <v>XUAUSD</v>
      </c>
    </row>
    <row r="2" spans="1:61">
      <c r="A2" s="38" t="s">
        <v>19</v>
      </c>
      <c r="B2" s="13">
        <v>125</v>
      </c>
      <c r="C2" s="39" t="str">
        <f>[2]Arkusz!C2</f>
        <v>XUAUSD</v>
      </c>
    </row>
    <row r="3" spans="1:61">
      <c r="A3" s="38" t="s">
        <v>15</v>
      </c>
      <c r="B3" s="13">
        <f>5/12</f>
        <v>0.41666666666666669</v>
      </c>
      <c r="C3" s="39" t="s">
        <v>54</v>
      </c>
    </row>
    <row r="4" spans="1:61">
      <c r="A4" s="38" t="s">
        <v>13</v>
      </c>
      <c r="B4" s="13">
        <v>0.05</v>
      </c>
    </row>
    <row r="5" spans="1:61">
      <c r="A5" s="38" t="s">
        <v>12</v>
      </c>
      <c r="B5" s="13">
        <v>0.39</v>
      </c>
    </row>
    <row r="6" spans="1:61">
      <c r="A6" s="38" t="s">
        <v>46</v>
      </c>
      <c r="B6" s="39">
        <f>B1*2</f>
        <v>240</v>
      </c>
      <c r="C6" s="39" t="str">
        <f>[2]Arkusz!C6</f>
        <v>USDPLN</v>
      </c>
    </row>
    <row r="7" spans="1:61">
      <c r="A7" s="38" t="s">
        <v>11</v>
      </c>
      <c r="B7" s="13">
        <v>50</v>
      </c>
    </row>
    <row r="8" spans="1:61">
      <c r="A8" s="38" t="s">
        <v>47</v>
      </c>
      <c r="B8" s="13">
        <v>24</v>
      </c>
    </row>
    <row r="9" spans="1:61">
      <c r="A9" s="38" t="s">
        <v>10</v>
      </c>
      <c r="B9" s="39">
        <f>B3/B7</f>
        <v>8.3333333333333332E-3</v>
      </c>
    </row>
    <row r="10" spans="1:61">
      <c r="A10" s="38" t="s">
        <v>55</v>
      </c>
      <c r="B10" s="39">
        <f>B6/B8</f>
        <v>10</v>
      </c>
    </row>
    <row r="11" spans="1:61">
      <c r="A11" s="38" t="s">
        <v>28</v>
      </c>
      <c r="B11" s="13">
        <v>3.71</v>
      </c>
      <c r="C11" s="39" t="str">
        <f>[2]Arkusz!C6</f>
        <v>USDPLN</v>
      </c>
    </row>
    <row r="14" spans="1:61">
      <c r="BF14" s="11" t="s">
        <v>42</v>
      </c>
      <c r="BG14" s="11" t="s">
        <v>50</v>
      </c>
      <c r="BH14" s="11" t="s">
        <v>44</v>
      </c>
      <c r="BI14" s="11" t="s">
        <v>51</v>
      </c>
    </row>
    <row r="15" spans="1:61">
      <c r="C15" s="9">
        <v>240</v>
      </c>
      <c r="D15" s="34">
        <v>24</v>
      </c>
      <c r="E15">
        <v>426.65</v>
      </c>
      <c r="F15">
        <v>426.65</v>
      </c>
      <c r="G15">
        <v>426.65</v>
      </c>
      <c r="H15">
        <v>426.65</v>
      </c>
      <c r="I15">
        <v>426.65</v>
      </c>
      <c r="J15">
        <v>426.65</v>
      </c>
      <c r="K15">
        <v>426.65</v>
      </c>
      <c r="L15">
        <v>426.65</v>
      </c>
      <c r="M15">
        <v>426.65</v>
      </c>
      <c r="N15">
        <v>426.65</v>
      </c>
      <c r="O15">
        <v>426.65</v>
      </c>
      <c r="P15">
        <v>426.65</v>
      </c>
      <c r="Q15">
        <v>426.65</v>
      </c>
      <c r="R15">
        <v>426.65</v>
      </c>
      <c r="S15">
        <v>426.65</v>
      </c>
      <c r="T15">
        <v>426.65</v>
      </c>
      <c r="U15">
        <v>426.65</v>
      </c>
      <c r="V15">
        <v>426.65</v>
      </c>
      <c r="W15">
        <v>426.65</v>
      </c>
      <c r="X15">
        <v>426.65</v>
      </c>
      <c r="Y15">
        <v>426.65</v>
      </c>
      <c r="Z15">
        <v>426.65</v>
      </c>
      <c r="AA15">
        <v>426.65</v>
      </c>
      <c r="AB15">
        <v>426.65</v>
      </c>
      <c r="AC15">
        <v>426.65</v>
      </c>
      <c r="AD15">
        <v>426.65</v>
      </c>
      <c r="AE15">
        <v>426.65</v>
      </c>
      <c r="AF15">
        <v>426.65</v>
      </c>
      <c r="AG15">
        <v>426.65</v>
      </c>
      <c r="AH15">
        <v>426.65</v>
      </c>
      <c r="AI15">
        <v>426.65</v>
      </c>
      <c r="AJ15">
        <v>426.65</v>
      </c>
      <c r="AK15">
        <v>426.65</v>
      </c>
      <c r="AL15">
        <v>426.65</v>
      </c>
      <c r="AM15">
        <v>426.65</v>
      </c>
      <c r="AN15">
        <v>426.65</v>
      </c>
      <c r="AO15">
        <v>426.65</v>
      </c>
      <c r="AP15">
        <v>426.65</v>
      </c>
      <c r="AQ15">
        <v>426.65</v>
      </c>
      <c r="AR15">
        <v>426.65</v>
      </c>
      <c r="AS15">
        <v>426.65</v>
      </c>
      <c r="AT15">
        <v>426.65</v>
      </c>
      <c r="AU15">
        <v>426.65</v>
      </c>
      <c r="AV15">
        <v>426.65</v>
      </c>
      <c r="AW15">
        <v>426.65</v>
      </c>
      <c r="AX15">
        <v>426.65</v>
      </c>
      <c r="AY15">
        <v>426.65</v>
      </c>
      <c r="AZ15">
        <v>426.65</v>
      </c>
      <c r="BA15">
        <v>426.65</v>
      </c>
      <c r="BB15">
        <v>426.65</v>
      </c>
      <c r="BC15">
        <v>426.65</v>
      </c>
      <c r="BF15">
        <v>0.36988588088296542</v>
      </c>
      <c r="BG15">
        <v>0.26980758017492712</v>
      </c>
      <c r="BH15">
        <v>0.35989004581424411</v>
      </c>
      <c r="BI15">
        <v>0.99958350687213671</v>
      </c>
    </row>
    <row r="16" spans="1:61">
      <c r="C16" s="9">
        <v>230</v>
      </c>
      <c r="D16" s="34">
        <v>23</v>
      </c>
      <c r="E16">
        <v>392.14674737721833</v>
      </c>
      <c r="F16">
        <v>392.10515475405242</v>
      </c>
      <c r="G16">
        <v>392.06380303353427</v>
      </c>
      <c r="H16">
        <v>392.02269626649331</v>
      </c>
      <c r="I16">
        <v>391.98183742852831</v>
      </c>
      <c r="J16">
        <v>391.94122827675949</v>
      </c>
      <c r="K16">
        <v>391.90086919488931</v>
      </c>
      <c r="L16">
        <v>391.86075902619734</v>
      </c>
      <c r="M16">
        <v>391.82089489420224</v>
      </c>
      <c r="N16">
        <v>391.78127201086733</v>
      </c>
      <c r="O16">
        <v>391.74188347240585</v>
      </c>
      <c r="P16">
        <v>391.70272004296731</v>
      </c>
      <c r="Q16">
        <v>391.66376992675936</v>
      </c>
      <c r="R16">
        <v>391.62501852948532</v>
      </c>
      <c r="S16">
        <v>391.5864482103637</v>
      </c>
      <c r="T16">
        <v>391.5480380264313</v>
      </c>
      <c r="U16">
        <v>391.50976347132911</v>
      </c>
      <c r="V16">
        <v>391.47159621130032</v>
      </c>
      <c r="W16">
        <v>391.43350382169251</v>
      </c>
      <c r="X16">
        <v>391.3954495277992</v>
      </c>
      <c r="Y16">
        <v>391.35739195436514</v>
      </c>
      <c r="Z16">
        <v>391.31928488842317</v>
      </c>
      <c r="AA16">
        <v>391.28107706022462</v>
      </c>
      <c r="AB16">
        <v>391.24271194670894</v>
      </c>
      <c r="AC16">
        <v>391.20412760101033</v>
      </c>
      <c r="AD16">
        <v>391.16525650963376</v>
      </c>
      <c r="AE16">
        <v>391.1260254757517</v>
      </c>
      <c r="AF16">
        <v>391.08635552208403</v>
      </c>
      <c r="AG16">
        <v>391.04616179938608</v>
      </c>
      <c r="AH16">
        <v>391.00535347590403</v>
      </c>
      <c r="AI16">
        <v>390.96383356832501</v>
      </c>
      <c r="AJ16">
        <v>390.9214986546487</v>
      </c>
      <c r="AK16">
        <v>390.87823838279695</v>
      </c>
      <c r="AL16">
        <v>390.8339346542478</v>
      </c>
      <c r="AM16">
        <v>390.78846031791306</v>
      </c>
      <c r="AN16">
        <v>390.74167715375279</v>
      </c>
      <c r="AO16">
        <v>390.69343285489731</v>
      </c>
      <c r="AP16">
        <v>390.6435566248457</v>
      </c>
      <c r="AQ16">
        <v>390.59185287878324</v>
      </c>
      <c r="AR16">
        <v>390.53809234477296</v>
      </c>
      <c r="AS16">
        <v>390.48199953545259</v>
      </c>
      <c r="AT16">
        <v>390.42323496317624</v>
      </c>
      <c r="AU16">
        <v>390.36136930492245</v>
      </c>
      <c r="AV16">
        <v>390.29584436091102</v>
      </c>
      <c r="AW16">
        <v>390.22591069415245</v>
      </c>
      <c r="AX16">
        <v>390.1505211073013</v>
      </c>
      <c r="AY16">
        <v>390.06813151376224</v>
      </c>
      <c r="AZ16">
        <v>389.97630534111687</v>
      </c>
      <c r="BA16">
        <v>389.87056495987457</v>
      </c>
      <c r="BB16">
        <v>389.74314868804663</v>
      </c>
      <c r="BC16">
        <v>389.55</v>
      </c>
      <c r="BF16">
        <v>0.33990379008746352</v>
      </c>
      <c r="BG16">
        <v>0.32935526863806741</v>
      </c>
      <c r="BH16">
        <v>0.33032444814660561</v>
      </c>
      <c r="BI16">
        <v>0.9995835068721366</v>
      </c>
    </row>
    <row r="17" spans="3:61">
      <c r="C17" s="9">
        <v>220</v>
      </c>
      <c r="D17" s="34">
        <v>22</v>
      </c>
      <c r="E17">
        <v>357.26397849857079</v>
      </c>
      <c r="F17">
        <v>357.17882045971265</v>
      </c>
      <c r="G17">
        <v>357.09413639741274</v>
      </c>
      <c r="H17">
        <v>357.00993739133685</v>
      </c>
      <c r="I17">
        <v>356.92623273780032</v>
      </c>
      <c r="J17">
        <v>356.84302969294788</v>
      </c>
      <c r="K17">
        <v>356.76033319357958</v>
      </c>
      <c r="L17">
        <v>356.67814555461479</v>
      </c>
      <c r="M17">
        <v>356.59646614232452</v>
      </c>
      <c r="N17">
        <v>356.51529102264885</v>
      </c>
      <c r="O17">
        <v>356.4346125841675</v>
      </c>
      <c r="P17">
        <v>356.35441913561527</v>
      </c>
      <c r="Q17">
        <v>356.2746944782395</v>
      </c>
      <c r="R17">
        <v>356.19541745379991</v>
      </c>
      <c r="S17">
        <v>356.11656146961712</v>
      </c>
      <c r="T17">
        <v>356.03809400279897</v>
      </c>
      <c r="U17">
        <v>355.95997608661247</v>
      </c>
      <c r="V17">
        <v>355.88216178292862</v>
      </c>
      <c r="W17">
        <v>355.80459764572902</v>
      </c>
      <c r="X17">
        <v>355.72722218180814</v>
      </c>
      <c r="Y17">
        <v>355.649965315977</v>
      </c>
      <c r="Z17">
        <v>355.57274786920055</v>
      </c>
      <c r="AA17">
        <v>355.49548105905433</v>
      </c>
      <c r="AB17">
        <v>355.41806603248358</v>
      </c>
      <c r="AC17">
        <v>355.34039344083357</v>
      </c>
      <c r="AD17">
        <v>355.26234306611667</v>
      </c>
      <c r="AE17">
        <v>355.18378350499728</v>
      </c>
      <c r="AF17">
        <v>355.10457191232888</v>
      </c>
      <c r="AG17">
        <v>355.02455379838307</v>
      </c>
      <c r="AH17">
        <v>354.94356286203254</v>
      </c>
      <c r="AI17">
        <v>354.86142082465147</v>
      </c>
      <c r="AJ17">
        <v>354.77793720463137</v>
      </c>
      <c r="AK17">
        <v>354.69290893809898</v>
      </c>
      <c r="AL17">
        <v>354.60611970528663</v>
      </c>
      <c r="AM17">
        <v>354.51733876141765</v>
      </c>
      <c r="AN17">
        <v>354.42631899311493</v>
      </c>
      <c r="AO17">
        <v>354.33279382316823</v>
      </c>
      <c r="AP17">
        <v>354.23647246431432</v>
      </c>
      <c r="AQ17">
        <v>354.13703287072099</v>
      </c>
      <c r="AR17">
        <v>354.03411154251734</v>
      </c>
      <c r="AS17">
        <v>353.92728907773795</v>
      </c>
      <c r="AT17">
        <v>353.81606997773486</v>
      </c>
      <c r="AU17">
        <v>353.69985456589336</v>
      </c>
      <c r="AV17">
        <v>353.57789970320471</v>
      </c>
      <c r="AW17">
        <v>353.44926277473115</v>
      </c>
      <c r="AX17">
        <v>353.31271911475739</v>
      </c>
      <c r="AY17">
        <v>353.1666380710779</v>
      </c>
      <c r="AZ17">
        <v>353.0087746126751</v>
      </c>
      <c r="BA17">
        <v>352.83621693099207</v>
      </c>
      <c r="BB17">
        <v>352.64314868804667</v>
      </c>
      <c r="BC17">
        <v>352.45</v>
      </c>
      <c r="BF17">
        <v>0.31118867138692213</v>
      </c>
      <c r="BG17">
        <v>0.38636901291128689</v>
      </c>
      <c r="BH17">
        <v>0.30202582257392757</v>
      </c>
      <c r="BI17">
        <v>0.9995835068721366</v>
      </c>
    </row>
    <row r="18" spans="3:61">
      <c r="C18" s="9">
        <v>210</v>
      </c>
      <c r="D18" s="34">
        <v>21</v>
      </c>
      <c r="E18">
        <v>322.09908752571732</v>
      </c>
      <c r="F18">
        <v>321.96739743686828</v>
      </c>
      <c r="G18">
        <v>321.83638031391763</v>
      </c>
      <c r="H18">
        <v>321.70605961856023</v>
      </c>
      <c r="I18">
        <v>321.57645707703387</v>
      </c>
      <c r="J18">
        <v>321.44759237629756</v>
      </c>
      <c r="K18">
        <v>321.31948283048149</v>
      </c>
      <c r="L18">
        <v>321.19214301564097</v>
      </c>
      <c r="M18">
        <v>321.06558437086767</v>
      </c>
      <c r="N18">
        <v>320.93981476387523</v>
      </c>
      <c r="O18">
        <v>320.81483801929414</v>
      </c>
      <c r="P18">
        <v>320.69065340809533</v>
      </c>
      <c r="Q18">
        <v>320.56725509682997</v>
      </c>
      <c r="R18">
        <v>320.44463155574073</v>
      </c>
      <c r="S18">
        <v>320.32276492528962</v>
      </c>
      <c r="T18">
        <v>320.2016303412824</v>
      </c>
      <c r="U18">
        <v>320.08119521957553</v>
      </c>
      <c r="V18">
        <v>319.96141850235762</v>
      </c>
      <c r="W18">
        <v>319.84224986923209</v>
      </c>
      <c r="X18">
        <v>319.72362891782342</v>
      </c>
      <c r="Y18">
        <v>319.60548432041179</v>
      </c>
      <c r="Z18">
        <v>319.48773296519124</v>
      </c>
      <c r="AA18">
        <v>319.37027909315668</v>
      </c>
      <c r="AB18">
        <v>319.25301344434149</v>
      </c>
      <c r="AC18">
        <v>319.13581243010799</v>
      </c>
      <c r="AD18">
        <v>319.01853735133966</v>
      </c>
      <c r="AE18">
        <v>318.90103368553008</v>
      </c>
      <c r="AF18">
        <v>318.78313046861416</v>
      </c>
      <c r="AG18">
        <v>318.66463979950947</v>
      </c>
      <c r="AH18">
        <v>318.54535649604765</v>
      </c>
      <c r="AI18">
        <v>318.4250579293099</v>
      </c>
      <c r="AJ18">
        <v>318.30350405796685</v>
      </c>
      <c r="AK18">
        <v>318.18043767320455</v>
      </c>
      <c r="AL18">
        <v>318.05558484580956</v>
      </c>
      <c r="AM18">
        <v>317.92865553714489</v>
      </c>
      <c r="AN18">
        <v>317.79934429215501</v>
      </c>
      <c r="AO18">
        <v>317.66733087321808</v>
      </c>
      <c r="AP18">
        <v>317.53228061992223</v>
      </c>
      <c r="AQ18">
        <v>317.39384424109301</v>
      </c>
      <c r="AR18">
        <v>317.25165668875047</v>
      </c>
      <c r="AS18">
        <v>317.10533479234203</v>
      </c>
      <c r="AT18">
        <v>316.95447358009642</v>
      </c>
      <c r="AU18">
        <v>316.79864195733228</v>
      </c>
      <c r="AV18">
        <v>316.63738021077017</v>
      </c>
      <c r="AW18">
        <v>316.47020584688204</v>
      </c>
      <c r="AX18">
        <v>316.29664352186347</v>
      </c>
      <c r="AY18">
        <v>316.11631535419696</v>
      </c>
      <c r="AZ18">
        <v>315.92920476234104</v>
      </c>
      <c r="BA18">
        <v>315.73621693099204</v>
      </c>
      <c r="BB18">
        <v>315.54314868804664</v>
      </c>
      <c r="BC18">
        <v>315.35000000000002</v>
      </c>
      <c r="BF18">
        <v>0.2837405247813411</v>
      </c>
      <c r="BG18">
        <v>0.4408488129945855</v>
      </c>
      <c r="BH18">
        <v>0.27499416909620988</v>
      </c>
      <c r="BI18">
        <v>0.99958350687213648</v>
      </c>
    </row>
    <row r="19" spans="3:61">
      <c r="C19" s="9">
        <v>200</v>
      </c>
      <c r="D19" s="34">
        <v>20</v>
      </c>
      <c r="E19">
        <v>286.78483173497409</v>
      </c>
      <c r="F19">
        <v>286.60257358811373</v>
      </c>
      <c r="G19">
        <v>286.42110412059486</v>
      </c>
      <c r="H19">
        <v>286.24046491254569</v>
      </c>
      <c r="I19">
        <v>286.06069685926008</v>
      </c>
      <c r="J19">
        <v>285.88183991941423</v>
      </c>
      <c r="K19">
        <v>285.70393283301149</v>
      </c>
      <c r="L19">
        <v>285.52701280613906</v>
      </c>
      <c r="M19">
        <v>285.35111515940014</v>
      </c>
      <c r="N19">
        <v>285.17627293666516</v>
      </c>
      <c r="O19">
        <v>285.00251647057092</v>
      </c>
      <c r="P19">
        <v>284.82987290099379</v>
      </c>
      <c r="Q19">
        <v>284.6583656425484</v>
      </c>
      <c r="R19">
        <v>284.48801379702616</v>
      </c>
      <c r="S19">
        <v>284.31883150661633</v>
      </c>
      <c r="T19">
        <v>284.15082724377135</v>
      </c>
      <c r="U19">
        <v>283.98400303372682</v>
      </c>
      <c r="V19">
        <v>283.81835360601752</v>
      </c>
      <c r="W19">
        <v>283.65386547190997</v>
      </c>
      <c r="X19">
        <v>283.49051592558948</v>
      </c>
      <c r="Y19">
        <v>283.32827196830567</v>
      </c>
      <c r="Z19">
        <v>283.16708915665112</v>
      </c>
      <c r="AA19">
        <v>283.00691037890402</v>
      </c>
      <c r="AB19">
        <v>282.84766456715414</v>
      </c>
      <c r="AC19">
        <v>282.68926535805161</v>
      </c>
      <c r="AD19">
        <v>282.53160972184077</v>
      </c>
      <c r="AE19">
        <v>282.37457658831306</v>
      </c>
      <c r="AF19">
        <v>282.218025509965</v>
      </c>
      <c r="AG19">
        <v>282.06179541756552</v>
      </c>
      <c r="AH19">
        <v>281.90570354215629</v>
      </c>
      <c r="AI19">
        <v>281.74954460082841</v>
      </c>
      <c r="AJ19">
        <v>281.5930903718986</v>
      </c>
      <c r="AK19">
        <v>281.43608981848394</v>
      </c>
      <c r="AL19">
        <v>281.27826995748376</v>
      </c>
      <c r="AM19">
        <v>281.11933771220868</v>
      </c>
      <c r="AN19">
        <v>280.95898302859746</v>
      </c>
      <c r="AO19">
        <v>280.79688357282458</v>
      </c>
      <c r="AP19">
        <v>280.63271135667782</v>
      </c>
      <c r="AQ19">
        <v>280.46614165196712</v>
      </c>
      <c r="AR19">
        <v>280.29686455917027</v>
      </c>
      <c r="AS19">
        <v>280.12459961283867</v>
      </c>
      <c r="AT19">
        <v>279.94911391282909</v>
      </c>
      <c r="AU19">
        <v>279.77024464974204</v>
      </c>
      <c r="AV19">
        <v>279.5879279241305</v>
      </c>
      <c r="AW19">
        <v>279.40223810657778</v>
      </c>
      <c r="AX19">
        <v>279.21344628834686</v>
      </c>
      <c r="AY19">
        <v>279.02211221558451</v>
      </c>
      <c r="AZ19">
        <v>278.82920476234102</v>
      </c>
      <c r="BA19">
        <v>278.63621693099202</v>
      </c>
      <c r="BB19">
        <v>278.44314868804662</v>
      </c>
      <c r="BC19">
        <v>278.25</v>
      </c>
      <c r="BF19">
        <v>0.25755935027072052</v>
      </c>
      <c r="BG19">
        <v>0.49279466888796331</v>
      </c>
      <c r="BH19">
        <v>0.24922948771345274</v>
      </c>
      <c r="BI19">
        <v>0.9995835068721366</v>
      </c>
    </row>
    <row r="20" spans="3:61">
      <c r="C20" s="9">
        <v>190</v>
      </c>
      <c r="D20" s="34">
        <v>19</v>
      </c>
      <c r="E20">
        <v>251.50382160899576</v>
      </c>
      <c r="F20">
        <v>251.2660049319139</v>
      </c>
      <c r="G20">
        <v>251.02892915014476</v>
      </c>
      <c r="H20">
        <v>250.79265648547235</v>
      </c>
      <c r="I20">
        <v>250.55725045907076</v>
      </c>
      <c r="J20">
        <v>250.32277580369347</v>
      </c>
      <c r="K20">
        <v>250.08929835582336</v>
      </c>
      <c r="L20">
        <v>249.85688492474023</v>
      </c>
      <c r="M20">
        <v>249.62560313501527</v>
      </c>
      <c r="N20">
        <v>249.39552123843089</v>
      </c>
      <c r="O20">
        <v>249.16670789074547</v>
      </c>
      <c r="P20">
        <v>248.93923188806619</v>
      </c>
      <c r="Q20">
        <v>248.713161856857</v>
      </c>
      <c r="R20">
        <v>248.48856589078775</v>
      </c>
      <c r="S20">
        <v>248.26551112672513</v>
      </c>
      <c r="T20">
        <v>248.04406325118066</v>
      </c>
      <c r="U20">
        <v>247.82428592747979</v>
      </c>
      <c r="V20">
        <v>247.60624013282131</v>
      </c>
      <c r="W20">
        <v>247.38998339330055</v>
      </c>
      <c r="X20">
        <v>247.17556890393791</v>
      </c>
      <c r="Y20">
        <v>246.96304451988385</v>
      </c>
      <c r="Z20">
        <v>246.75245160440846</v>
      </c>
      <c r="AA20">
        <v>246.54382371923802</v>
      </c>
      <c r="AB20">
        <v>246.33718514356798</v>
      </c>
      <c r="AC20">
        <v>246.13254921007967</v>
      </c>
      <c r="AD20">
        <v>245.92991645008615</v>
      </c>
      <c r="AE20">
        <v>245.72927254631676</v>
      </c>
      <c r="AF20">
        <v>245.53058610186855</v>
      </c>
      <c r="AG20">
        <v>245.33380624890688</v>
      </c>
      <c r="AH20">
        <v>245.13886014261314</v>
      </c>
      <c r="AI20">
        <v>244.94565041699849</v>
      </c>
      <c r="AJ20">
        <v>244.75405272244632</v>
      </c>
      <c r="AK20">
        <v>244.56391352371091</v>
      </c>
      <c r="AL20">
        <v>244.37504841550222</v>
      </c>
      <c r="AM20">
        <v>244.18724131461045</v>
      </c>
      <c r="AN20">
        <v>244.00024501555461</v>
      </c>
      <c r="AO20">
        <v>243.8137837504986</v>
      </c>
      <c r="AP20">
        <v>243.62755856579344</v>
      </c>
      <c r="AQ20">
        <v>243.44125649412453</v>
      </c>
      <c r="AR20">
        <v>243.25456461169699</v>
      </c>
      <c r="AS20">
        <v>243.06719002184641</v>
      </c>
      <c r="AT20">
        <v>242.87888640848033</v>
      </c>
      <c r="AU20">
        <v>242.68948671242254</v>
      </c>
      <c r="AV20">
        <v>242.49893910738504</v>
      </c>
      <c r="AW20">
        <v>242.30733877410208</v>
      </c>
      <c r="AX20">
        <v>242.11493932419944</v>
      </c>
      <c r="AY20">
        <v>241.92211221558455</v>
      </c>
      <c r="AZ20">
        <v>241.72920476234106</v>
      </c>
      <c r="BA20">
        <v>241.53621693099205</v>
      </c>
      <c r="BB20">
        <v>241.34314868804665</v>
      </c>
      <c r="BC20">
        <v>241.15</v>
      </c>
      <c r="BF20">
        <v>0.23264514785506038</v>
      </c>
      <c r="BG20">
        <v>0.54220658059142024</v>
      </c>
      <c r="BH20">
        <v>0.22473177842565598</v>
      </c>
      <c r="BI20">
        <v>0.9995835068721366</v>
      </c>
    </row>
    <row r="21" spans="3:61">
      <c r="C21" s="9">
        <v>180</v>
      </c>
      <c r="D21" s="34">
        <v>18</v>
      </c>
      <c r="E21">
        <v>216.50783867069319</v>
      </c>
      <c r="F21">
        <v>216.20904034282847</v>
      </c>
      <c r="G21">
        <v>215.91066404075221</v>
      </c>
      <c r="H21">
        <v>215.61278737473805</v>
      </c>
      <c r="I21">
        <v>215.31549162431773</v>
      </c>
      <c r="J21">
        <v>215.0188618974239</v>
      </c>
      <c r="K21">
        <v>214.72298729184922</v>
      </c>
      <c r="L21">
        <v>214.42796105758347</v>
      </c>
      <c r="M21">
        <v>214.13388075815573</v>
      </c>
      <c r="N21">
        <v>213.84084842857686</v>
      </c>
      <c r="O21">
        <v>213.54897072682752</v>
      </c>
      <c r="P21">
        <v>213.25835907504819</v>
      </c>
      <c r="Q21">
        <v>212.96912978562924</v>
      </c>
      <c r="R21">
        <v>212.68140416624311</v>
      </c>
      <c r="S21">
        <v>212.39530859646757</v>
      </c>
      <c r="T21">
        <v>212.11097456697601</v>
      </c>
      <c r="U21">
        <v>211.8285386702722</v>
      </c>
      <c r="V21">
        <v>211.54814252956325</v>
      </c>
      <c r="W21">
        <v>211.26993264953992</v>
      </c>
      <c r="X21">
        <v>210.99406016949854</v>
      </c>
      <c r="Y21">
        <v>210.72068049532925</v>
      </c>
      <c r="Z21">
        <v>210.44995278234384</v>
      </c>
      <c r="AA21">
        <v>210.18203923566759</v>
      </c>
      <c r="AB21">
        <v>209.91710418894047</v>
      </c>
      <c r="AC21">
        <v>209.65531291537172</v>
      </c>
      <c r="AD21">
        <v>209.39683011784791</v>
      </c>
      <c r="AE21">
        <v>209.14181803701103</v>
      </c>
      <c r="AF21">
        <v>208.8904341083923</v>
      </c>
      <c r="AG21">
        <v>208.64282809250659</v>
      </c>
      <c r="AH21">
        <v>208.39913859643872</v>
      </c>
      <c r="AI21">
        <v>208.15948890375009</v>
      </c>
      <c r="AJ21">
        <v>207.92398203440047</v>
      </c>
      <c r="AK21">
        <v>207.69269497223635</v>
      </c>
      <c r="AL21">
        <v>207.46567203101685</v>
      </c>
      <c r="AM21">
        <v>207.24291739047104</v>
      </c>
      <c r="AN21">
        <v>207.02438693490527</v>
      </c>
      <c r="AO21">
        <v>206.8099796864106</v>
      </c>
      <c r="AP21">
        <v>206.59952936528035</v>
      </c>
      <c r="AQ21">
        <v>206.39279695648011</v>
      </c>
      <c r="AR21">
        <v>206.18946563186012</v>
      </c>
      <c r="AS21">
        <v>205.98913996728012</v>
      </c>
      <c r="AT21">
        <v>205.79135202994189</v>
      </c>
      <c r="AU21">
        <v>205.59557737825645</v>
      </c>
      <c r="AV21">
        <v>205.40126383074613</v>
      </c>
      <c r="AW21">
        <v>205.20787414312531</v>
      </c>
      <c r="AX21">
        <v>205.01493932419942</v>
      </c>
      <c r="AY21">
        <v>204.82211221558453</v>
      </c>
      <c r="AZ21">
        <v>204.62920476234103</v>
      </c>
      <c r="BA21">
        <v>204.43621693099203</v>
      </c>
      <c r="BB21">
        <v>204.24314868804663</v>
      </c>
      <c r="BC21">
        <v>204.05</v>
      </c>
      <c r="BF21">
        <v>0.20899791753436067</v>
      </c>
      <c r="BG21">
        <v>0.58908454810495614</v>
      </c>
      <c r="BH21">
        <v>0.20150104123281967</v>
      </c>
      <c r="BI21">
        <v>0.99958350687213648</v>
      </c>
    </row>
    <row r="22" spans="3:61">
      <c r="C22" s="9">
        <v>170</v>
      </c>
      <c r="D22" s="34">
        <v>17</v>
      </c>
      <c r="E22">
        <v>182.14192557180883</v>
      </c>
      <c r="F22">
        <v>181.77753247370103</v>
      </c>
      <c r="G22">
        <v>181.4128638166373</v>
      </c>
      <c r="H22">
        <v>181.04799589560997</v>
      </c>
      <c r="I22">
        <v>180.68301036758805</v>
      </c>
      <c r="J22">
        <v>180.31799465024915</v>
      </c>
      <c r="K22">
        <v>179.95304235160535</v>
      </c>
      <c r="L22">
        <v>179.58825373249937</v>
      </c>
      <c r="M22">
        <v>179.22373620392838</v>
      </c>
      <c r="N22">
        <v>178.85960486108164</v>
      </c>
      <c r="O22">
        <v>178.49598305583751</v>
      </c>
      <c r="P22">
        <v>178.13300300923143</v>
      </c>
      <c r="Q22">
        <v>177.7708064650495</v>
      </c>
      <c r="R22">
        <v>177.409545385185</v>
      </c>
      <c r="S22">
        <v>177.04938268666578</v>
      </c>
      <c r="T22">
        <v>176.69049301925764</v>
      </c>
      <c r="U22">
        <v>176.33306358118742</v>
      </c>
      <c r="V22">
        <v>175.97729496870494</v>
      </c>
      <c r="W22">
        <v>175.6234020527767</v>
      </c>
      <c r="X22">
        <v>175.27161487299901</v>
      </c>
      <c r="Y22">
        <v>174.92217953460602</v>
      </c>
      <c r="Z22">
        <v>174.57535908893291</v>
      </c>
      <c r="AA22">
        <v>174.23143437049873</v>
      </c>
      <c r="AB22">
        <v>173.89070475451027</v>
      </c>
      <c r="AC22">
        <v>173.55348878643599</v>
      </c>
      <c r="AD22">
        <v>173.2201246195678</v>
      </c>
      <c r="AE22">
        <v>172.89097017618062</v>
      </c>
      <c r="AF22">
        <v>172.56640292177056</v>
      </c>
      <c r="AG22">
        <v>172.24681910837222</v>
      </c>
      <c r="AH22">
        <v>171.9326323002918</v>
      </c>
      <c r="AI22">
        <v>171.62427094163141</v>
      </c>
      <c r="AJ22">
        <v>171.32217465744355</v>
      </c>
      <c r="AK22">
        <v>171.02678889709895</v>
      </c>
      <c r="AL22">
        <v>170.73855742811736</v>
      </c>
      <c r="AM22">
        <v>170.45791207202009</v>
      </c>
      <c r="AN22">
        <v>170.18525894598042</v>
      </c>
      <c r="AO22">
        <v>169.92096034954395</v>
      </c>
      <c r="AP22">
        <v>169.66531134613371</v>
      </c>
      <c r="AQ22">
        <v>169.41851009787169</v>
      </c>
      <c r="AR22">
        <v>169.18062123943358</v>
      </c>
      <c r="AS22">
        <v>168.95153223985807</v>
      </c>
      <c r="AT22">
        <v>168.7309041797609</v>
      </c>
      <c r="AU22">
        <v>168.51812129387764</v>
      </c>
      <c r="AV22">
        <v>168.31224895464877</v>
      </c>
      <c r="AW22">
        <v>168.11201872324065</v>
      </c>
      <c r="AX22">
        <v>167.91587242844264</v>
      </c>
      <c r="AY22">
        <v>167.72211221558453</v>
      </c>
      <c r="AZ22">
        <v>167.52920476234104</v>
      </c>
      <c r="BA22">
        <v>167.33621693099204</v>
      </c>
      <c r="BB22">
        <v>167.14314868804664</v>
      </c>
      <c r="BC22">
        <v>166.95</v>
      </c>
      <c r="BF22">
        <v>0.1866176593086214</v>
      </c>
      <c r="BG22">
        <v>0.63342857142857134</v>
      </c>
      <c r="BH22">
        <v>0.17953727613494377</v>
      </c>
      <c r="BI22">
        <v>0.99958350687213648</v>
      </c>
    </row>
    <row r="23" spans="3:61">
      <c r="C23" s="9">
        <v>160</v>
      </c>
      <c r="D23" s="34">
        <v>16</v>
      </c>
      <c r="E23">
        <v>148.87095647573085</v>
      </c>
      <c r="F23">
        <v>148.43946840882631</v>
      </c>
      <c r="G23">
        <v>148.00658190076715</v>
      </c>
      <c r="H23">
        <v>147.572344250562</v>
      </c>
      <c r="I23">
        <v>147.13680783139691</v>
      </c>
      <c r="J23">
        <v>146.70003057815546</v>
      </c>
      <c r="K23">
        <v>146.26207652470825</v>
      </c>
      <c r="L23">
        <v>145.82301639639513</v>
      </c>
      <c r="M23">
        <v>145.38292826374902</v>
      </c>
      <c r="N23">
        <v>144.94189826420771</v>
      </c>
      <c r="O23">
        <v>144.50002139933753</v>
      </c>
      <c r="P23">
        <v>144.05740241595294</v>
      </c>
      <c r="Q23">
        <v>143.61415678046782</v>
      </c>
      <c r="R23">
        <v>143.17041175685631</v>
      </c>
      <c r="S23">
        <v>142.72630759973629</v>
      </c>
      <c r="T23">
        <v>142.28199887530764</v>
      </c>
      <c r="U23">
        <v>141.8376559241689</v>
      </c>
      <c r="V23">
        <v>141.39346648136979</v>
      </c>
      <c r="W23">
        <v>140.9496374703906</v>
      </c>
      <c r="X23">
        <v>140.506396988999</v>
      </c>
      <c r="Y23">
        <v>140.06399650600943</v>
      </c>
      <c r="Z23">
        <v>139.62271328869485</v>
      </c>
      <c r="AA23">
        <v>139.18285308072771</v>
      </c>
      <c r="AB23">
        <v>138.74475304969539</v>
      </c>
      <c r="AC23">
        <v>138.30878502092446</v>
      </c>
      <c r="AD23">
        <v>137.875359009796</v>
      </c>
      <c r="AE23">
        <v>137.44492705685272</v>
      </c>
      <c r="AF23">
        <v>137.01798735721346</v>
      </c>
      <c r="AG23">
        <v>136.59508865585926</v>
      </c>
      <c r="AH23">
        <v>136.17683484998378</v>
      </c>
      <c r="AI23">
        <v>135.76388969412051</v>
      </c>
      <c r="AJ23">
        <v>135.35698143642048</v>
      </c>
      <c r="AK23">
        <v>134.95690711553684</v>
      </c>
      <c r="AL23">
        <v>134.56453610310064</v>
      </c>
      <c r="AM23">
        <v>134.18081226671887</v>
      </c>
      <c r="AN23">
        <v>133.80675382428922</v>
      </c>
      <c r="AO23">
        <v>133.44344952214283</v>
      </c>
      <c r="AP23">
        <v>133.09204914196957</v>
      </c>
      <c r="AQ23">
        <v>132.75374545166702</v>
      </c>
      <c r="AR23">
        <v>132.4297434734128</v>
      </c>
      <c r="AS23">
        <v>132.12121125505618</v>
      </c>
      <c r="AT23">
        <v>131.82920414726109</v>
      </c>
      <c r="AU23">
        <v>131.5545520277696</v>
      </c>
      <c r="AV23">
        <v>131.29769659510814</v>
      </c>
      <c r="AW23">
        <v>131.0584657240731</v>
      </c>
      <c r="AX23">
        <v>130.83577926777392</v>
      </c>
      <c r="AY23">
        <v>130.62730948861497</v>
      </c>
      <c r="AZ23">
        <v>130.42920476234104</v>
      </c>
      <c r="BA23">
        <v>130.23621693099204</v>
      </c>
      <c r="BB23">
        <v>130.04314868804661</v>
      </c>
      <c r="BC23">
        <v>129.85</v>
      </c>
      <c r="BF23">
        <v>0.16550437317784256</v>
      </c>
      <c r="BG23">
        <v>0.67523865056226562</v>
      </c>
      <c r="BH23">
        <v>0.15884048313202834</v>
      </c>
      <c r="BI23">
        <v>0.99958350687213648</v>
      </c>
    </row>
    <row r="24" spans="3:61">
      <c r="C24" s="9">
        <v>150</v>
      </c>
      <c r="D24" s="34">
        <v>15</v>
      </c>
      <c r="E24">
        <v>117.30192509421438</v>
      </c>
      <c r="F24">
        <v>116.80846848015483</v>
      </c>
      <c r="G24">
        <v>116.31217114904194</v>
      </c>
      <c r="H24">
        <v>115.81302115285948</v>
      </c>
      <c r="I24">
        <v>115.31100854467017</v>
      </c>
      <c r="J24">
        <v>114.80612567721414</v>
      </c>
      <c r="K24">
        <v>114.29836754045765</v>
      </c>
      <c r="L24">
        <v>113.78773214359592</v>
      </c>
      <c r="M24">
        <v>113.27422094789907</v>
      </c>
      <c r="N24">
        <v>112.75783935783592</v>
      </c>
      <c r="O24">
        <v>112.23859727914997</v>
      </c>
      <c r="P24">
        <v>111.71650975403328</v>
      </c>
      <c r="Q24">
        <v>111.19159768529649</v>
      </c>
      <c r="R24">
        <v>110.66388866352419</v>
      </c>
      <c r="S24">
        <v>110.13341791370803</v>
      </c>
      <c r="T24">
        <v>109.60022938085146</v>
      </c>
      <c r="U24">
        <v>109.06437697765141</v>
      </c>
      <c r="V24">
        <v>108.52592602171525</v>
      </c>
      <c r="W24">
        <v>107.98495489503495</v>
      </c>
      <c r="X24">
        <v>107.44155696481775</v>
      </c>
      <c r="Y24">
        <v>106.89584281252174</v>
      </c>
      <c r="Z24">
        <v>106.34794282738011</v>
      </c>
      <c r="AA24">
        <v>105.79801023221563</v>
      </c>
      <c r="AB24">
        <v>105.24622462343319</v>
      </c>
      <c r="AC24">
        <v>104.69279612433961</v>
      </c>
      <c r="AD24">
        <v>104.13797027212141</v>
      </c>
      <c r="AE24">
        <v>103.58203378482628</v>
      </c>
      <c r="AF24">
        <v>103.02532138664805</v>
      </c>
      <c r="AG24">
        <v>102.46822390902024</v>
      </c>
      <c r="AH24">
        <v>101.91119793298698</v>
      </c>
      <c r="AI24">
        <v>101.35477729667269</v>
      </c>
      <c r="AJ24">
        <v>100.79958686197672</v>
      </c>
      <c r="AK24">
        <v>100.24635901793023</v>
      </c>
      <c r="AL24">
        <v>99.695953494107357</v>
      </c>
      <c r="AM24">
        <v>99.149381162475336</v>
      </c>
      <c r="AN24">
        <v>98.60783260968941</v>
      </c>
      <c r="AO24">
        <v>98.072712340008451</v>
      </c>
      <c r="AP24">
        <v>97.545679470821113</v>
      </c>
      <c r="AQ24">
        <v>97.028695605368128</v>
      </c>
      <c r="AR24">
        <v>96.524080007729381</v>
      </c>
      <c r="AS24">
        <v>96.034570868331954</v>
      </c>
      <c r="AT24">
        <v>95.563388568537349</v>
      </c>
      <c r="AU24">
        <v>95.114290947465378</v>
      </c>
      <c r="AV24">
        <v>94.691598759875944</v>
      </c>
      <c r="AW24">
        <v>94.300146140465444</v>
      </c>
      <c r="AX24">
        <v>93.945064752514028</v>
      </c>
      <c r="AY24">
        <v>93.631218808595833</v>
      </c>
      <c r="AZ24">
        <v>93.361924840547545</v>
      </c>
      <c r="BA24">
        <v>93.136216930992063</v>
      </c>
      <c r="BB24">
        <v>92.943148688046648</v>
      </c>
      <c r="BC24">
        <v>92.75</v>
      </c>
      <c r="BF24">
        <v>0.14565805914202415</v>
      </c>
      <c r="BG24">
        <v>0.71451478550603909</v>
      </c>
      <c r="BH24">
        <v>0.13941066222407333</v>
      </c>
      <c r="BI24">
        <v>0.9995835068721366</v>
      </c>
    </row>
    <row r="25" spans="3:61">
      <c r="C25" s="9">
        <v>140</v>
      </c>
      <c r="D25" s="34">
        <v>14</v>
      </c>
      <c r="E25">
        <v>88.187948100730239</v>
      </c>
      <c r="F25">
        <v>87.648550185383115</v>
      </c>
      <c r="G25">
        <v>87.104894318820087</v>
      </c>
      <c r="H25">
        <v>86.556894157991891</v>
      </c>
      <c r="I25">
        <v>86.004460259530731</v>
      </c>
      <c r="J25">
        <v>85.447499936553768</v>
      </c>
      <c r="K25">
        <v>84.885917109135761</v>
      </c>
      <c r="L25">
        <v>84.319612148669947</v>
      </c>
      <c r="M25">
        <v>83.748481716531273</v>
      </c>
      <c r="N25">
        <v>83.172418597715179</v>
      </c>
      <c r="O25">
        <v>82.591311530465362</v>
      </c>
      <c r="P25">
        <v>82.0050450333502</v>
      </c>
      <c r="Q25">
        <v>81.413499231830428</v>
      </c>
      <c r="R25">
        <v>80.816549687120428</v>
      </c>
      <c r="S25">
        <v>80.214067231136085</v>
      </c>
      <c r="T25">
        <v>79.605917812611239</v>
      </c>
      <c r="U25">
        <v>78.991962361145838</v>
      </c>
      <c r="V25">
        <v>78.372056678139998</v>
      </c>
      <c r="W25">
        <v>77.746051366431516</v>
      </c>
      <c r="X25">
        <v>77.113791814200141</v>
      </c>
      <c r="Y25">
        <v>76.475118253615989</v>
      </c>
      <c r="Z25">
        <v>75.829865921170949</v>
      </c>
      <c r="AA25">
        <v>75.177865355156101</v>
      </c>
      <c r="AB25">
        <v>74.518942877031066</v>
      </c>
      <c r="AC25">
        <v>73.85292131842408</v>
      </c>
      <c r="AD25">
        <v>73.179621075511633</v>
      </c>
      <c r="AE25">
        <v>72.498861599363565</v>
      </c>
      <c r="AF25">
        <v>71.810463467032307</v>
      </c>
      <c r="AG25">
        <v>71.114251227281883</v>
      </c>
      <c r="AH25">
        <v>70.410057281981366</v>
      </c>
      <c r="AI25">
        <v>69.697727156676706</v>
      </c>
      <c r="AJ25">
        <v>68.97712664245222</v>
      </c>
      <c r="AK25">
        <v>68.248151471849397</v>
      </c>
      <c r="AL25">
        <v>67.510740448361304</v>
      </c>
      <c r="AM25">
        <v>66.764893318661493</v>
      </c>
      <c r="AN25">
        <v>66.010695216524283</v>
      </c>
      <c r="AO25">
        <v>65.248350307958475</v>
      </c>
      <c r="AP25">
        <v>64.478228474173847</v>
      </c>
      <c r="AQ25">
        <v>63.700930720943987</v>
      </c>
      <c r="AR25">
        <v>62.917381895554449</v>
      </c>
      <c r="AS25">
        <v>62.128963893395593</v>
      </c>
      <c r="AT25">
        <v>61.337709987930097</v>
      </c>
      <c r="AU25">
        <v>60.546593204039816</v>
      </c>
      <c r="AV25">
        <v>59.759962269430147</v>
      </c>
      <c r="AW25">
        <v>58.984213864620784</v>
      </c>
      <c r="AX25">
        <v>58.228850975158366</v>
      </c>
      <c r="AY25">
        <v>57.508185025898136</v>
      </c>
      <c r="AZ25">
        <v>56.844133434095284</v>
      </c>
      <c r="BA25">
        <v>56.270919769960514</v>
      </c>
      <c r="BB25">
        <v>55.843148688046639</v>
      </c>
      <c r="BC25">
        <v>55.65</v>
      </c>
      <c r="BF25">
        <v>0.12707871720116617</v>
      </c>
      <c r="BG25">
        <v>0.75125697625989163</v>
      </c>
      <c r="BH25">
        <v>0.12124781341107875</v>
      </c>
      <c r="BI25">
        <v>0.99958350687213648</v>
      </c>
    </row>
    <row r="26" spans="3:61">
      <c r="C26" s="9">
        <v>130</v>
      </c>
      <c r="D26" s="34">
        <v>13</v>
      </c>
      <c r="E26">
        <v>62.391080157618404</v>
      </c>
      <c r="F26">
        <v>61.836108802931719</v>
      </c>
      <c r="G26">
        <v>61.276067159222883</v>
      </c>
      <c r="H26">
        <v>60.71081505598616</v>
      </c>
      <c r="I26">
        <v>60.140204993232011</v>
      </c>
      <c r="J26">
        <v>59.564081587568943</v>
      </c>
      <c r="K26">
        <v>58.982280963876022</v>
      </c>
      <c r="L26">
        <v>58.39463008603947</v>
      </c>
      <c r="M26">
        <v>57.800946019295388</v>
      </c>
      <c r="N26">
        <v>57.201035115633019</v>
      </c>
      <c r="O26">
        <v>56.594692112438359</v>
      </c>
      <c r="P26">
        <v>55.98169913305933</v>
      </c>
      <c r="Q26">
        <v>55.361824576205436</v>
      </c>
      <c r="R26">
        <v>54.734821879000705</v>
      </c>
      <c r="S26">
        <v>54.100428136019197</v>
      </c>
      <c r="T26">
        <v>53.458362553661523</v>
      </c>
      <c r="U26">
        <v>52.808324715670771</v>
      </c>
      <c r="V26">
        <v>52.149992631302496</v>
      </c>
      <c r="W26">
        <v>51.483020532486108</v>
      </c>
      <c r="X26">
        <v>50.807036380029203</v>
      </c>
      <c r="Y26">
        <v>50.121639031247852</v>
      </c>
      <c r="Z26">
        <v>49.426395012003489</v>
      </c>
      <c r="AA26">
        <v>48.720834824535714</v>
      </c>
      <c r="AB26">
        <v>48.004448708108768</v>
      </c>
      <c r="AC26">
        <v>47.276681751557561</v>
      </c>
      <c r="AD26">
        <v>46.53692823429202</v>
      </c>
      <c r="AE26">
        <v>45.784525043802404</v>
      </c>
      <c r="AF26">
        <v>45.018743981304716</v>
      </c>
      <c r="AG26">
        <v>44.238782720249567</v>
      </c>
      <c r="AH26">
        <v>43.443754121304217</v>
      </c>
      <c r="AI26">
        <v>42.632673526845878</v>
      </c>
      <c r="AJ26">
        <v>41.804443550334398</v>
      </c>
      <c r="AK26">
        <v>40.957835729874454</v>
      </c>
      <c r="AL26">
        <v>40.09146821384806</v>
      </c>
      <c r="AM26">
        <v>39.203778363711649</v>
      </c>
      <c r="AN26">
        <v>38.292988754478287</v>
      </c>
      <c r="AO26">
        <v>37.35706446315266</v>
      </c>
      <c r="AP26">
        <v>36.393658656980833</v>
      </c>
      <c r="AQ26">
        <v>35.400042160198055</v>
      </c>
      <c r="AR26">
        <v>34.373010615588655</v>
      </c>
      <c r="AS26">
        <v>33.3087596082039</v>
      </c>
      <c r="AT26">
        <v>32.202712911884923</v>
      </c>
      <c r="AU26">
        <v>31.049280540502195</v>
      </c>
      <c r="AV26">
        <v>29.841509270791772</v>
      </c>
      <c r="AW26">
        <v>28.570564809039151</v>
      </c>
      <c r="AX26">
        <v>27.224944854171493</v>
      </c>
      <c r="AY26">
        <v>25.789253581244232</v>
      </c>
      <c r="AZ26">
        <v>24.242248146380653</v>
      </c>
      <c r="BA26">
        <v>22.553655582393507</v>
      </c>
      <c r="BB26">
        <v>20.678877113702622</v>
      </c>
      <c r="BC26">
        <v>18.55</v>
      </c>
      <c r="BF26">
        <v>0.10976634735526862</v>
      </c>
      <c r="BG26">
        <v>0.78546522282382336</v>
      </c>
      <c r="BH26">
        <v>0.10435193669304456</v>
      </c>
      <c r="BI26">
        <v>0.99958350687213648</v>
      </c>
    </row>
    <row r="27" spans="3:61">
      <c r="C27" s="9">
        <v>120</v>
      </c>
      <c r="D27" s="34">
        <v>12</v>
      </c>
      <c r="E27">
        <v>40.775687374741977</v>
      </c>
      <c r="F27">
        <v>40.249430019547979</v>
      </c>
      <c r="G27">
        <v>39.71850550309761</v>
      </c>
      <c r="H27">
        <v>39.182781871550652</v>
      </c>
      <c r="I27">
        <v>38.642120205378916</v>
      </c>
      <c r="J27">
        <v>38.096374097728656</v>
      </c>
      <c r="K27">
        <v>37.545389082461725</v>
      </c>
      <c r="L27">
        <v>36.989002005893141</v>
      </c>
      <c r="M27">
        <v>36.427040335381399</v>
      </c>
      <c r="N27">
        <v>35.859321396918219</v>
      </c>
      <c r="O27">
        <v>35.285651532676447</v>
      </c>
      <c r="P27">
        <v>34.705825168071883</v>
      </c>
      <c r="Q27">
        <v>34.119623776230561</v>
      </c>
      <c r="R27">
        <v>33.526814725770883</v>
      </c>
      <c r="S27">
        <v>32.927149995438612</v>
      </c>
      <c r="T27">
        <v>32.320364736282542</v>
      </c>
      <c r="U27">
        <v>31.706175658616729</v>
      </c>
      <c r="V27">
        <v>31.08427921683889</v>
      </c>
      <c r="W27">
        <v>30.454349560082129</v>
      </c>
      <c r="X27">
        <v>29.816036210436653</v>
      </c>
      <c r="Y27">
        <v>29.168961422793529</v>
      </c>
      <c r="Z27">
        <v>28.512717170852891</v>
      </c>
      <c r="AA27">
        <v>27.846861692015519</v>
      </c>
      <c r="AB27">
        <v>27.170915509109406</v>
      </c>
      <c r="AC27">
        <v>26.484356828380495</v>
      </c>
      <c r="AD27">
        <v>25.786616189854715</v>
      </c>
      <c r="AE27">
        <v>25.077070216713864</v>
      </c>
      <c r="AF27">
        <v>24.355034273001081</v>
      </c>
      <c r="AG27">
        <v>23.619753791592153</v>
      </c>
      <c r="AH27">
        <v>22.870393974170494</v>
      </c>
      <c r="AI27">
        <v>22.106027488478308</v>
      </c>
      <c r="AJ27">
        <v>21.325619691168505</v>
      </c>
      <c r="AK27">
        <v>20.528010782149504</v>
      </c>
      <c r="AL27">
        <v>19.711894142746186</v>
      </c>
      <c r="AM27">
        <v>18.875789919451918</v>
      </c>
      <c r="AN27">
        <v>18.018012682564326</v>
      </c>
      <c r="AO27">
        <v>17.136631712765528</v>
      </c>
      <c r="AP27">
        <v>16.229422154436975</v>
      </c>
      <c r="AQ27">
        <v>15.293804943684027</v>
      </c>
      <c r="AR27">
        <v>14.326773124156048</v>
      </c>
      <c r="AS27">
        <v>13.324802015800927</v>
      </c>
      <c r="AT27">
        <v>12.283740919895857</v>
      </c>
      <c r="AU27">
        <v>11.198685044482527</v>
      </c>
      <c r="AV27">
        <v>10.063828890935458</v>
      </c>
      <c r="AW27">
        <v>8.8723078713846579</v>
      </c>
      <c r="AX27">
        <v>7.61604600489032</v>
      </c>
      <c r="AY27">
        <v>6.2856488435382714</v>
      </c>
      <c r="AZ27">
        <v>4.8704208054690437</v>
      </c>
      <c r="BA27">
        <v>3.3586603612848385</v>
      </c>
      <c r="BB27">
        <v>1.7385236151603498</v>
      </c>
      <c r="BC27">
        <v>0</v>
      </c>
      <c r="BF27">
        <v>9.3720949604331527E-2</v>
      </c>
      <c r="BG27">
        <v>0.81713952519783417</v>
      </c>
      <c r="BH27">
        <v>8.8723032069970842E-2</v>
      </c>
      <c r="BI27">
        <v>0.9995835068721366</v>
      </c>
    </row>
    <row r="28" spans="3:61">
      <c r="C28" s="9">
        <v>110</v>
      </c>
      <c r="D28" s="34">
        <v>11</v>
      </c>
      <c r="E28">
        <v>24.014349864516095</v>
      </c>
      <c r="F28">
        <v>23.567143203453089</v>
      </c>
      <c r="G28">
        <v>23.117087425287128</v>
      </c>
      <c r="H28">
        <v>22.664131775417758</v>
      </c>
      <c r="I28">
        <v>22.208224256480555</v>
      </c>
      <c r="J28">
        <v>21.749311646418899</v>
      </c>
      <c r="K28">
        <v>21.287339529430128</v>
      </c>
      <c r="L28">
        <v>20.822252342663742</v>
      </c>
      <c r="M28">
        <v>20.353993442153456</v>
      </c>
      <c r="N28">
        <v>19.882505192203944</v>
      </c>
      <c r="O28">
        <v>19.407729083360117</v>
      </c>
      <c r="P28">
        <v>18.929605885203721</v>
      </c>
      <c r="Q28">
        <v>18.448075841602041</v>
      </c>
      <c r="R28">
        <v>17.963078917744916</v>
      </c>
      <c r="S28">
        <v>17.474555110436054</v>
      </c>
      <c r="T28">
        <v>16.982444835764827</v>
      </c>
      <c r="U28">
        <v>16.486689411619725</v>
      </c>
      <c r="V28">
        <v>15.98723165670094</v>
      </c>
      <c r="W28">
        <v>15.484016632988634</v>
      </c>
      <c r="X28">
        <v>14.976992565339547</v>
      </c>
      <c r="Y28">
        <v>14.466111980426071</v>
      </c>
      <c r="Z28">
        <v>13.951333118132354</v>
      </c>
      <c r="AA28">
        <v>13.432621682478201</v>
      </c>
      <c r="AB28">
        <v>12.909953017066529</v>
      </c>
      <c r="AC28">
        <v>12.383314813140462</v>
      </c>
      <c r="AD28">
        <v>11.852710488162867</v>
      </c>
      <c r="AE28">
        <v>11.318163411457787</v>
      </c>
      <c r="AF28">
        <v>10.779722203591446</v>
      </c>
      <c r="AG28">
        <v>10.23746740138367</v>
      </c>
      <c r="AH28">
        <v>9.6915198654078907</v>
      </c>
      <c r="AI28">
        <v>9.142051417696603</v>
      </c>
      <c r="AJ28">
        <v>8.5892983421517748</v>
      </c>
      <c r="AK28">
        <v>8.0335785693467994</v>
      </c>
      <c r="AL28">
        <v>7.4753136146108261</v>
      </c>
      <c r="AM28">
        <v>6.9150566610767532</v>
      </c>
      <c r="AN28">
        <v>6.353528600222945</v>
      </c>
      <c r="AO28">
        <v>5.791664389724775</v>
      </c>
      <c r="AP28">
        <v>5.2306727973357239</v>
      </c>
      <c r="AQ28">
        <v>4.6721135124493429</v>
      </c>
      <c r="AR28">
        <v>4.1179967728468263</v>
      </c>
      <c r="AS28">
        <v>3.570912125007224</v>
      </c>
      <c r="AT28">
        <v>3.0341947591938734</v>
      </c>
      <c r="AU28">
        <v>2.5121400590140306</v>
      </c>
      <c r="AV28">
        <v>2.0102795432594451</v>
      </c>
      <c r="AW28">
        <v>1.5357340894356324</v>
      </c>
      <c r="AX28">
        <v>1.0976627842069753</v>
      </c>
      <c r="AY28">
        <v>0.70782700539919952</v>
      </c>
      <c r="AZ28">
        <v>0.38128749020123887</v>
      </c>
      <c r="BA28">
        <v>0.13724344212457637</v>
      </c>
      <c r="BB28">
        <v>0</v>
      </c>
      <c r="BC28">
        <v>0</v>
      </c>
      <c r="BF28">
        <v>7.8942523948354854E-2</v>
      </c>
      <c r="BG28">
        <v>0.84627988338192417</v>
      </c>
      <c r="BH28">
        <v>7.4361099541857559E-2</v>
      </c>
      <c r="BI28">
        <v>0.9995835068721366</v>
      </c>
    </row>
    <row r="29" spans="3:61">
      <c r="C29" s="9">
        <v>100</v>
      </c>
      <c r="D29" s="34">
        <v>10</v>
      </c>
      <c r="E29">
        <v>12.331179050009883</v>
      </c>
      <c r="F29">
        <v>12.003037541483506</v>
      </c>
      <c r="G29">
        <v>11.674626740713203</v>
      </c>
      <c r="H29">
        <v>11.345998625276605</v>
      </c>
      <c r="I29">
        <v>11.017209896611183</v>
      </c>
      <c r="J29">
        <v>10.688322430052668</v>
      </c>
      <c r="K29">
        <v>10.359403772871749</v>
      </c>
      <c r="L29">
        <v>10.030527695947262</v>
      </c>
      <c r="M29">
        <v>9.701774805414729</v>
      </c>
      <c r="N29">
        <v>9.3732332214142602</v>
      </c>
      <c r="O29">
        <v>9.0449993319390014</v>
      </c>
      <c r="P29">
        <v>8.7171786307612944</v>
      </c>
      <c r="Q29">
        <v>8.3898866494938638</v>
      </c>
      <c r="R29">
        <v>8.0632499950305476</v>
      </c>
      <c r="S29">
        <v>7.737407504904235</v>
      </c>
      <c r="T29">
        <v>7.412511534491486</v>
      </c>
      <c r="U29">
        <v>7.0887293914672131</v>
      </c>
      <c r="V29">
        <v>6.7662449344388191</v>
      </c>
      <c r="W29">
        <v>6.4452603542179752</v>
      </c>
      <c r="X29">
        <v>6.1259981576429965</v>
      </c>
      <c r="Y29">
        <v>5.8087033751304356</v>
      </c>
      <c r="Z29">
        <v>5.4936460140422332</v>
      </c>
      <c r="AA29">
        <v>5.1811237802618377</v>
      </c>
      <c r="AB29">
        <v>4.871465089734385</v>
      </c>
      <c r="AC29">
        <v>4.5650323896580058</v>
      </c>
      <c r="AD29">
        <v>4.2622258048407993</v>
      </c>
      <c r="AE29">
        <v>3.9634871175270492</v>
      </c>
      <c r="AF29">
        <v>3.6693040774619008</v>
      </c>
      <c r="AG29">
        <v>3.3802150213463071</v>
      </c>
      <c r="AH29">
        <v>3.0968137547346051</v>
      </c>
      <c r="AI29">
        <v>2.8197546115874501</v>
      </c>
      <c r="AJ29">
        <v>2.5497575527045706</v>
      </c>
      <c r="AK29">
        <v>2.2876130881814323</v>
      </c>
      <c r="AL29">
        <v>2.0341867028783862</v>
      </c>
      <c r="AM29">
        <v>1.7904223169804392</v>
      </c>
      <c r="AN29">
        <v>1.5573441118373614</v>
      </c>
      <c r="AO29">
        <v>1.3360557755653646</v>
      </c>
      <c r="AP29">
        <v>1.1277358485627254</v>
      </c>
      <c r="AQ29">
        <v>0.93362734376538448</v>
      </c>
      <c r="AR29">
        <v>0.75501913832583523</v>
      </c>
      <c r="AS29">
        <v>0.59321572920437282</v>
      </c>
      <c r="AT29">
        <v>0.44949074852648585</v>
      </c>
      <c r="AU29">
        <v>0.32501806518702347</v>
      </c>
      <c r="AV29">
        <v>0.22077226460725685</v>
      </c>
      <c r="AW29">
        <v>0.13738770130075101</v>
      </c>
      <c r="AX29">
        <v>7.4962074603414586E-2</v>
      </c>
      <c r="AY29">
        <v>3.278655474725356E-2</v>
      </c>
      <c r="AZ29">
        <v>8.9799853218537895E-3</v>
      </c>
      <c r="BA29">
        <v>0</v>
      </c>
      <c r="BB29">
        <v>0</v>
      </c>
      <c r="BC29">
        <v>0</v>
      </c>
      <c r="BF29">
        <v>6.5431070387338613E-2</v>
      </c>
      <c r="BG29">
        <v>0.87288629737609325</v>
      </c>
      <c r="BH29">
        <v>6.1266139108704702E-2</v>
      </c>
      <c r="BI29">
        <v>0.9995835068721366</v>
      </c>
    </row>
    <row r="30" spans="3:61">
      <c r="C30" s="9">
        <v>90</v>
      </c>
      <c r="D30" s="34">
        <v>9</v>
      </c>
      <c r="E30">
        <v>5.2884312721060107</v>
      </c>
      <c r="F30">
        <v>5.0903917224345125</v>
      </c>
      <c r="G30">
        <v>4.8940583236067994</v>
      </c>
      <c r="H30">
        <v>4.6995226626754585</v>
      </c>
      <c r="I30">
        <v>4.5068808108655141</v>
      </c>
      <c r="J30">
        <v>4.3162335364150861</v>
      </c>
      <c r="K30">
        <v>4.1276865214029401</v>
      </c>
      <c r="L30">
        <v>3.9413505810083453</v>
      </c>
      <c r="M30">
        <v>3.7573418832010916</v>
      </c>
      <c r="N30">
        <v>3.5757821663189491</v>
      </c>
      <c r="O30">
        <v>3.3967989513392625</v>
      </c>
      <c r="P30">
        <v>3.220525744870971</v>
      </c>
      <c r="Q30">
        <v>3.047102227960234</v>
      </c>
      <c r="R30">
        <v>2.8766744246908287</v>
      </c>
      <c r="S30">
        <v>2.7093948432395996</v>
      </c>
      <c r="T30">
        <v>2.5454225804837343</v>
      </c>
      <c r="U30">
        <v>2.384923379412748</v>
      </c>
      <c r="V30">
        <v>2.2280696264322506</v>
      </c>
      <c r="W30">
        <v>2.0750402731139292</v>
      </c>
      <c r="X30">
        <v>1.9260206639994879</v>
      </c>
      <c r="Y30">
        <v>1.7812022486575982</v>
      </c>
      <c r="Z30">
        <v>1.6407821522764878</v>
      </c>
      <c r="AA30">
        <v>1.5049625746112663</v>
      </c>
      <c r="AB30">
        <v>1.3739499820679657</v>
      </c>
      <c r="AC30">
        <v>1.2479540520913943</v>
      </c>
      <c r="AD30">
        <v>1.12718632286295</v>
      </c>
      <c r="AE30">
        <v>1.01185849469444</v>
      </c>
      <c r="AF30">
        <v>0.90218032259400427</v>
      </c>
      <c r="AG30">
        <v>0.79835703257008084</v>
      </c>
      <c r="AH30">
        <v>0.70058618779142323</v>
      </c>
      <c r="AI30">
        <v>0.60905392544304826</v>
      </c>
      <c r="AJ30">
        <v>0.52393048206108339</v>
      </c>
      <c r="AK30">
        <v>0.44536492582356463</v>
      </c>
      <c r="AL30">
        <v>0.37347902090915258</v>
      </c>
      <c r="AM30">
        <v>0.30836016470593514</v>
      </c>
      <c r="AN30">
        <v>0.25005336768367076</v>
      </c>
      <c r="AO30">
        <v>0.19855229412543654</v>
      </c>
      <c r="AP30">
        <v>0.15378945787381712</v>
      </c>
      <c r="AQ30">
        <v>0.11562578198381364</v>
      </c>
      <c r="AR30">
        <v>8.3839899817582095E-2</v>
      </c>
      <c r="AS30">
        <v>5.811781791414717E-2</v>
      </c>
      <c r="AT30">
        <v>3.8043904748692514E-2</v>
      </c>
      <c r="AU30">
        <v>2.3094649367944028E-2</v>
      </c>
      <c r="AV30">
        <v>1.2637295065231818E-2</v>
      </c>
      <c r="AW30">
        <v>5.9363527231263763E-3</v>
      </c>
      <c r="AX30">
        <v>2.1722057807687292E-3</v>
      </c>
      <c r="AY30">
        <v>4.7761478783259084E-4</v>
      </c>
      <c r="AZ30">
        <v>0</v>
      </c>
      <c r="BA30">
        <v>0</v>
      </c>
      <c r="BB30">
        <v>0</v>
      </c>
      <c r="BC30">
        <v>0</v>
      </c>
      <c r="BF30">
        <v>5.3186588921282793E-2</v>
      </c>
      <c r="BG30">
        <v>0.8969587671803414</v>
      </c>
      <c r="BH30">
        <v>4.9438150770512279E-2</v>
      </c>
      <c r="BI30">
        <v>0.99958350687213648</v>
      </c>
    </row>
    <row r="31" spans="3:61">
      <c r="C31" s="9">
        <v>80</v>
      </c>
      <c r="D31" s="34">
        <v>8</v>
      </c>
      <c r="E31">
        <v>1.794798460217965</v>
      </c>
      <c r="F31">
        <v>1.7023121506139549</v>
      </c>
      <c r="G31">
        <v>1.6119055319373385</v>
      </c>
      <c r="H31">
        <v>1.5236270734108095</v>
      </c>
      <c r="I31">
        <v>1.4375253077757004</v>
      </c>
      <c r="J31">
        <v>1.3536486861230137</v>
      </c>
      <c r="K31">
        <v>1.2720454133730856</v>
      </c>
      <c r="L31">
        <v>1.1927632625663545</v>
      </c>
      <c r="M31">
        <v>1.1158493660261282</v>
      </c>
      <c r="N31">
        <v>1.0413499813636291</v>
      </c>
      <c r="O31">
        <v>0.96931023022149998</v>
      </c>
      <c r="P31">
        <v>0.89977380760135928</v>
      </c>
      <c r="Q31">
        <v>0.83278265960255016</v>
      </c>
      <c r="R31">
        <v>0.76837662742358837</v>
      </c>
      <c r="S31">
        <v>0.70659305555799323</v>
      </c>
      <c r="T31">
        <v>0.6474663622679927</v>
      </c>
      <c r="U31">
        <v>0.59102757066205402</v>
      </c>
      <c r="V31">
        <v>0.537303799058096</v>
      </c>
      <c r="W31">
        <v>0.48631770981064132</v>
      </c>
      <c r="X31">
        <v>0.43808691644895148</v>
      </c>
      <c r="Y31">
        <v>0.39262334985158759</v>
      </c>
      <c r="Z31">
        <v>0.34993258531391508</v>
      </c>
      <c r="AA31">
        <v>0.31001313379800433</v>
      </c>
      <c r="AB31">
        <v>0.27285570244457374</v>
      </c>
      <c r="AC31">
        <v>0.23844243163534068</v>
      </c>
      <c r="AD31">
        <v>0.20674611858754099</v>
      </c>
      <c r="AE31">
        <v>0.17772944070955685</v>
      </c>
      <c r="AF31">
        <v>0.15134419581626077</v>
      </c>
      <c r="AG31">
        <v>0.12753058085777452</v>
      </c>
      <c r="AH31">
        <v>0.10621653610472546</v>
      </c>
      <c r="AI31">
        <v>8.731718777921596E-2</v>
      </c>
      <c r="AJ31">
        <v>7.0734428901589055E-2</v>
      </c>
      <c r="AK31">
        <v>5.6356685546265335E-2</v>
      </c>
      <c r="AL31">
        <v>4.4058923565907883E-2</v>
      </c>
      <c r="AM31">
        <v>3.370295879380851E-2</v>
      </c>
      <c r="AN31">
        <v>2.5138141181535609E-2</v>
      </c>
      <c r="AO31">
        <v>1.8202489356189112E-2</v>
      </c>
      <c r="AP31">
        <v>1.2724355310636121E-2</v>
      </c>
      <c r="AQ31">
        <v>8.5246973494282462E-3</v>
      </c>
      <c r="AR31">
        <v>5.4200300961571484E-3</v>
      </c>
      <c r="AS31">
        <v>3.2260992124370849E-3</v>
      </c>
      <c r="AT31">
        <v>1.7622897474485785E-3</v>
      </c>
      <c r="AU31">
        <v>8.5671283019630529E-4</v>
      </c>
      <c r="AV31">
        <v>3.5181499674982736E-4</v>
      </c>
      <c r="AW31">
        <v>1.1020341863064256E-4</v>
      </c>
      <c r="AX31">
        <v>2.0159680573971712E-5</v>
      </c>
      <c r="AY31">
        <v>0</v>
      </c>
      <c r="AZ31">
        <v>0</v>
      </c>
      <c r="BA31">
        <v>0</v>
      </c>
      <c r="BB31">
        <v>0</v>
      </c>
      <c r="BC31">
        <v>0</v>
      </c>
      <c r="BF31">
        <v>4.220907955018742E-2</v>
      </c>
      <c r="BG31">
        <v>0.91849729279466885</v>
      </c>
      <c r="BH31">
        <v>3.8877134527280297E-2</v>
      </c>
      <c r="BI31">
        <v>0.99958350687213648</v>
      </c>
    </row>
    <row r="32" spans="3:61">
      <c r="C32" s="9">
        <v>70</v>
      </c>
      <c r="D32" s="34">
        <v>7</v>
      </c>
      <c r="E32">
        <v>0.45216397051410201</v>
      </c>
      <c r="F32">
        <v>0.42103435432559966</v>
      </c>
      <c r="G32">
        <v>0.39117044939902534</v>
      </c>
      <c r="H32">
        <v>0.36256951638701368</v>
      </c>
      <c r="I32">
        <v>0.33522736138963061</v>
      </c>
      <c r="J32">
        <v>0.30913825381053855</v>
      </c>
      <c r="K32">
        <v>0.28429484380003506</v>
      </c>
      <c r="L32">
        <v>0.26068807990162041</v>
      </c>
      <c r="M32">
        <v>0.23830712762334041</v>
      </c>
      <c r="N32">
        <v>0.21713928977029645</v>
      </c>
      <c r="O32">
        <v>0.19716992950067075</v>
      </c>
      <c r="P32">
        <v>0.17838239720441731</v>
      </c>
      <c r="Q32">
        <v>0.16075796245117671</v>
      </c>
      <c r="R32">
        <v>0.144275752411373</v>
      </c>
      <c r="S32">
        <v>0.12891269832075533</v>
      </c>
      <c r="T32">
        <v>0.11464349173215933</v>
      </c>
      <c r="U32">
        <v>0.10144055247653135</v>
      </c>
      <c r="V32">
        <v>8.9274010434886933E-2</v>
      </c>
      <c r="W32">
        <v>7.8111703399312768E-2</v>
      </c>
      <c r="X32">
        <v>6.7919193468413672E-2</v>
      </c>
      <c r="Y32">
        <v>5.8659804573111776E-2</v>
      </c>
      <c r="Z32">
        <v>5.029468385276778E-2</v>
      </c>
      <c r="AA32">
        <v>4.2782889687194355E-2</v>
      </c>
      <c r="AB32">
        <v>3.6081509222495832E-2</v>
      </c>
      <c r="AC32">
        <v>3.0145808189865984E-2</v>
      </c>
      <c r="AD32">
        <v>2.4929415685024818E-2</v>
      </c>
      <c r="AE32">
        <v>2.0384546326474302E-2</v>
      </c>
      <c r="AF32">
        <v>1.6462261813609855E-2</v>
      </c>
      <c r="AG32">
        <v>1.3112773327041758E-2</v>
      </c>
      <c r="AH32">
        <v>1.0285785415220539E-2</v>
      </c>
      <c r="AI32">
        <v>7.9308809520404738E-3</v>
      </c>
      <c r="AJ32">
        <v>5.9979453856480059E-3</v>
      </c>
      <c r="AK32">
        <v>4.4376267852941969E-3</v>
      </c>
      <c r="AL32">
        <v>3.2018260904446358E-3</v>
      </c>
      <c r="AM32">
        <v>2.244209443511174E-3</v>
      </c>
      <c r="AN32">
        <v>1.5207315313856028E-3</v>
      </c>
      <c r="AO32">
        <v>9.9015548875809991E-4</v>
      </c>
      <c r="AP32">
        <v>6.1455119382470918E-4</v>
      </c>
      <c r="AQ32">
        <v>3.597498543817674E-4</v>
      </c>
      <c r="AR32">
        <v>1.9572888935192191E-4</v>
      </c>
      <c r="AS32">
        <v>9.6897666737350433E-5</v>
      </c>
      <c r="AT32">
        <v>4.2252299929586878E-5</v>
      </c>
      <c r="AU32">
        <v>1.5367384012291286E-5</v>
      </c>
      <c r="AV32">
        <v>4.1956644039311696E-6</v>
      </c>
      <c r="AW32">
        <v>6.5516023136461437E-7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F32">
        <v>3.2498542274052487E-2</v>
      </c>
      <c r="BG32">
        <v>0.93750187421907538</v>
      </c>
      <c r="BH32">
        <v>2.9583090379008751E-2</v>
      </c>
      <c r="BI32">
        <v>0.9995835068721366</v>
      </c>
    </row>
    <row r="33" spans="3:61">
      <c r="C33" s="9">
        <v>60</v>
      </c>
      <c r="D33" s="34">
        <v>6</v>
      </c>
      <c r="E33">
        <v>7.8685508981184565E-2</v>
      </c>
      <c r="F33">
        <v>7.1689969022915828E-2</v>
      </c>
      <c r="G33">
        <v>6.5129936689032095E-2</v>
      </c>
      <c r="H33">
        <v>5.8992802104358172E-2</v>
      </c>
      <c r="I33">
        <v>5.3265557781917459E-2</v>
      </c>
      <c r="J33">
        <v>4.7934816176619301E-2</v>
      </c>
      <c r="K33">
        <v>4.298682997192739E-2</v>
      </c>
      <c r="L33">
        <v>3.8407515228720643E-2</v>
      </c>
      <c r="M33">
        <v>3.4182477514827177E-2</v>
      </c>
      <c r="N33">
        <v>3.0297041119641925E-2</v>
      </c>
      <c r="O33">
        <v>2.6736281440391054E-2</v>
      </c>
      <c r="P33">
        <v>2.3485060604520117E-2</v>
      </c>
      <c r="Q33">
        <v>2.052806636587793E-2</v>
      </c>
      <c r="R33">
        <v>1.7849854280354724E-2</v>
      </c>
      <c r="S33">
        <v>1.5434893128922407E-2</v>
      </c>
      <c r="T33">
        <v>1.3267613512144791E-2</v>
      </c>
      <c r="U33">
        <v>1.1332459489739818E-2</v>
      </c>
      <c r="V33">
        <v>9.6139430813091589E-3</v>
      </c>
      <c r="W33">
        <v>8.0967013796210113E-3</v>
      </c>
      <c r="X33">
        <v>6.7655559556901489E-3</v>
      </c>
      <c r="Y33">
        <v>5.6055741553775471E-3</v>
      </c>
      <c r="Z33">
        <v>4.6021318006037011E-3</v>
      </c>
      <c r="AA33">
        <v>3.7409767151208523E-3</v>
      </c>
      <c r="AB33">
        <v>3.008292396102806E-3</v>
      </c>
      <c r="AC33">
        <v>2.3907610500664067E-3</v>
      </c>
      <c r="AD33">
        <v>1.875625106926105E-3</v>
      </c>
      <c r="AE33">
        <v>1.4507462221325861E-3</v>
      </c>
      <c r="AF33">
        <v>1.1046606775709463E-3</v>
      </c>
      <c r="AG33">
        <v>8.2663000194208437E-4</v>
      </c>
      <c r="AH33">
        <v>6.0668555666393135E-4</v>
      </c>
      <c r="AI33">
        <v>4.356657811905355E-4</v>
      </c>
      <c r="AJ33">
        <v>3.0524477080897365E-4</v>
      </c>
      <c r="AK33">
        <v>2.0795088073367687E-4</v>
      </c>
      <c r="AL33">
        <v>1.3717412450562288E-4</v>
      </c>
      <c r="AM33">
        <v>8.7161275529099944E-5</v>
      </c>
      <c r="AN33">
        <v>5.2997802251396121E-5</v>
      </c>
      <c r="AO33">
        <v>3.0576084509382131E-5</v>
      </c>
      <c r="AP33">
        <v>1.6549784516085453E-5</v>
      </c>
      <c r="AQ33">
        <v>8.2747916032270998E-6</v>
      </c>
      <c r="AR33">
        <v>3.7378302099633782E-6</v>
      </c>
      <c r="AS33">
        <v>1.4746107309139409E-6</v>
      </c>
      <c r="AT33">
        <v>4.8029149515076005E-7</v>
      </c>
      <c r="AU33">
        <v>1.1596108850739348E-7</v>
      </c>
      <c r="AV33">
        <v>1.5759864357640428E-8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F33">
        <v>2.4054977092877967E-2</v>
      </c>
      <c r="BG33">
        <v>0.95397251145356099</v>
      </c>
      <c r="BH33">
        <v>2.1556018325697625E-2</v>
      </c>
      <c r="BI33">
        <v>0.9995835068721366</v>
      </c>
    </row>
    <row r="34" spans="3:61">
      <c r="C34" s="9">
        <v>50</v>
      </c>
      <c r="D34" s="34">
        <v>5</v>
      </c>
      <c r="E34">
        <v>8.7282955472865412E-3</v>
      </c>
      <c r="F34">
        <v>7.7601269038254589E-3</v>
      </c>
      <c r="G34">
        <v>6.8752747805676936E-3</v>
      </c>
      <c r="H34">
        <v>6.0690102695449217E-3</v>
      </c>
      <c r="I34">
        <v>5.3366847390815351E-3</v>
      </c>
      <c r="J34">
        <v>4.67373855301735E-3</v>
      </c>
      <c r="K34">
        <v>4.0757097304292894E-3</v>
      </c>
      <c r="L34">
        <v>3.5382424955134727E-3</v>
      </c>
      <c r="M34">
        <v>3.0570956635588768E-3</v>
      </c>
      <c r="N34">
        <v>2.6281508053254432E-3</v>
      </c>
      <c r="O34">
        <v>2.2474201287020199E-3</v>
      </c>
      <c r="P34">
        <v>1.9110540133419516E-3</v>
      </c>
      <c r="Q34">
        <v>1.6153481311466809E-3</v>
      </c>
      <c r="R34">
        <v>1.3567500830921487E-3</v>
      </c>
      <c r="S34">
        <v>1.1318654810828425E-3</v>
      </c>
      <c r="T34">
        <v>9.3746340239989729E-4</v>
      </c>
      <c r="U34">
        <v>7.7048114402047073E-4</v>
      </c>
      <c r="V34">
        <v>6.2802820477475541E-4</v>
      </c>
      <c r="W34">
        <v>5.0738942513352064E-4</v>
      </c>
      <c r="X34">
        <v>4.0602721755021373E-4</v>
      </c>
      <c r="Y34">
        <v>3.2158282488980913E-4</v>
      </c>
      <c r="Z34">
        <v>2.5187655073545344E-4</v>
      </c>
      <c r="AA34">
        <v>1.9490691344305081E-4</v>
      </c>
      <c r="AB34">
        <v>1.4884868587165202E-4</v>
      </c>
      <c r="AC34">
        <v>1.120497948920737E-4</v>
      </c>
      <c r="AD34">
        <v>8.3027069174360945E-5</v>
      </c>
      <c r="AE34">
        <v>6.0460840437928155E-5</v>
      </c>
      <c r="AF34">
        <v>4.3188422315611003E-5</v>
      </c>
      <c r="AG34">
        <v>3.01965121511971E-5</v>
      </c>
      <c r="AH34">
        <v>2.0612584230086284E-5</v>
      </c>
      <c r="AI34">
        <v>1.3695367812470714E-5</v>
      </c>
      <c r="AJ34">
        <v>8.8245294127269604E-6</v>
      </c>
      <c r="AK34">
        <v>5.48970536703134E-6</v>
      </c>
      <c r="AL34">
        <v>3.2790569441734399E-6</v>
      </c>
      <c r="AM34">
        <v>1.8675449121286429E-6</v>
      </c>
      <c r="AN34">
        <v>1.005142118136623E-6</v>
      </c>
      <c r="AO34">
        <v>5.0521951394253083E-7</v>
      </c>
      <c r="AP34">
        <v>2.3335110532226818E-7</v>
      </c>
      <c r="AQ34">
        <v>9.6784213528475059E-8</v>
      </c>
      <c r="AR34">
        <v>3.4810726873547704E-8</v>
      </c>
      <c r="AS34">
        <v>1.025021659418875E-8</v>
      </c>
      <c r="AT34">
        <v>2.2147006391208834E-9</v>
      </c>
      <c r="AU34">
        <v>2.6600104252119046E-10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F34">
        <v>1.6878384006663888E-2</v>
      </c>
      <c r="BG34">
        <v>0.96790920449812579</v>
      </c>
      <c r="BH34">
        <v>1.4795918367346938E-2</v>
      </c>
      <c r="BI34">
        <v>0.9995835068721366</v>
      </c>
    </row>
    <row r="35" spans="3:61">
      <c r="C35" s="9">
        <v>40</v>
      </c>
      <c r="D35" s="34">
        <v>4</v>
      </c>
      <c r="E35">
        <v>5.6092002502063001E-4</v>
      </c>
      <c r="F35">
        <v>4.8570573500763918E-4</v>
      </c>
      <c r="G35">
        <v>4.1883702917974974E-4</v>
      </c>
      <c r="H35">
        <v>3.5960667009138207E-4</v>
      </c>
      <c r="I35">
        <v>3.0734493108004653E-4</v>
      </c>
      <c r="J35">
        <v>2.6141935799010277E-4</v>
      </c>
      <c r="K35">
        <v>2.2123443071508532E-4</v>
      </c>
      <c r="L35">
        <v>1.8623112366741683E-4</v>
      </c>
      <c r="M35">
        <v>1.5588636486489897E-4</v>
      </c>
      <c r="N35">
        <v>1.2971239395667835E-4</v>
      </c>
      <c r="O35">
        <v>1.0725602019655668E-4</v>
      </c>
      <c r="P35">
        <v>8.8097782106783058E-5</v>
      </c>
      <c r="Q35">
        <v>7.1851011358013922E-5</v>
      </c>
      <c r="R35">
        <v>5.8160804216943113E-5</v>
      </c>
      <c r="S35">
        <v>4.6702904776822231E-5</v>
      </c>
      <c r="T35">
        <v>3.7182505080822792E-5</v>
      </c>
      <c r="U35">
        <v>2.9332968165361785E-5</v>
      </c>
      <c r="V35">
        <v>2.2914480979697762E-5</v>
      </c>
      <c r="W35">
        <v>1.7712645066880556E-5</v>
      </c>
      <c r="X35">
        <v>1.3537013804943741E-5</v>
      </c>
      <c r="Y35">
        <v>1.0219585889265039E-5</v>
      </c>
      <c r="Z35">
        <v>7.6132655681827677E-6</v>
      </c>
      <c r="AA35">
        <v>5.590300902837551E-6</v>
      </c>
      <c r="AB35">
        <v>4.0407119851671534E-6</v>
      </c>
      <c r="AC35">
        <v>2.8707215893237916E-6</v>
      </c>
      <c r="AD35">
        <v>2.0012011240654734E-6</v>
      </c>
      <c r="AE35">
        <v>1.3661449681756725E-6</v>
      </c>
      <c r="AF35">
        <v>9.1118627835949322E-7</v>
      </c>
      <c r="AG35">
        <v>5.9216713031837502E-7</v>
      </c>
      <c r="AH35">
        <v>3.7377536127798569E-7</v>
      </c>
      <c r="AI35">
        <v>2.282597016018932E-7</v>
      </c>
      <c r="AJ35">
        <v>1.3423369462938842E-7</v>
      </c>
      <c r="AK35">
        <v>7.5577495079382232E-8</v>
      </c>
      <c r="AL35">
        <v>4.0444904715406871E-8</v>
      </c>
      <c r="AM35">
        <v>2.0380959952005065E-8</v>
      </c>
      <c r="AN35">
        <v>9.5530567048214384E-9</v>
      </c>
      <c r="AO35">
        <v>4.0960303047645029E-9</v>
      </c>
      <c r="AP35">
        <v>1.5688739751833524E-9</v>
      </c>
      <c r="AQ35">
        <v>5.1797687510467241E-10</v>
      </c>
      <c r="AR35">
        <v>1.390205579600769E-10</v>
      </c>
      <c r="AS35">
        <v>2.7149867294564188E-11</v>
      </c>
      <c r="AT35">
        <v>2.9177023972670023E-12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F35">
        <v>1.0968763015410247E-2</v>
      </c>
      <c r="BG35">
        <v>0.97931195335276966</v>
      </c>
      <c r="BH35">
        <v>9.3027905039566837E-3</v>
      </c>
      <c r="BI35">
        <v>0.9995835068721366</v>
      </c>
    </row>
    <row r="36" spans="3:61">
      <c r="C36" s="9">
        <v>30</v>
      </c>
      <c r="D36" s="34">
        <v>3</v>
      </c>
      <c r="E36">
        <v>1.832742516930552E-5</v>
      </c>
      <c r="F36">
        <v>1.543622185454384E-5</v>
      </c>
      <c r="G36">
        <v>1.2938708145964674E-5</v>
      </c>
      <c r="H36">
        <v>1.079066212459193E-5</v>
      </c>
      <c r="I36">
        <v>8.9516249271746051E-6</v>
      </c>
      <c r="J36">
        <v>7.3847066070211256E-6</v>
      </c>
      <c r="K36">
        <v>6.0563918880191941E-6</v>
      </c>
      <c r="L36">
        <v>4.9363464549222222E-6</v>
      </c>
      <c r="M36">
        <v>3.9972244326669522E-6</v>
      </c>
      <c r="N36">
        <v>3.2144777132419035E-6</v>
      </c>
      <c r="O36">
        <v>2.5661677900739959E-6</v>
      </c>
      <c r="P36">
        <v>2.0327807566688311E-6</v>
      </c>
      <c r="Q36">
        <v>1.5970461179699478E-6</v>
      </c>
      <c r="R36">
        <v>1.2437600492565151E-6</v>
      </c>
      <c r="S36">
        <v>9.5961371807019477E-7</v>
      </c>
      <c r="T36">
        <v>7.3302725938345722E-7</v>
      </c>
      <c r="U36">
        <v>5.5398996277824807E-7</v>
      </c>
      <c r="V36">
        <v>4.1390719264436349E-7</v>
      </c>
      <c r="W36">
        <v>3.0545451825768257E-7</v>
      </c>
      <c r="X36">
        <v>2.2243948007818672E-7</v>
      </c>
      <c r="Y36">
        <v>1.596713618428344E-7</v>
      </c>
      <c r="Z36">
        <v>1.1283927526892194E-7</v>
      </c>
      <c r="AA36">
        <v>7.8398795819563467E-8</v>
      </c>
      <c r="AB36">
        <v>5.3467314560316191E-8</v>
      </c>
      <c r="AC36">
        <v>3.5728193371651263E-8</v>
      </c>
      <c r="AD36">
        <v>2.3343729577016651E-8</v>
      </c>
      <c r="AE36">
        <v>1.487685249633906E-8</v>
      </c>
      <c r="AF36">
        <v>9.2213898364945193E-9</v>
      </c>
      <c r="AG36">
        <v>5.540657681424727E-9</v>
      </c>
      <c r="AH36">
        <v>3.2140458373277833E-9</v>
      </c>
      <c r="AI36">
        <v>1.7911922921958305E-9</v>
      </c>
      <c r="AJ36">
        <v>9.5326858155775567E-10</v>
      </c>
      <c r="AK36">
        <v>4.8083403521432701E-10</v>
      </c>
      <c r="AL36">
        <v>2.2766337646837864E-10</v>
      </c>
      <c r="AM36">
        <v>9.9911078249893947E-11</v>
      </c>
      <c r="AN36">
        <v>3.9949224734497467E-11</v>
      </c>
      <c r="AO36">
        <v>1.4205078996734313E-11</v>
      </c>
      <c r="AP36">
        <v>4.331377703866747E-12</v>
      </c>
      <c r="AQ36">
        <v>1.0672073419960921E-12</v>
      </c>
      <c r="AR36">
        <v>1.8999272091563287E-13</v>
      </c>
      <c r="AS36">
        <v>1.8457718330732404E-14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F36">
        <v>6.3261141191170355E-3</v>
      </c>
      <c r="BG36">
        <v>0.98818075801749261</v>
      </c>
      <c r="BH36">
        <v>5.0766347355268642E-3</v>
      </c>
      <c r="BI36">
        <v>0.99958350687213648</v>
      </c>
    </row>
    <row r="37" spans="3:61">
      <c r="C37" s="9">
        <v>20</v>
      </c>
      <c r="D37" s="34">
        <v>2</v>
      </c>
      <c r="E37">
        <v>2.4494201888384032E-7</v>
      </c>
      <c r="F37">
        <v>2.0049663631256895E-7</v>
      </c>
      <c r="G37">
        <v>1.6321583834135935E-7</v>
      </c>
      <c r="H37">
        <v>1.3210231106934428E-7</v>
      </c>
      <c r="I37">
        <v>1.0627327980416627E-7</v>
      </c>
      <c r="J37">
        <v>8.4950551388834183E-8</v>
      </c>
      <c r="K37">
        <v>6.7451078055291443E-8</v>
      </c>
      <c r="L37">
        <v>5.3178044074057238E-8</v>
      </c>
      <c r="M37">
        <v>4.1612474540651159E-8</v>
      </c>
      <c r="N37">
        <v>3.2305363683148249E-8</v>
      </c>
      <c r="O37">
        <v>2.4870318103757585E-8</v>
      </c>
      <c r="P37">
        <v>1.8976708394569845E-8</v>
      </c>
      <c r="Q37">
        <v>1.4343320608513923E-8</v>
      </c>
      <c r="R37">
        <v>1.0732497137119403E-8</v>
      </c>
      <c r="S37">
        <v>7.9447546639205478E-9</v>
      </c>
      <c r="T37">
        <v>5.8138650441631166E-9</v>
      </c>
      <c r="U37">
        <v>4.2023832265308527E-9</v>
      </c>
      <c r="V37">
        <v>2.9976047000876591E-9</v>
      </c>
      <c r="W37">
        <v>2.1079334390529864E-9</v>
      </c>
      <c r="X37">
        <v>1.4596399489624303E-9</v>
      </c>
      <c r="Y37">
        <v>9.9398780951732518E-10</v>
      </c>
      <c r="Z37">
        <v>6.6470608066521574E-10</v>
      </c>
      <c r="AA37">
        <v>4.3578410679290002E-10</v>
      </c>
      <c r="AB37">
        <v>2.795646354483845E-10</v>
      </c>
      <c r="AC37">
        <v>1.751107757931407E-10</v>
      </c>
      <c r="AD37">
        <v>1.0682216948167653E-10</v>
      </c>
      <c r="AE37">
        <v>6.327584114490865E-11</v>
      </c>
      <c r="AF37">
        <v>3.6267541590058346E-11</v>
      </c>
      <c r="AG37">
        <v>2.0029994277058573E-11</v>
      </c>
      <c r="AH37">
        <v>1.0605299624670282E-11</v>
      </c>
      <c r="AI37">
        <v>5.3498317004033113E-12</v>
      </c>
      <c r="AJ37">
        <v>2.5512612751678471E-12</v>
      </c>
      <c r="AK37">
        <v>1.1388351093337013E-12</v>
      </c>
      <c r="AL37">
        <v>4.6970416988266046E-13</v>
      </c>
      <c r="AM37">
        <v>1.7588728790497006E-13</v>
      </c>
      <c r="AN37">
        <v>5.8339523313535756E-14</v>
      </c>
      <c r="AO37">
        <v>1.6518916286287475E-14</v>
      </c>
      <c r="AP37">
        <v>3.7600783831987525E-15</v>
      </c>
      <c r="AQ37">
        <v>6.1472128454287199E-16</v>
      </c>
      <c r="AR37">
        <v>5.4458340964143418E-17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F37">
        <v>2.9504373177842566E-3</v>
      </c>
      <c r="BG37">
        <v>0.99451561849229475</v>
      </c>
      <c r="BH37">
        <v>2.1174510620574761E-3</v>
      </c>
      <c r="BI37">
        <v>0.99958350687213648</v>
      </c>
    </row>
    <row r="38" spans="3:61">
      <c r="C38" s="9">
        <v>10</v>
      </c>
      <c r="D38" s="34">
        <v>1</v>
      </c>
      <c r="E38">
        <v>8.1826784128969142E-10</v>
      </c>
      <c r="F38">
        <v>6.5059854404993627E-10</v>
      </c>
      <c r="G38">
        <v>5.1407988582862513E-10</v>
      </c>
      <c r="H38">
        <v>4.0356444927419841E-10</v>
      </c>
      <c r="I38">
        <v>3.146404501969289E-10</v>
      </c>
      <c r="J38">
        <v>2.4354479993641623E-10</v>
      </c>
      <c r="K38">
        <v>1.8708397723180439E-10</v>
      </c>
      <c r="L38">
        <v>1.4256228196734889E-10</v>
      </c>
      <c r="M38">
        <v>1.0771704300073204E-10</v>
      </c>
      <c r="N38">
        <v>8.066035376552907E-11</v>
      </c>
      <c r="O38">
        <v>5.9826912487970674E-11</v>
      </c>
      <c r="P38">
        <v>4.3927548675526195E-11</v>
      </c>
      <c r="Q38">
        <v>3.1908024012156976E-11</v>
      </c>
      <c r="R38">
        <v>2.2912703910152196E-11</v>
      </c>
      <c r="S38">
        <v>1.6252705684660304E-11</v>
      </c>
      <c r="T38">
        <v>1.1378140582611683E-11</v>
      </c>
      <c r="U38">
        <v>7.8540796451301181E-12</v>
      </c>
      <c r="V38">
        <v>5.3398875278917095E-12</v>
      </c>
      <c r="W38">
        <v>3.5715838467515533E-12</v>
      </c>
      <c r="X38">
        <v>2.346908239192096E-12</v>
      </c>
      <c r="Y38">
        <v>1.5127830021492695E-12</v>
      </c>
      <c r="Z38">
        <v>9.5488573397447742E-13</v>
      </c>
      <c r="AA38">
        <v>5.8906370801835881E-13</v>
      </c>
      <c r="AB38">
        <v>3.5434155905564242E-13</v>
      </c>
      <c r="AC38">
        <v>2.072940808369025E-13</v>
      </c>
      <c r="AD38">
        <v>1.1757631279602507E-13</v>
      </c>
      <c r="AE38">
        <v>6.4423428391067261E-14</v>
      </c>
      <c r="AF38">
        <v>3.3953014618297272E-14</v>
      </c>
      <c r="AG38">
        <v>1.7121939418461388E-14</v>
      </c>
      <c r="AH38">
        <v>8.2089323226636238E-15</v>
      </c>
      <c r="AI38">
        <v>3.7120536280570082E-15</v>
      </c>
      <c r="AJ38">
        <v>1.5672121596835061E-15</v>
      </c>
      <c r="AK38">
        <v>6.0964382331133376E-16</v>
      </c>
      <c r="AL38">
        <v>2.1463984451861716E-16</v>
      </c>
      <c r="AM38">
        <v>6.6702068969608696E-17</v>
      </c>
      <c r="AN38">
        <v>1.7625461513874968E-17</v>
      </c>
      <c r="AO38">
        <v>3.7272256252411654E-18</v>
      </c>
      <c r="AP38">
        <v>5.6319314471065442E-19</v>
      </c>
      <c r="AQ38">
        <v>4.5839361552908724E-20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F38">
        <v>8.4173261141191164E-4</v>
      </c>
      <c r="BG38">
        <v>0.99831653477717619</v>
      </c>
      <c r="BH38">
        <v>4.2523948354852148E-4</v>
      </c>
      <c r="BI38">
        <v>0.99958350687213671</v>
      </c>
    </row>
    <row r="39" spans="3:61">
      <c r="C39" s="9">
        <v>0</v>
      </c>
      <c r="D39" s="34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F39">
        <v>0</v>
      </c>
      <c r="BG39">
        <v>0.9995835068721366</v>
      </c>
      <c r="BH39">
        <v>0</v>
      </c>
      <c r="BI39">
        <v>0.9995835068721366</v>
      </c>
    </row>
    <row r="40" spans="3:61">
      <c r="D40" s="11" t="s">
        <v>52</v>
      </c>
      <c r="E40" s="35">
        <v>0</v>
      </c>
      <c r="F40" s="35">
        <v>1</v>
      </c>
      <c r="G40" s="35">
        <v>2</v>
      </c>
      <c r="H40" s="35">
        <v>3</v>
      </c>
      <c r="I40" s="35">
        <v>4</v>
      </c>
      <c r="J40" s="35">
        <v>5</v>
      </c>
      <c r="K40" s="35">
        <v>6</v>
      </c>
      <c r="L40" s="35">
        <v>7</v>
      </c>
      <c r="M40" s="35">
        <v>8</v>
      </c>
      <c r="N40" s="35">
        <v>9</v>
      </c>
      <c r="O40" s="35">
        <v>10</v>
      </c>
      <c r="P40" s="35">
        <v>11</v>
      </c>
      <c r="Q40" s="35">
        <v>12</v>
      </c>
      <c r="R40" s="35">
        <v>13</v>
      </c>
      <c r="S40" s="35">
        <v>14</v>
      </c>
      <c r="T40" s="35">
        <v>15</v>
      </c>
      <c r="U40" s="35">
        <v>16</v>
      </c>
      <c r="V40" s="35">
        <v>17</v>
      </c>
      <c r="W40" s="35">
        <v>18</v>
      </c>
      <c r="X40" s="35">
        <v>19</v>
      </c>
      <c r="Y40" s="35">
        <v>20</v>
      </c>
      <c r="Z40" s="35">
        <v>21</v>
      </c>
      <c r="AA40" s="35">
        <v>22</v>
      </c>
      <c r="AB40" s="35">
        <v>23</v>
      </c>
      <c r="AC40" s="35">
        <v>24</v>
      </c>
      <c r="AD40" s="35">
        <v>25</v>
      </c>
      <c r="AE40" s="35">
        <v>26</v>
      </c>
      <c r="AF40" s="35">
        <v>27</v>
      </c>
      <c r="AG40" s="35">
        <v>28</v>
      </c>
      <c r="AH40" s="35">
        <v>29</v>
      </c>
      <c r="AI40" s="35">
        <v>30</v>
      </c>
      <c r="AJ40" s="35">
        <v>31</v>
      </c>
      <c r="AK40" s="35">
        <v>32</v>
      </c>
      <c r="AL40" s="35">
        <v>33</v>
      </c>
      <c r="AM40" s="35">
        <v>34</v>
      </c>
      <c r="AN40" s="35">
        <v>35</v>
      </c>
      <c r="AO40" s="35">
        <v>36</v>
      </c>
      <c r="AP40" s="35">
        <v>37</v>
      </c>
      <c r="AQ40" s="35">
        <v>38</v>
      </c>
      <c r="AR40" s="35">
        <v>39</v>
      </c>
      <c r="AS40" s="35">
        <v>40</v>
      </c>
      <c r="AT40" s="35">
        <v>41</v>
      </c>
      <c r="AU40" s="35">
        <v>42</v>
      </c>
      <c r="AV40" s="35">
        <v>43</v>
      </c>
      <c r="AW40" s="35">
        <v>44</v>
      </c>
      <c r="AX40" s="35">
        <v>45</v>
      </c>
      <c r="AY40" s="35">
        <v>46</v>
      </c>
      <c r="AZ40" s="35">
        <v>47</v>
      </c>
      <c r="BA40" s="35">
        <v>48</v>
      </c>
      <c r="BB40" s="35">
        <v>49</v>
      </c>
      <c r="BC40" s="35">
        <v>50</v>
      </c>
    </row>
    <row r="41" spans="3:61">
      <c r="E41" s="36">
        <v>0</v>
      </c>
      <c r="F41" s="36">
        <v>8.3333333333333332E-3</v>
      </c>
      <c r="G41" s="36">
        <v>1.6666666666666666E-2</v>
      </c>
      <c r="H41" s="36">
        <v>2.5000000000000001E-2</v>
      </c>
      <c r="I41" s="36">
        <v>3.3333333333333333E-2</v>
      </c>
      <c r="J41" s="36">
        <v>4.1666666666666664E-2</v>
      </c>
      <c r="K41" s="36">
        <v>0.05</v>
      </c>
      <c r="L41" s="36">
        <v>5.8333333333333334E-2</v>
      </c>
      <c r="M41" s="36">
        <v>6.6666666666666666E-2</v>
      </c>
      <c r="N41" s="36">
        <v>7.4999999999999997E-2</v>
      </c>
      <c r="O41" s="36">
        <v>8.3333333333333329E-2</v>
      </c>
      <c r="P41" s="36">
        <v>9.166666666666666E-2</v>
      </c>
      <c r="Q41" s="36">
        <v>0.1</v>
      </c>
      <c r="R41" s="36">
        <v>0.10833333333333334</v>
      </c>
      <c r="S41" s="36">
        <v>0.11666666666666667</v>
      </c>
      <c r="T41" s="36">
        <v>0.125</v>
      </c>
      <c r="U41" s="36">
        <v>0.13333333333333333</v>
      </c>
      <c r="V41" s="36">
        <v>0.14166666666666666</v>
      </c>
      <c r="W41" s="36">
        <v>0.15</v>
      </c>
      <c r="X41" s="36">
        <v>0.15833333333333333</v>
      </c>
      <c r="Y41" s="36">
        <v>0.16666666666666666</v>
      </c>
      <c r="Z41" s="36">
        <v>0.17499999999999999</v>
      </c>
      <c r="AA41" s="36">
        <v>0.18333333333333332</v>
      </c>
      <c r="AB41" s="36">
        <v>0.19166666666666665</v>
      </c>
      <c r="AC41" s="36">
        <v>0.2</v>
      </c>
      <c r="AD41" s="36">
        <v>0.20833333333333334</v>
      </c>
      <c r="AE41" s="36">
        <v>0.21666666666666667</v>
      </c>
      <c r="AF41" s="36">
        <v>0.22500000000000001</v>
      </c>
      <c r="AG41" s="36">
        <v>0.23333333333333334</v>
      </c>
      <c r="AH41" s="36">
        <v>0.24166666666666667</v>
      </c>
      <c r="AI41" s="36">
        <v>0.25</v>
      </c>
      <c r="AJ41" s="36">
        <v>0.2583333333333333</v>
      </c>
      <c r="AK41" s="36">
        <v>0.26666666666666666</v>
      </c>
      <c r="AL41" s="36">
        <v>0.27500000000000002</v>
      </c>
      <c r="AM41" s="36">
        <v>0.28333333333333333</v>
      </c>
      <c r="AN41" s="36">
        <v>0.29166666666666669</v>
      </c>
      <c r="AO41" s="36">
        <v>0.3</v>
      </c>
      <c r="AP41" s="36">
        <v>0.30833333333333335</v>
      </c>
      <c r="AQ41" s="36">
        <v>0.31666666666666665</v>
      </c>
      <c r="AR41" s="36">
        <v>0.32500000000000001</v>
      </c>
      <c r="AS41" s="36">
        <v>0.33333333333333331</v>
      </c>
      <c r="AT41" s="36">
        <v>0.34166666666666667</v>
      </c>
      <c r="AU41" s="36">
        <v>0.35</v>
      </c>
      <c r="AV41" s="36">
        <v>0.35833333333333334</v>
      </c>
      <c r="AW41" s="36">
        <v>0.36666666666666664</v>
      </c>
      <c r="AX41" s="36">
        <v>0.375</v>
      </c>
      <c r="AY41" s="36">
        <v>0.3833333333333333</v>
      </c>
      <c r="AZ41" s="36">
        <v>0.39166666666666666</v>
      </c>
      <c r="BA41" s="36">
        <v>0.4</v>
      </c>
      <c r="BB41" s="36">
        <v>0.40833333333333333</v>
      </c>
      <c r="BC41" s="36">
        <v>0.41666666666666669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V31"/>
  <sheetViews>
    <sheetView topLeftCell="A4" zoomScaleNormal="100" workbookViewId="0">
      <selection activeCell="G20" sqref="G20"/>
    </sheetView>
  </sheetViews>
  <sheetFormatPr defaultRowHeight="15"/>
  <cols>
    <col min="6" max="6" width="10" customWidth="1"/>
    <col min="7" max="7" width="12.28515625" customWidth="1"/>
    <col min="8" max="12" width="9.28515625" bestFit="1" customWidth="1"/>
    <col min="13" max="13" width="9.28515625" customWidth="1"/>
    <col min="14" max="16" width="9.28515625" bestFit="1" customWidth="1"/>
  </cols>
  <sheetData>
    <row r="1" spans="1:22">
      <c r="A1" s="12" t="s">
        <v>40</v>
      </c>
      <c r="B1" s="13">
        <v>120</v>
      </c>
    </row>
    <row r="2" spans="1:22">
      <c r="A2" s="12" t="s">
        <v>19</v>
      </c>
      <c r="B2" s="13">
        <v>125</v>
      </c>
    </row>
    <row r="3" spans="1:22">
      <c r="A3" s="12" t="s">
        <v>15</v>
      </c>
      <c r="B3" s="13">
        <f>5/12</f>
        <v>0.41666666666666669</v>
      </c>
    </row>
    <row r="4" spans="1:22">
      <c r="A4" s="12" t="s">
        <v>13</v>
      </c>
      <c r="B4" s="13">
        <v>0.05</v>
      </c>
      <c r="D4" s="14" t="s">
        <v>41</v>
      </c>
      <c r="E4" s="15" t="s">
        <v>0</v>
      </c>
      <c r="R4" s="16" t="s">
        <v>42</v>
      </c>
      <c r="S4" s="17" t="s">
        <v>43</v>
      </c>
      <c r="T4" s="18" t="s">
        <v>44</v>
      </c>
      <c r="V4" s="19" t="s">
        <v>45</v>
      </c>
    </row>
    <row r="5" spans="1:22">
      <c r="A5" s="12" t="s">
        <v>12</v>
      </c>
      <c r="B5" s="13">
        <v>0.39</v>
      </c>
      <c r="D5" s="20">
        <f>($B$8-E$29)*$B$10</f>
        <v>240</v>
      </c>
      <c r="E5" s="21">
        <v>24</v>
      </c>
      <c r="F5" s="22">
        <f t="shared" ref="F5:O5" si="0">($B$10*$E$5-$B$2)*$B$11</f>
        <v>426.65</v>
      </c>
      <c r="G5" s="22">
        <f t="shared" si="0"/>
        <v>426.65</v>
      </c>
      <c r="H5" s="22">
        <f t="shared" si="0"/>
        <v>426.65</v>
      </c>
      <c r="I5" s="22">
        <f t="shared" si="0"/>
        <v>426.65</v>
      </c>
      <c r="J5" s="22">
        <f t="shared" si="0"/>
        <v>426.65</v>
      </c>
      <c r="K5" s="22">
        <f t="shared" si="0"/>
        <v>426.65</v>
      </c>
      <c r="L5" s="22">
        <f t="shared" si="0"/>
        <v>426.65</v>
      </c>
      <c r="M5" s="22">
        <f t="shared" si="0"/>
        <v>426.65</v>
      </c>
      <c r="N5" s="22">
        <f t="shared" si="0"/>
        <v>426.65</v>
      </c>
      <c r="O5" s="22">
        <f t="shared" si="0"/>
        <v>426.65</v>
      </c>
      <c r="P5" s="22">
        <f>MAX(($B$10*E5-$B$2)*$B$11,0)</f>
        <v>426.65</v>
      </c>
      <c r="R5" s="23">
        <f>(($B$5^2)*($E5^2)*$B$9+($E5*$B$9)*$B$4)/(2*($B$4*$B$9+1))</f>
        <v>1.8463534303534301</v>
      </c>
      <c r="S5" s="24">
        <f>(1-($B$5^2)*($E5^2)*$B$9)/($B$4*$B$9+1)</f>
        <v>-2.6448898128898128</v>
      </c>
      <c r="T5" s="25">
        <f>(($E5^2)*($B$5^2)*$B$9-($E5*$B$9*$B$4))/(2*($B$4*$B$9+1))</f>
        <v>1.7964573804573805</v>
      </c>
      <c r="V5" s="26">
        <f>SUM(R5,S5,T5)</f>
        <v>0.99792099792099775</v>
      </c>
    </row>
    <row r="6" spans="1:22">
      <c r="A6" s="12" t="s">
        <v>46</v>
      </c>
      <c r="B6" s="13">
        <v>240</v>
      </c>
      <c r="D6" s="20">
        <f>($B$8-E$28)*$B$10</f>
        <v>230</v>
      </c>
      <c r="E6" s="21">
        <v>23</v>
      </c>
      <c r="F6" s="27">
        <f t="shared" ref="F6:O21" si="1">G5*$R6+G6*$S6+G7*$T6</f>
        <v>-41233.805079315403</v>
      </c>
      <c r="G6" s="27">
        <f t="shared" si="1"/>
        <v>10002.978174602096</v>
      </c>
      <c r="H6" s="27">
        <f t="shared" si="1"/>
        <v>-1846.436718015553</v>
      </c>
      <c r="I6" s="27">
        <f t="shared" si="1"/>
        <v>919.13201909349687</v>
      </c>
      <c r="J6" s="27">
        <f t="shared" si="1"/>
        <v>264.73692513553067</v>
      </c>
      <c r="K6" s="27">
        <f t="shared" si="1"/>
        <v>422.42353883109581</v>
      </c>
      <c r="L6" s="27">
        <f t="shared" si="1"/>
        <v>382.96425096910809</v>
      </c>
      <c r="M6" s="27">
        <f t="shared" si="1"/>
        <v>393.00849902610923</v>
      </c>
      <c r="N6" s="27">
        <f t="shared" si="1"/>
        <v>389.8404257902157</v>
      </c>
      <c r="O6" s="27">
        <f>P5*$R6+P6*$S6+P7*$T6</f>
        <v>390.51413721413712</v>
      </c>
      <c r="P6" s="22">
        <f t="shared" ref="P6:P28" si="2">MAX(($B$10*E6-$B$2)*$B$11,0)</f>
        <v>389.55</v>
      </c>
      <c r="R6" s="23">
        <f t="shared" ref="R6:R29" si="3">(($B$5^2)*($E6^2)*$B$9+($E6*$B$9)*$B$4)/(2*($B$4*$B$9+1))</f>
        <v>1.6966923076923079</v>
      </c>
      <c r="S6" s="24">
        <f t="shared" ref="S6:S29" si="4">(1-($B$5^2)*($E6^2)*$B$9)/($B$4*$B$9+1)</f>
        <v>-2.34764656964657</v>
      </c>
      <c r="T6" s="25">
        <f t="shared" ref="T6:T29" si="5">(($E6^2)*($B$5^2)*$B$9-($E6*$B$9*$B$4))/(2*($B$4*$B$9+1))</f>
        <v>1.6488752598752601</v>
      </c>
      <c r="V6" s="26">
        <f t="shared" ref="V6:V28" si="6">SUM(R6,S6,T6)</f>
        <v>0.99792099792099798</v>
      </c>
    </row>
    <row r="7" spans="1:22">
      <c r="A7" s="12" t="s">
        <v>11</v>
      </c>
      <c r="B7" s="13">
        <v>10</v>
      </c>
      <c r="D7" s="20">
        <f>($B$8-E27)*$B$10</f>
        <v>220</v>
      </c>
      <c r="E7" s="21">
        <v>22</v>
      </c>
      <c r="F7" s="27">
        <f t="shared" si="1"/>
        <v>51092.117046315951</v>
      </c>
      <c r="G7" s="27">
        <f t="shared" si="1"/>
        <v>-11204.147399200965</v>
      </c>
      <c r="H7" s="27">
        <f t="shared" si="1"/>
        <v>2998.5916428757218</v>
      </c>
      <c r="I7" s="27">
        <f t="shared" si="1"/>
        <v>-250.19076303353057</v>
      </c>
      <c r="J7" s="27">
        <f t="shared" si="1"/>
        <v>495.33582075309403</v>
      </c>
      <c r="K7" s="27">
        <f t="shared" si="1"/>
        <v>322.97429459502115</v>
      </c>
      <c r="L7" s="27">
        <f t="shared" si="1"/>
        <v>362.42552143348695</v>
      </c>
      <c r="M7" s="27">
        <f t="shared" si="1"/>
        <v>352.79535488741908</v>
      </c>
      <c r="N7" s="27">
        <f t="shared" si="1"/>
        <v>354.37626998500122</v>
      </c>
      <c r="O7" s="27">
        <f t="shared" si="1"/>
        <v>353.41413721413733</v>
      </c>
      <c r="P7" s="22">
        <f t="shared" si="2"/>
        <v>352.45</v>
      </c>
      <c r="R7" s="23">
        <f t="shared" si="3"/>
        <v>1.5533555093555096</v>
      </c>
      <c r="S7" s="24">
        <f t="shared" si="4"/>
        <v>-2.0630519750519754</v>
      </c>
      <c r="T7" s="25">
        <f t="shared" si="5"/>
        <v>1.5076174636174637</v>
      </c>
      <c r="V7" s="26">
        <f t="shared" si="6"/>
        <v>0.99792099792099798</v>
      </c>
    </row>
    <row r="8" spans="1:22">
      <c r="A8" s="12" t="s">
        <v>47</v>
      </c>
      <c r="B8" s="13">
        <v>24</v>
      </c>
      <c r="D8" s="20">
        <f>($B$8-E26)*$B$10</f>
        <v>210</v>
      </c>
      <c r="E8" s="21">
        <v>21</v>
      </c>
      <c r="F8" s="27">
        <f t="shared" si="1"/>
        <v>-35373.484637369715</v>
      </c>
      <c r="G8" s="27">
        <f t="shared" si="1"/>
        <v>8250.8976370521341</v>
      </c>
      <c r="H8" s="27">
        <f t="shared" si="1"/>
        <v>-1425.9083562403976</v>
      </c>
      <c r="I8" s="27">
        <f t="shared" si="1"/>
        <v>699.57819860019413</v>
      </c>
      <c r="J8" s="27">
        <f t="shared" si="1"/>
        <v>239.10721903622419</v>
      </c>
      <c r="K8" s="27">
        <f t="shared" si="1"/>
        <v>335.28043948945265</v>
      </c>
      <c r="L8" s="27">
        <f t="shared" si="1"/>
        <v>315.59554379722624</v>
      </c>
      <c r="M8" s="27">
        <f t="shared" si="1"/>
        <v>318.23640247983377</v>
      </c>
      <c r="N8" s="27">
        <f t="shared" si="1"/>
        <v>317.27626998500216</v>
      </c>
      <c r="O8" s="27">
        <f t="shared" si="1"/>
        <v>316.31413721413713</v>
      </c>
      <c r="P8" s="22">
        <f t="shared" si="2"/>
        <v>315.35000000000002</v>
      </c>
      <c r="R8" s="23">
        <f t="shared" si="3"/>
        <v>1.4163430353430357</v>
      </c>
      <c r="S8" s="24">
        <f t="shared" si="4"/>
        <v>-1.7911060291060297</v>
      </c>
      <c r="T8" s="25">
        <f t="shared" si="5"/>
        <v>1.3726839916839919</v>
      </c>
      <c r="V8" s="26">
        <f t="shared" si="6"/>
        <v>0.99792099792099798</v>
      </c>
    </row>
    <row r="9" spans="1:22">
      <c r="A9" s="12" t="s">
        <v>48</v>
      </c>
      <c r="B9" s="28">
        <f>B3/B7</f>
        <v>4.1666666666666671E-2</v>
      </c>
      <c r="D9" s="20">
        <f>($B$8-E25)*$B$10</f>
        <v>200</v>
      </c>
      <c r="E9" s="21">
        <v>20</v>
      </c>
      <c r="F9" s="27">
        <f t="shared" si="1"/>
        <v>17787.697209995724</v>
      </c>
      <c r="G9" s="27">
        <f t="shared" si="1"/>
        <v>-3443.1347833346986</v>
      </c>
      <c r="H9" s="27">
        <f t="shared" si="1"/>
        <v>1056.2592721968708</v>
      </c>
      <c r="I9" s="27">
        <f t="shared" si="1"/>
        <v>132.19817447614122</v>
      </c>
      <c r="J9" s="27">
        <f t="shared" si="1"/>
        <v>310.54426431842211</v>
      </c>
      <c r="K9" s="27">
        <f t="shared" si="1"/>
        <v>278.42361768476002</v>
      </c>
      <c r="L9" s="27">
        <f t="shared" si="1"/>
        <v>282.0945388572124</v>
      </c>
      <c r="M9" s="27">
        <f t="shared" si="1"/>
        <v>281.13640247983625</v>
      </c>
      <c r="N9" s="27">
        <f t="shared" si="1"/>
        <v>280.17626998500157</v>
      </c>
      <c r="O9" s="27">
        <f t="shared" si="1"/>
        <v>279.21413721413722</v>
      </c>
      <c r="P9" s="22">
        <f t="shared" si="2"/>
        <v>278.25</v>
      </c>
      <c r="R9" s="23">
        <f t="shared" si="3"/>
        <v>1.2856548856548857</v>
      </c>
      <c r="S9" s="24">
        <f t="shared" si="4"/>
        <v>-1.5318087318087323</v>
      </c>
      <c r="T9" s="25">
        <f t="shared" si="5"/>
        <v>1.2440748440748444</v>
      </c>
      <c r="V9" s="26">
        <f t="shared" si="6"/>
        <v>0.99792099792099775</v>
      </c>
    </row>
    <row r="10" spans="1:22">
      <c r="A10" s="12" t="s">
        <v>49</v>
      </c>
      <c r="B10" s="28">
        <f>B6/B8</f>
        <v>10</v>
      </c>
      <c r="D10" s="20">
        <v>190</v>
      </c>
      <c r="E10" s="21">
        <v>19</v>
      </c>
      <c r="F10" s="27">
        <f t="shared" si="1"/>
        <v>-6121.2959556427713</v>
      </c>
      <c r="G10" s="27">
        <f t="shared" si="1"/>
        <v>1531.7940355847181</v>
      </c>
      <c r="H10" s="27">
        <f t="shared" si="1"/>
        <v>6.4935301967354633</v>
      </c>
      <c r="I10" s="27">
        <f t="shared" si="1"/>
        <v>288.84553286489916</v>
      </c>
      <c r="J10" s="27">
        <f t="shared" si="1"/>
        <v>241.53146995460619</v>
      </c>
      <c r="K10" s="27">
        <f t="shared" si="1"/>
        <v>245.95068326707005</v>
      </c>
      <c r="L10" s="27">
        <f t="shared" si="1"/>
        <v>244.99453885721755</v>
      </c>
      <c r="M10" s="27">
        <f t="shared" si="1"/>
        <v>244.03640247983512</v>
      </c>
      <c r="N10" s="27">
        <f t="shared" si="1"/>
        <v>243.07626998500183</v>
      </c>
      <c r="O10" s="27">
        <f t="shared" si="1"/>
        <v>242.11413721413717</v>
      </c>
      <c r="P10" s="22">
        <f t="shared" si="2"/>
        <v>241.15</v>
      </c>
      <c r="R10" s="23">
        <f t="shared" si="3"/>
        <v>1.1612910602910604</v>
      </c>
      <c r="S10" s="24">
        <f t="shared" si="4"/>
        <v>-1.2851600831600836</v>
      </c>
      <c r="T10" s="25">
        <f t="shared" si="5"/>
        <v>1.1217900207900211</v>
      </c>
      <c r="V10" s="26">
        <f t="shared" si="6"/>
        <v>0.99792099792099798</v>
      </c>
    </row>
    <row r="11" spans="1:22">
      <c r="A11" s="12" t="s">
        <v>17</v>
      </c>
      <c r="B11" s="13">
        <v>3.71</v>
      </c>
      <c r="D11" s="20">
        <v>180</v>
      </c>
      <c r="E11" s="21">
        <v>18</v>
      </c>
      <c r="F11" s="27">
        <f t="shared" si="1"/>
        <v>2030.4987286109074</v>
      </c>
      <c r="G11" s="27">
        <f t="shared" si="1"/>
        <v>-137.47114822273693</v>
      </c>
      <c r="H11" s="27">
        <f t="shared" si="1"/>
        <v>279.47726885624854</v>
      </c>
      <c r="I11" s="27">
        <f t="shared" si="1"/>
        <v>199.84642123129638</v>
      </c>
      <c r="J11" s="27">
        <f t="shared" si="1"/>
        <v>212.71347977569121</v>
      </c>
      <c r="K11" s="27">
        <f t="shared" si="1"/>
        <v>208.85068326707795</v>
      </c>
      <c r="L11" s="27">
        <f t="shared" si="1"/>
        <v>207.89453885721596</v>
      </c>
      <c r="M11" s="27">
        <f t="shared" si="1"/>
        <v>206.93640247983541</v>
      </c>
      <c r="N11" s="27">
        <f t="shared" si="1"/>
        <v>205.97626998500178</v>
      </c>
      <c r="O11" s="27">
        <f t="shared" si="1"/>
        <v>205.01413721413715</v>
      </c>
      <c r="P11" s="22">
        <f t="shared" si="2"/>
        <v>204.05</v>
      </c>
      <c r="R11" s="23">
        <f t="shared" si="3"/>
        <v>1.0432515592515594</v>
      </c>
      <c r="S11" s="24">
        <f t="shared" si="4"/>
        <v>-1.0511600831600836</v>
      </c>
      <c r="T11" s="25">
        <f t="shared" si="5"/>
        <v>1.0058295218295219</v>
      </c>
      <c r="V11" s="26">
        <f t="shared" si="6"/>
        <v>0.99792099792099775</v>
      </c>
    </row>
    <row r="12" spans="1:22">
      <c r="D12" s="20">
        <v>170</v>
      </c>
      <c r="E12" s="21">
        <v>17</v>
      </c>
      <c r="F12" s="27">
        <f t="shared" si="1"/>
        <v>-278.86124312473964</v>
      </c>
      <c r="G12" s="27">
        <f t="shared" si="1"/>
        <v>286.27915833414113</v>
      </c>
      <c r="H12" s="27">
        <f t="shared" si="1"/>
        <v>148.66318019258017</v>
      </c>
      <c r="I12" s="27">
        <f t="shared" si="1"/>
        <v>187.1184857752954</v>
      </c>
      <c r="J12" s="27">
        <f t="shared" si="1"/>
        <v>170.47049620420677</v>
      </c>
      <c r="K12" s="27">
        <f t="shared" si="1"/>
        <v>174.6424654844925</v>
      </c>
      <c r="L12" s="27">
        <f t="shared" si="1"/>
        <v>170.79453885721608</v>
      </c>
      <c r="M12" s="27">
        <f t="shared" si="1"/>
        <v>169.8364024798355</v>
      </c>
      <c r="N12" s="27">
        <f t="shared" si="1"/>
        <v>168.87626998500173</v>
      </c>
      <c r="O12" s="27">
        <f t="shared" si="1"/>
        <v>167.91413721413721</v>
      </c>
      <c r="P12" s="22">
        <f t="shared" si="2"/>
        <v>166.95</v>
      </c>
      <c r="R12" s="23">
        <f t="shared" si="3"/>
        <v>0.93153638253638271</v>
      </c>
      <c r="S12" s="24">
        <f t="shared" si="4"/>
        <v>-0.82980873180873216</v>
      </c>
      <c r="T12" s="25">
        <f t="shared" si="5"/>
        <v>0.89619334719334731</v>
      </c>
      <c r="V12" s="26">
        <f t="shared" si="6"/>
        <v>0.99792099792099787</v>
      </c>
    </row>
    <row r="13" spans="1:22">
      <c r="D13" s="20">
        <v>160</v>
      </c>
      <c r="E13" s="21">
        <v>16</v>
      </c>
      <c r="F13" s="27">
        <f t="shared" si="1"/>
        <v>289.53850670212722</v>
      </c>
      <c r="G13" s="27">
        <f t="shared" si="1"/>
        <v>96.803974930199615</v>
      </c>
      <c r="H13" s="27">
        <f t="shared" si="1"/>
        <v>166.59119351026754</v>
      </c>
      <c r="I13" s="27">
        <f t="shared" si="1"/>
        <v>131.41307246247166</v>
      </c>
      <c r="J13" s="27">
        <f t="shared" si="1"/>
        <v>145.53337958020083</v>
      </c>
      <c r="K13" s="27">
        <f t="shared" si="1"/>
        <v>134.83511053213405</v>
      </c>
      <c r="L13" s="27">
        <f t="shared" si="1"/>
        <v>136.92127807199893</v>
      </c>
      <c r="M13" s="27">
        <f t="shared" si="1"/>
        <v>132.73640247983536</v>
      </c>
      <c r="N13" s="27">
        <f t="shared" si="1"/>
        <v>131.77626998500179</v>
      </c>
      <c r="O13" s="27">
        <f t="shared" si="1"/>
        <v>130.81413721413719</v>
      </c>
      <c r="P13" s="22">
        <f t="shared" si="2"/>
        <v>129.85</v>
      </c>
      <c r="R13" s="23">
        <f t="shared" si="3"/>
        <v>0.82614553014553027</v>
      </c>
      <c r="S13" s="24">
        <f t="shared" si="4"/>
        <v>-0.6211060291060293</v>
      </c>
      <c r="T13" s="25">
        <f t="shared" si="5"/>
        <v>0.79288149688149689</v>
      </c>
      <c r="V13" s="26">
        <f t="shared" si="6"/>
        <v>0.99792099792099787</v>
      </c>
    </row>
    <row r="14" spans="1:22">
      <c r="D14" s="20">
        <v>150</v>
      </c>
      <c r="E14" s="21">
        <v>15</v>
      </c>
      <c r="F14" s="27">
        <f t="shared" si="1"/>
        <v>60.312991651131796</v>
      </c>
      <c r="G14" s="27">
        <f t="shared" si="1"/>
        <v>142.71463337987319</v>
      </c>
      <c r="H14" s="27">
        <f t="shared" si="1"/>
        <v>97.69095143060585</v>
      </c>
      <c r="I14" s="27">
        <f t="shared" si="1"/>
        <v>118.08264520919838</v>
      </c>
      <c r="J14" s="27">
        <f t="shared" si="1"/>
        <v>102.12281887468052</v>
      </c>
      <c r="K14" s="27">
        <f t="shared" si="1"/>
        <v>107.20415064242903</v>
      </c>
      <c r="L14" s="27">
        <f t="shared" si="1"/>
        <v>99.354818236064176</v>
      </c>
      <c r="M14" s="27">
        <f t="shared" si="1"/>
        <v>99.706038645484128</v>
      </c>
      <c r="N14" s="27">
        <f t="shared" si="1"/>
        <v>94.676269985001767</v>
      </c>
      <c r="O14" s="27">
        <f t="shared" si="1"/>
        <v>93.714137214137196</v>
      </c>
      <c r="P14" s="22">
        <f t="shared" si="2"/>
        <v>92.75</v>
      </c>
      <c r="R14" s="23">
        <f t="shared" si="3"/>
        <v>0.72707900207900211</v>
      </c>
      <c r="S14" s="24">
        <f t="shared" si="4"/>
        <v>-0.42505197505197528</v>
      </c>
      <c r="T14" s="25">
        <f t="shared" si="5"/>
        <v>0.69589397089397098</v>
      </c>
      <c r="V14" s="26">
        <f t="shared" si="6"/>
        <v>0.99792099792099775</v>
      </c>
    </row>
    <row r="15" spans="1:22">
      <c r="D15" s="20">
        <v>140</v>
      </c>
      <c r="E15" s="21">
        <v>14</v>
      </c>
      <c r="F15" s="27">
        <f t="shared" si="1"/>
        <v>112.31428282113339</v>
      </c>
      <c r="G15" s="27">
        <f t="shared" si="1"/>
        <v>72.697843442364388</v>
      </c>
      <c r="H15" s="27">
        <f t="shared" si="1"/>
        <v>90.693998133775693</v>
      </c>
      <c r="I15" s="27">
        <f t="shared" si="1"/>
        <v>75.204743249545544</v>
      </c>
      <c r="J15" s="27">
        <f t="shared" si="1"/>
        <v>80.006278260862274</v>
      </c>
      <c r="K15" s="27">
        <f t="shared" si="1"/>
        <v>71.353366036941864</v>
      </c>
      <c r="L15" s="27">
        <f t="shared" si="1"/>
        <v>71.681216143526385</v>
      </c>
      <c r="M15" s="27">
        <f t="shared" si="1"/>
        <v>64.988658795595441</v>
      </c>
      <c r="N15" s="27">
        <f t="shared" si="1"/>
        <v>63.424339282714861</v>
      </c>
      <c r="O15" s="27">
        <f t="shared" si="1"/>
        <v>56.614137214137209</v>
      </c>
      <c r="P15" s="22">
        <f t="shared" si="2"/>
        <v>55.65</v>
      </c>
      <c r="R15" s="23">
        <f t="shared" si="3"/>
        <v>0.63433679833679835</v>
      </c>
      <c r="S15" s="24">
        <f t="shared" si="4"/>
        <v>-0.24164656964656994</v>
      </c>
      <c r="T15" s="25">
        <f t="shared" si="5"/>
        <v>0.60523076923076935</v>
      </c>
      <c r="V15" s="26">
        <f t="shared" si="6"/>
        <v>0.99792099792099775</v>
      </c>
    </row>
    <row r="16" spans="1:22">
      <c r="D16" s="20">
        <v>130</v>
      </c>
      <c r="E16" s="21">
        <v>13</v>
      </c>
      <c r="F16" s="27">
        <f t="shared" si="1"/>
        <v>54.512185022500546</v>
      </c>
      <c r="G16" s="27">
        <f t="shared" si="1"/>
        <v>65.02036197812788</v>
      </c>
      <c r="H16" s="27">
        <f t="shared" si="1"/>
        <v>53.937726370799155</v>
      </c>
      <c r="I16" s="27">
        <f t="shared" si="1"/>
        <v>56.115453785011873</v>
      </c>
      <c r="J16" s="27">
        <f t="shared" si="1"/>
        <v>49.167566310614795</v>
      </c>
      <c r="K16" s="27">
        <f t="shared" si="1"/>
        <v>48.320472448320302</v>
      </c>
      <c r="L16" s="27">
        <f t="shared" si="1"/>
        <v>42.381303183777064</v>
      </c>
      <c r="M16" s="27">
        <f t="shared" si="1"/>
        <v>39.882792655883947</v>
      </c>
      <c r="N16" s="27">
        <f t="shared" si="1"/>
        <v>33.472010784175808</v>
      </c>
      <c r="O16" s="27">
        <f t="shared" si="1"/>
        <v>29.176681808731807</v>
      </c>
      <c r="P16" s="22">
        <f t="shared" si="2"/>
        <v>18.55</v>
      </c>
      <c r="R16" s="23">
        <f t="shared" si="3"/>
        <v>0.54791891891891897</v>
      </c>
      <c r="S16" s="24">
        <f t="shared" si="4"/>
        <v>-7.0889812889813192E-2</v>
      </c>
      <c r="T16" s="25">
        <f t="shared" si="5"/>
        <v>0.520891891891892</v>
      </c>
      <c r="V16" s="26">
        <f t="shared" si="6"/>
        <v>0.99792099792099775</v>
      </c>
    </row>
    <row r="17" spans="4:22">
      <c r="D17" s="20">
        <v>120</v>
      </c>
      <c r="E17" s="21">
        <v>12</v>
      </c>
      <c r="F17" s="27">
        <f t="shared" si="1"/>
        <v>43.55056078655695</v>
      </c>
      <c r="G17" s="27">
        <f t="shared" si="1"/>
        <v>37.030606217391714</v>
      </c>
      <c r="H17" s="27">
        <f t="shared" si="1"/>
        <v>36.765862929457192</v>
      </c>
      <c r="I17" s="27">
        <f t="shared" si="1"/>
        <v>32.078899731554522</v>
      </c>
      <c r="J17" s="27">
        <f t="shared" si="1"/>
        <v>30.263438757600571</v>
      </c>
      <c r="K17" s="27">
        <f t="shared" si="1"/>
        <v>25.911588548661356</v>
      </c>
      <c r="L17" s="27">
        <f t="shared" si="1"/>
        <v>23.13221002754856</v>
      </c>
      <c r="M17" s="27">
        <f t="shared" si="1"/>
        <v>18.430064611939056</v>
      </c>
      <c r="N17" s="27">
        <f t="shared" si="1"/>
        <v>14.406486146736917</v>
      </c>
      <c r="O17" s="27">
        <f t="shared" si="1"/>
        <v>8.6781604989604997</v>
      </c>
      <c r="P17" s="22">
        <f t="shared" si="2"/>
        <v>0</v>
      </c>
      <c r="R17" s="23">
        <f t="shared" si="3"/>
        <v>0.46782536382536383</v>
      </c>
      <c r="S17" s="24">
        <f t="shared" si="4"/>
        <v>8.7218295218295133E-2</v>
      </c>
      <c r="T17" s="25">
        <f t="shared" si="5"/>
        <v>0.44287733887733888</v>
      </c>
      <c r="V17" s="26">
        <f t="shared" si="6"/>
        <v>0.99792099792099775</v>
      </c>
    </row>
    <row r="18" spans="4:22">
      <c r="D18" s="20">
        <v>110</v>
      </c>
      <c r="E18" s="21">
        <v>11</v>
      </c>
      <c r="F18" s="27">
        <f t="shared" si="1"/>
        <v>23.731272981874184</v>
      </c>
      <c r="G18" s="27">
        <f t="shared" si="1"/>
        <v>22.359780177518164</v>
      </c>
      <c r="H18" s="27">
        <f t="shared" si="1"/>
        <v>19.397049957216645</v>
      </c>
      <c r="I18" s="27">
        <f t="shared" si="1"/>
        <v>17.421897039827542</v>
      </c>
      <c r="J18" s="27">
        <f t="shared" si="1"/>
        <v>14.535716851805818</v>
      </c>
      <c r="K18" s="27">
        <f t="shared" si="1"/>
        <v>12.188321913970286</v>
      </c>
      <c r="L18" s="27">
        <f t="shared" si="1"/>
        <v>9.1831026044208457</v>
      </c>
      <c r="M18" s="27">
        <f t="shared" si="1"/>
        <v>6.4726482370679435</v>
      </c>
      <c r="N18" s="27">
        <f t="shared" si="1"/>
        <v>3.4196823682608573</v>
      </c>
      <c r="O18" s="27">
        <f t="shared" si="1"/>
        <v>0</v>
      </c>
      <c r="P18" s="22">
        <f t="shared" si="2"/>
        <v>0</v>
      </c>
      <c r="R18" s="23">
        <f t="shared" si="3"/>
        <v>0.39405613305613313</v>
      </c>
      <c r="S18" s="24">
        <f t="shared" si="4"/>
        <v>0.23267775467775448</v>
      </c>
      <c r="T18" s="25">
        <f t="shared" si="5"/>
        <v>0.3711871101871102</v>
      </c>
      <c r="V18" s="26">
        <f t="shared" si="6"/>
        <v>0.99792099792099775</v>
      </c>
    </row>
    <row r="19" spans="4:22">
      <c r="D19" s="20">
        <v>100</v>
      </c>
      <c r="E19" s="21">
        <v>10</v>
      </c>
      <c r="F19" s="27">
        <f t="shared" si="1"/>
        <v>12.437674726996871</v>
      </c>
      <c r="G19" s="27">
        <f t="shared" si="1"/>
        <v>10.60519596800378</v>
      </c>
      <c r="H19" s="27">
        <f t="shared" si="1"/>
        <v>9.0485479680421861</v>
      </c>
      <c r="I19" s="27">
        <f t="shared" si="1"/>
        <v>7.2806269848337957</v>
      </c>
      <c r="J19" s="27">
        <f t="shared" si="1"/>
        <v>5.6959559539952913</v>
      </c>
      <c r="K19" s="27">
        <f t="shared" si="1"/>
        <v>4.0118448347945259</v>
      </c>
      <c r="L19" s="27">
        <f t="shared" si="1"/>
        <v>2.5222561904915586</v>
      </c>
      <c r="M19" s="27">
        <f t="shared" si="1"/>
        <v>1.116906652918463</v>
      </c>
      <c r="N19" s="27">
        <f t="shared" si="1"/>
        <v>0</v>
      </c>
      <c r="O19" s="27">
        <f t="shared" si="1"/>
        <v>0</v>
      </c>
      <c r="P19" s="22">
        <f t="shared" si="2"/>
        <v>0</v>
      </c>
      <c r="R19" s="23">
        <f t="shared" si="3"/>
        <v>0.32661122661122666</v>
      </c>
      <c r="S19" s="24">
        <f t="shared" si="4"/>
        <v>0.36548856548856529</v>
      </c>
      <c r="T19" s="25">
        <f t="shared" si="5"/>
        <v>0.30582120582120587</v>
      </c>
      <c r="V19" s="26">
        <f t="shared" si="6"/>
        <v>0.99792099792099787</v>
      </c>
    </row>
    <row r="20" spans="4:22">
      <c r="D20" s="20">
        <v>90</v>
      </c>
      <c r="E20" s="21">
        <v>9</v>
      </c>
      <c r="F20" s="27">
        <f t="shared" si="1"/>
        <v>5.0921544649924932</v>
      </c>
      <c r="G20" s="27">
        <f t="shared" si="1"/>
        <v>4.1156126894787679</v>
      </c>
      <c r="H20" s="27">
        <f t="shared" si="1"/>
        <v>3.1481167882343164</v>
      </c>
      <c r="I20" s="27">
        <f t="shared" si="1"/>
        <v>2.280335307529596</v>
      </c>
      <c r="J20" s="27">
        <f t="shared" si="1"/>
        <v>1.4756723696396292</v>
      </c>
      <c r="K20" s="27">
        <f t="shared" si="1"/>
        <v>0.81364459027957603</v>
      </c>
      <c r="L20" s="27">
        <f t="shared" si="1"/>
        <v>0.29652826711921138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2">
        <f t="shared" si="2"/>
        <v>0</v>
      </c>
      <c r="R20" s="23">
        <f t="shared" si="3"/>
        <v>0.26549064449064452</v>
      </c>
      <c r="S20" s="24">
        <f t="shared" si="4"/>
        <v>0.48565072765072748</v>
      </c>
      <c r="T20" s="25">
        <f t="shared" si="5"/>
        <v>0.24677962577962581</v>
      </c>
      <c r="V20" s="26">
        <f t="shared" si="6"/>
        <v>0.99792099792099775</v>
      </c>
    </row>
    <row r="21" spans="4:22">
      <c r="D21" s="20">
        <v>80</v>
      </c>
      <c r="E21" s="21">
        <v>8</v>
      </c>
      <c r="F21" s="27">
        <f t="shared" si="1"/>
        <v>1.5718403475621763</v>
      </c>
      <c r="G21" s="27">
        <f t="shared" si="1"/>
        <v>1.1257973758812252</v>
      </c>
      <c r="H21" s="27">
        <f t="shared" si="1"/>
        <v>0.74731715886447725</v>
      </c>
      <c r="I21" s="27">
        <f t="shared" si="1"/>
        <v>0.43655117801995963</v>
      </c>
      <c r="J21" s="27">
        <f t="shared" si="1"/>
        <v>0.20848937614261817</v>
      </c>
      <c r="K21" s="27">
        <f t="shared" si="1"/>
        <v>6.2476841378231514E-2</v>
      </c>
      <c r="L21" s="27">
        <f t="shared" si="1"/>
        <v>0</v>
      </c>
      <c r="M21" s="27">
        <f t="shared" si="1"/>
        <v>0</v>
      </c>
      <c r="N21" s="27">
        <f t="shared" si="1"/>
        <v>0</v>
      </c>
      <c r="O21" s="27">
        <f t="shared" si="1"/>
        <v>0</v>
      </c>
      <c r="P21" s="22">
        <f t="shared" si="2"/>
        <v>0</v>
      </c>
      <c r="R21" s="23">
        <f t="shared" si="3"/>
        <v>0.2106943866943867</v>
      </c>
      <c r="S21" s="24">
        <f t="shared" si="4"/>
        <v>0.59316424116424105</v>
      </c>
      <c r="T21" s="25">
        <f t="shared" si="5"/>
        <v>0.19406237006237009</v>
      </c>
      <c r="V21" s="26">
        <f t="shared" si="6"/>
        <v>0.99792099792099775</v>
      </c>
    </row>
    <row r="22" spans="4:22">
      <c r="D22" s="20">
        <v>70</v>
      </c>
      <c r="E22" s="21">
        <v>7</v>
      </c>
      <c r="F22" s="27">
        <f t="shared" ref="F22:O28" si="7">G21*$R22+G22*$S22+G23*$T22</f>
        <v>0.31595177326794122</v>
      </c>
      <c r="G22" s="27">
        <f t="shared" si="7"/>
        <v>0.19025383385591399</v>
      </c>
      <c r="H22" s="27">
        <f t="shared" si="7"/>
        <v>9.9066215098014374E-2</v>
      </c>
      <c r="I22" s="27">
        <f t="shared" si="7"/>
        <v>4.0794933839383866E-2</v>
      </c>
      <c r="J22" s="27">
        <f t="shared" si="7"/>
        <v>1.0135146477966792E-2</v>
      </c>
      <c r="K22" s="27">
        <f t="shared" si="7"/>
        <v>0</v>
      </c>
      <c r="L22" s="27">
        <f t="shared" si="7"/>
        <v>0</v>
      </c>
      <c r="M22" s="27">
        <f t="shared" si="7"/>
        <v>0</v>
      </c>
      <c r="N22" s="27">
        <f t="shared" si="7"/>
        <v>0</v>
      </c>
      <c r="O22" s="27">
        <f t="shared" si="7"/>
        <v>0</v>
      </c>
      <c r="P22" s="22">
        <f t="shared" si="2"/>
        <v>0</v>
      </c>
      <c r="R22" s="23">
        <f t="shared" si="3"/>
        <v>0.16222245322245324</v>
      </c>
      <c r="S22" s="24">
        <f t="shared" si="4"/>
        <v>0.68802910602910583</v>
      </c>
      <c r="T22" s="25">
        <f t="shared" si="5"/>
        <v>0.14766943866943869</v>
      </c>
      <c r="V22" s="26">
        <f t="shared" si="6"/>
        <v>0.99792099792099775</v>
      </c>
    </row>
    <row r="23" spans="4:22">
      <c r="D23" s="20">
        <v>60</v>
      </c>
      <c r="E23" s="21">
        <v>6</v>
      </c>
      <c r="F23" s="27">
        <f t="shared" si="7"/>
        <v>3.5539973035776808E-2</v>
      </c>
      <c r="G23" s="27">
        <f t="shared" si="7"/>
        <v>1.6401402459554803E-2</v>
      </c>
      <c r="H23" s="27">
        <f t="shared" si="7"/>
        <v>5.8358154935485807E-3</v>
      </c>
      <c r="I23" s="27">
        <f t="shared" si="7"/>
        <v>1.2169761330175677E-3</v>
      </c>
      <c r="J23" s="27">
        <f t="shared" si="7"/>
        <v>0</v>
      </c>
      <c r="K23" s="27">
        <f t="shared" si="7"/>
        <v>0</v>
      </c>
      <c r="L23" s="27">
        <f t="shared" si="7"/>
        <v>0</v>
      </c>
      <c r="M23" s="27">
        <f t="shared" si="7"/>
        <v>0</v>
      </c>
      <c r="N23" s="27">
        <f t="shared" si="7"/>
        <v>0</v>
      </c>
      <c r="O23" s="27">
        <f t="shared" si="7"/>
        <v>0</v>
      </c>
      <c r="P23" s="22">
        <f t="shared" si="2"/>
        <v>0</v>
      </c>
      <c r="R23" s="23">
        <f t="shared" si="3"/>
        <v>0.12007484407484408</v>
      </c>
      <c r="S23" s="24">
        <f t="shared" si="4"/>
        <v>0.77024532224532205</v>
      </c>
      <c r="T23" s="25">
        <f t="shared" si="5"/>
        <v>0.1076008316008316</v>
      </c>
      <c r="V23" s="26">
        <f t="shared" si="6"/>
        <v>0.99792099792099764</v>
      </c>
    </row>
    <row r="24" spans="4:22">
      <c r="D24" s="20">
        <v>50</v>
      </c>
      <c r="E24" s="21">
        <v>5</v>
      </c>
      <c r="F24" s="27">
        <f t="shared" si="7"/>
        <v>1.8674891116736193E-3</v>
      </c>
      <c r="G24" s="27">
        <f t="shared" si="7"/>
        <v>5.7778436492265538E-4</v>
      </c>
      <c r="H24" s="27">
        <f t="shared" si="7"/>
        <v>1.0253213677866308E-4</v>
      </c>
      <c r="I24" s="27">
        <f t="shared" si="7"/>
        <v>0</v>
      </c>
      <c r="J24" s="27">
        <f t="shared" si="7"/>
        <v>0</v>
      </c>
      <c r="K24" s="27">
        <f t="shared" si="7"/>
        <v>0</v>
      </c>
      <c r="L24" s="27">
        <f t="shared" si="7"/>
        <v>0</v>
      </c>
      <c r="M24" s="27">
        <f t="shared" si="7"/>
        <v>0</v>
      </c>
      <c r="N24" s="27">
        <f t="shared" si="7"/>
        <v>0</v>
      </c>
      <c r="O24" s="27">
        <f t="shared" si="7"/>
        <v>0</v>
      </c>
      <c r="P24" s="22">
        <f t="shared" si="2"/>
        <v>0</v>
      </c>
      <c r="R24" s="23">
        <f t="shared" si="3"/>
        <v>8.4251559251559263E-2</v>
      </c>
      <c r="S24" s="24">
        <f t="shared" si="4"/>
        <v>0.83981288981288971</v>
      </c>
      <c r="T24" s="25">
        <f t="shared" si="5"/>
        <v>7.3856548856548868E-2</v>
      </c>
      <c r="V24" s="26">
        <f t="shared" si="6"/>
        <v>0.99792099792099787</v>
      </c>
    </row>
    <row r="25" spans="4:22">
      <c r="D25" s="20">
        <v>40</v>
      </c>
      <c r="E25" s="21">
        <v>4</v>
      </c>
      <c r="F25" s="27">
        <f t="shared" si="7"/>
        <v>3.6669359045948467E-5</v>
      </c>
      <c r="G25" s="27">
        <f t="shared" si="7"/>
        <v>5.6139009442887126E-6</v>
      </c>
      <c r="H25" s="27">
        <f t="shared" si="7"/>
        <v>0</v>
      </c>
      <c r="I25" s="27">
        <f t="shared" si="7"/>
        <v>0</v>
      </c>
      <c r="J25" s="27">
        <f t="shared" si="7"/>
        <v>0</v>
      </c>
      <c r="K25" s="27">
        <f t="shared" si="7"/>
        <v>0</v>
      </c>
      <c r="L25" s="27">
        <f t="shared" si="7"/>
        <v>0</v>
      </c>
      <c r="M25" s="27">
        <f t="shared" si="7"/>
        <v>0</v>
      </c>
      <c r="N25" s="27">
        <f t="shared" si="7"/>
        <v>0</v>
      </c>
      <c r="O25" s="27">
        <f t="shared" si="7"/>
        <v>0</v>
      </c>
      <c r="P25" s="22">
        <f t="shared" si="2"/>
        <v>0</v>
      </c>
      <c r="R25" s="23">
        <f t="shared" si="3"/>
        <v>5.4752598752598754E-2</v>
      </c>
      <c r="S25" s="24">
        <f t="shared" si="4"/>
        <v>0.89673180873180858</v>
      </c>
      <c r="T25" s="25">
        <f t="shared" si="5"/>
        <v>4.6436590436590444E-2</v>
      </c>
      <c r="V25" s="26">
        <f t="shared" si="6"/>
        <v>0.99792099792099775</v>
      </c>
    </row>
    <row r="26" spans="4:22">
      <c r="D26" s="20">
        <v>30</v>
      </c>
      <c r="E26" s="21">
        <v>3</v>
      </c>
      <c r="F26" s="27">
        <f t="shared" si="7"/>
        <v>1.7727555393513777E-7</v>
      </c>
      <c r="G26" s="27">
        <f t="shared" si="7"/>
        <v>0</v>
      </c>
      <c r="H26" s="27">
        <f t="shared" si="7"/>
        <v>0</v>
      </c>
      <c r="I26" s="27">
        <f t="shared" si="7"/>
        <v>0</v>
      </c>
      <c r="J26" s="27">
        <f t="shared" si="7"/>
        <v>0</v>
      </c>
      <c r="K26" s="27">
        <f t="shared" si="7"/>
        <v>0</v>
      </c>
      <c r="L26" s="27">
        <f t="shared" si="7"/>
        <v>0</v>
      </c>
      <c r="M26" s="27">
        <f t="shared" si="7"/>
        <v>0</v>
      </c>
      <c r="N26" s="27">
        <f t="shared" si="7"/>
        <v>0</v>
      </c>
      <c r="O26" s="27">
        <f t="shared" si="7"/>
        <v>0</v>
      </c>
      <c r="P26" s="22">
        <f t="shared" si="2"/>
        <v>0</v>
      </c>
      <c r="R26" s="23">
        <f t="shared" si="3"/>
        <v>3.1577962577962582E-2</v>
      </c>
      <c r="S26" s="24">
        <f t="shared" si="4"/>
        <v>0.94100207900207899</v>
      </c>
      <c r="T26" s="25">
        <f t="shared" si="5"/>
        <v>2.5340956340956341E-2</v>
      </c>
      <c r="V26" s="26">
        <f t="shared" si="6"/>
        <v>0.99792099792099798</v>
      </c>
    </row>
    <row r="27" spans="4:22">
      <c r="D27" s="20">
        <v>20</v>
      </c>
      <c r="E27" s="21">
        <v>2</v>
      </c>
      <c r="F27" s="27">
        <f t="shared" si="7"/>
        <v>0</v>
      </c>
      <c r="G27" s="27">
        <f t="shared" si="7"/>
        <v>0</v>
      </c>
      <c r="H27" s="27">
        <f t="shared" si="7"/>
        <v>0</v>
      </c>
      <c r="I27" s="27">
        <f t="shared" si="7"/>
        <v>0</v>
      </c>
      <c r="J27" s="27">
        <f t="shared" si="7"/>
        <v>0</v>
      </c>
      <c r="K27" s="27">
        <f t="shared" si="7"/>
        <v>0</v>
      </c>
      <c r="L27" s="27">
        <f t="shared" si="7"/>
        <v>0</v>
      </c>
      <c r="M27" s="27">
        <f t="shared" si="7"/>
        <v>0</v>
      </c>
      <c r="N27" s="27">
        <f t="shared" si="7"/>
        <v>0</v>
      </c>
      <c r="O27" s="27">
        <f t="shared" si="7"/>
        <v>0</v>
      </c>
      <c r="P27" s="22">
        <f t="shared" si="2"/>
        <v>0</v>
      </c>
      <c r="R27" s="23">
        <f t="shared" si="3"/>
        <v>1.4727650727650728E-2</v>
      </c>
      <c r="S27" s="24">
        <f t="shared" si="4"/>
        <v>0.97262370062370052</v>
      </c>
      <c r="T27" s="25">
        <f t="shared" si="5"/>
        <v>1.0569646569646571E-2</v>
      </c>
      <c r="V27" s="26">
        <f t="shared" si="6"/>
        <v>0.99792099792099775</v>
      </c>
    </row>
    <row r="28" spans="4:22">
      <c r="D28" s="20">
        <v>10</v>
      </c>
      <c r="E28" s="21">
        <v>1</v>
      </c>
      <c r="F28" s="27">
        <f t="shared" si="7"/>
        <v>0</v>
      </c>
      <c r="G28" s="27">
        <f t="shared" si="7"/>
        <v>0</v>
      </c>
      <c r="H28" s="27">
        <f t="shared" si="7"/>
        <v>0</v>
      </c>
      <c r="I28" s="27">
        <f t="shared" si="7"/>
        <v>0</v>
      </c>
      <c r="J28" s="27">
        <f t="shared" si="7"/>
        <v>0</v>
      </c>
      <c r="K28" s="27">
        <f t="shared" si="7"/>
        <v>0</v>
      </c>
      <c r="L28" s="27">
        <f t="shared" si="7"/>
        <v>0</v>
      </c>
      <c r="M28" s="27">
        <f t="shared" si="7"/>
        <v>0</v>
      </c>
      <c r="N28" s="27">
        <f t="shared" si="7"/>
        <v>0</v>
      </c>
      <c r="O28" s="27">
        <f t="shared" si="7"/>
        <v>0</v>
      </c>
      <c r="P28" s="22">
        <f t="shared" si="2"/>
        <v>0</v>
      </c>
      <c r="R28" s="23">
        <f t="shared" si="3"/>
        <v>4.2016632016632022E-3</v>
      </c>
      <c r="S28" s="24">
        <f t="shared" si="4"/>
        <v>0.99159667359667347</v>
      </c>
      <c r="T28" s="25">
        <f t="shared" si="5"/>
        <v>2.1226611226611227E-3</v>
      </c>
      <c r="V28" s="26">
        <f t="shared" si="6"/>
        <v>0.99792099792099775</v>
      </c>
    </row>
    <row r="29" spans="4:22">
      <c r="D29" s="20">
        <v>0</v>
      </c>
      <c r="E29" s="21">
        <v>0</v>
      </c>
      <c r="F29" s="27">
        <v>0</v>
      </c>
      <c r="G29" s="27">
        <v>0</v>
      </c>
      <c r="H29" s="27">
        <v>0</v>
      </c>
      <c r="I29" s="27">
        <v>0</v>
      </c>
      <c r="J29" s="27">
        <v>0</v>
      </c>
      <c r="K29" s="27">
        <v>0</v>
      </c>
      <c r="L29" s="27">
        <v>0</v>
      </c>
      <c r="M29" s="27">
        <v>0</v>
      </c>
      <c r="N29" s="27">
        <v>0</v>
      </c>
      <c r="O29" s="27">
        <v>0</v>
      </c>
      <c r="P29" s="22">
        <f t="shared" ref="P29" si="8">$B$11*$B$1*(E29-E30)</f>
        <v>0</v>
      </c>
      <c r="R29" s="29">
        <f t="shared" si="3"/>
        <v>0</v>
      </c>
      <c r="S29" s="30">
        <f t="shared" si="4"/>
        <v>0.99792099792099787</v>
      </c>
      <c r="T29" s="31">
        <f t="shared" si="5"/>
        <v>0</v>
      </c>
      <c r="V29" s="32">
        <f>SUM(R29,S29,T29)</f>
        <v>0.99792099792099787</v>
      </c>
    </row>
    <row r="30" spans="4:22">
      <c r="F30" s="33">
        <v>0</v>
      </c>
      <c r="G30" s="33">
        <v>1</v>
      </c>
      <c r="H30" s="33">
        <v>2</v>
      </c>
      <c r="I30" s="33">
        <v>3</v>
      </c>
      <c r="J30" s="33">
        <v>4</v>
      </c>
      <c r="K30" s="33">
        <v>5</v>
      </c>
      <c r="L30" s="33">
        <v>6</v>
      </c>
      <c r="M30" s="33">
        <v>7</v>
      </c>
      <c r="N30" s="33">
        <v>8</v>
      </c>
      <c r="O30" s="33">
        <v>9</v>
      </c>
      <c r="P30" s="33">
        <v>10</v>
      </c>
    </row>
    <row r="31" spans="4:22">
      <c r="F31" s="20">
        <f>F30*$B$9</f>
        <v>0</v>
      </c>
      <c r="G31" s="20">
        <f t="shared" ref="G31:P31" si="9">G30*$B$9</f>
        <v>4.1666666666666671E-2</v>
      </c>
      <c r="H31" s="20">
        <f t="shared" si="9"/>
        <v>8.3333333333333343E-2</v>
      </c>
      <c r="I31" s="20">
        <f t="shared" si="9"/>
        <v>0.125</v>
      </c>
      <c r="J31" s="20">
        <f t="shared" si="9"/>
        <v>0.16666666666666669</v>
      </c>
      <c r="K31" s="20">
        <f t="shared" si="9"/>
        <v>0.20833333333333337</v>
      </c>
      <c r="L31" s="20">
        <f t="shared" si="9"/>
        <v>0.25</v>
      </c>
      <c r="M31" s="20">
        <f t="shared" si="9"/>
        <v>0.29166666666666669</v>
      </c>
      <c r="N31" s="20">
        <f t="shared" si="9"/>
        <v>0.33333333333333337</v>
      </c>
      <c r="O31" s="20">
        <f t="shared" si="9"/>
        <v>0.37500000000000006</v>
      </c>
      <c r="P31" s="20">
        <f t="shared" si="9"/>
        <v>0.41666666666666674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V31"/>
  <sheetViews>
    <sheetView topLeftCell="A7" workbookViewId="0">
      <selection activeCell="B5" sqref="B5"/>
    </sheetView>
  </sheetViews>
  <sheetFormatPr defaultRowHeight="15"/>
  <cols>
    <col min="6" max="6" width="10.28515625" bestFit="1" customWidth="1"/>
  </cols>
  <sheetData>
    <row r="1" spans="1:22">
      <c r="A1" s="12" t="s">
        <v>40</v>
      </c>
      <c r="B1" s="13">
        <v>120</v>
      </c>
    </row>
    <row r="2" spans="1:22">
      <c r="A2" s="12" t="s">
        <v>19</v>
      </c>
      <c r="B2" s="13">
        <v>125</v>
      </c>
    </row>
    <row r="3" spans="1:22">
      <c r="A3" s="12" t="s">
        <v>15</v>
      </c>
      <c r="B3" s="13">
        <f>5/12</f>
        <v>0.41666666666666669</v>
      </c>
    </row>
    <row r="4" spans="1:22">
      <c r="A4" s="12" t="s">
        <v>13</v>
      </c>
      <c r="B4" s="13">
        <v>0.05</v>
      </c>
      <c r="D4" s="14" t="s">
        <v>41</v>
      </c>
      <c r="E4" s="15" t="s">
        <v>0</v>
      </c>
      <c r="R4" s="16" t="s">
        <v>42</v>
      </c>
      <c r="S4" s="17" t="s">
        <v>43</v>
      </c>
      <c r="T4" s="18" t="s">
        <v>44</v>
      </c>
      <c r="V4" s="19" t="s">
        <v>45</v>
      </c>
    </row>
    <row r="5" spans="1:22">
      <c r="A5" s="12" t="s">
        <v>12</v>
      </c>
      <c r="B5" s="13">
        <v>0.39</v>
      </c>
      <c r="D5" s="20">
        <f>($B$8-E$29)*$B$10</f>
        <v>240</v>
      </c>
      <c r="E5" s="21">
        <v>24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f>MAX(($B$2-$B$10*E5)*$B$11,0)</f>
        <v>0</v>
      </c>
      <c r="R5" s="23">
        <f>(($B$5^2)*($E5^2)*$B$9+($E5*$B$9)*$B$4)/(2*($B$4*$B$9+1))</f>
        <v>1.8463534303534301</v>
      </c>
      <c r="S5" s="24">
        <f>(1-($B$5^2)*($E5^2)*$B$9)/($B$4*$B$9+1)</f>
        <v>-2.6448898128898128</v>
      </c>
      <c r="T5" s="25">
        <f>(($E5^2)*($B$5^2)*$B$9-($E5*$B$9*$B$4))/(2*($B$4*$B$9+1))</f>
        <v>1.7964573804573805</v>
      </c>
      <c r="V5" s="26">
        <f>SUM(R5,S5,T5)</f>
        <v>0.99792099792099775</v>
      </c>
    </row>
    <row r="6" spans="1:22">
      <c r="A6" s="12" t="s">
        <v>46</v>
      </c>
      <c r="B6" s="37">
        <f>B1*2</f>
        <v>240</v>
      </c>
      <c r="D6" s="20">
        <f>($B$8-E$28)*$B$10</f>
        <v>230</v>
      </c>
      <c r="E6" s="21">
        <v>23</v>
      </c>
      <c r="F6" s="27">
        <f t="shared" ref="F6:O21" si="0">G5*$R6+G6*$S6+G7*$T6</f>
        <v>0</v>
      </c>
      <c r="G6" s="27">
        <f t="shared" si="0"/>
        <v>0</v>
      </c>
      <c r="H6" s="27">
        <f t="shared" si="0"/>
        <v>0</v>
      </c>
      <c r="I6" s="27">
        <f t="shared" si="0"/>
        <v>0</v>
      </c>
      <c r="J6" s="27">
        <f t="shared" si="0"/>
        <v>0</v>
      </c>
      <c r="K6" s="27">
        <f t="shared" si="0"/>
        <v>0</v>
      </c>
      <c r="L6" s="27">
        <f t="shared" si="0"/>
        <v>0</v>
      </c>
      <c r="M6" s="27">
        <f t="shared" si="0"/>
        <v>0</v>
      </c>
      <c r="N6" s="27">
        <f t="shared" si="0"/>
        <v>0</v>
      </c>
      <c r="O6" s="27">
        <f>P5*$R6+P6*$S6+P7*$T6</f>
        <v>0</v>
      </c>
      <c r="P6" s="22">
        <f>MAX(($B$2-$B$10*E6)*$B$11,0)</f>
        <v>0</v>
      </c>
      <c r="R6" s="23">
        <f t="shared" ref="R6:R29" si="1">(($B$5^2)*($E6^2)*$B$9+($E6*$B$9)*$B$4)/(2*($B$4*$B$9+1))</f>
        <v>1.6966923076923079</v>
      </c>
      <c r="S6" s="24">
        <f t="shared" ref="S6:S29" si="2">(1-($B$5^2)*($E6^2)*$B$9)/($B$4*$B$9+1)</f>
        <v>-2.34764656964657</v>
      </c>
      <c r="T6" s="25">
        <f t="shared" ref="T6:T29" si="3">(($E6^2)*($B$5^2)*$B$9-($E6*$B$9*$B$4))/(2*($B$4*$B$9+1))</f>
        <v>1.6488752598752601</v>
      </c>
      <c r="V6" s="26">
        <f t="shared" ref="V6:V28" si="4">SUM(R6,S6,T6)</f>
        <v>0.99792099792099798</v>
      </c>
    </row>
    <row r="7" spans="1:22">
      <c r="A7" s="12" t="s">
        <v>11</v>
      </c>
      <c r="B7" s="13">
        <v>10</v>
      </c>
      <c r="D7" s="20">
        <f>($B$8-E27)*$B$10</f>
        <v>220</v>
      </c>
      <c r="E7" s="21">
        <v>22</v>
      </c>
      <c r="F7" s="27">
        <f t="shared" si="0"/>
        <v>8.4005896384814314</v>
      </c>
      <c r="G7" s="27">
        <f t="shared" si="0"/>
        <v>0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7">
        <f t="shared" si="0"/>
        <v>0</v>
      </c>
      <c r="L7" s="27">
        <f t="shared" si="0"/>
        <v>0</v>
      </c>
      <c r="M7" s="27">
        <f t="shared" si="0"/>
        <v>0</v>
      </c>
      <c r="N7" s="27">
        <f t="shared" si="0"/>
        <v>0</v>
      </c>
      <c r="O7" s="27">
        <f t="shared" si="0"/>
        <v>0</v>
      </c>
      <c r="P7" s="22">
        <f t="shared" ref="P7:P28" si="5">MAX(($B$2-$B$10*E7)*$B$11,0)</f>
        <v>0</v>
      </c>
      <c r="R7" s="23">
        <f t="shared" si="1"/>
        <v>1.5533555093555096</v>
      </c>
      <c r="S7" s="24">
        <f t="shared" si="2"/>
        <v>-2.0630519750519754</v>
      </c>
      <c r="T7" s="25">
        <f t="shared" si="3"/>
        <v>1.5076174636174637</v>
      </c>
      <c r="V7" s="26">
        <f t="shared" si="4"/>
        <v>0.99792099792099798</v>
      </c>
    </row>
    <row r="8" spans="1:22">
      <c r="A8" s="12" t="s">
        <v>47</v>
      </c>
      <c r="B8" s="13">
        <v>24</v>
      </c>
      <c r="D8" s="20">
        <f>($B$8-E26)*$B$10</f>
        <v>210</v>
      </c>
      <c r="E8" s="21">
        <v>21</v>
      </c>
      <c r="F8" s="27">
        <f t="shared" si="0"/>
        <v>-35.839097620643436</v>
      </c>
      <c r="G8" s="27">
        <f t="shared" si="0"/>
        <v>5.5720962652718118</v>
      </c>
      <c r="H8" s="27">
        <f t="shared" si="0"/>
        <v>0</v>
      </c>
      <c r="I8" s="27">
        <f t="shared" si="0"/>
        <v>0</v>
      </c>
      <c r="J8" s="27">
        <f t="shared" si="0"/>
        <v>0</v>
      </c>
      <c r="K8" s="27">
        <f t="shared" si="0"/>
        <v>0</v>
      </c>
      <c r="L8" s="27">
        <f t="shared" si="0"/>
        <v>0</v>
      </c>
      <c r="M8" s="27">
        <f t="shared" si="0"/>
        <v>0</v>
      </c>
      <c r="N8" s="27">
        <f t="shared" si="0"/>
        <v>0</v>
      </c>
      <c r="O8" s="27">
        <f t="shared" si="0"/>
        <v>0</v>
      </c>
      <c r="P8" s="22">
        <f t="shared" si="5"/>
        <v>0</v>
      </c>
      <c r="R8" s="23">
        <f t="shared" si="1"/>
        <v>1.4163430353430357</v>
      </c>
      <c r="S8" s="24">
        <f t="shared" si="2"/>
        <v>-1.7911060291060297</v>
      </c>
      <c r="T8" s="25">
        <f t="shared" si="3"/>
        <v>1.3726839916839919</v>
      </c>
      <c r="V8" s="26">
        <f t="shared" si="4"/>
        <v>0.99792099792099798</v>
      </c>
    </row>
    <row r="9" spans="1:22">
      <c r="A9" s="12" t="s">
        <v>48</v>
      </c>
      <c r="B9" s="28">
        <f>B3/B7</f>
        <v>4.1666666666666671E-2</v>
      </c>
      <c r="D9" s="20">
        <f>($B$8-E25)*$B$10</f>
        <v>200</v>
      </c>
      <c r="E9" s="21">
        <v>20</v>
      </c>
      <c r="F9" s="27">
        <f t="shared" si="0"/>
        <v>89.532724218553128</v>
      </c>
      <c r="G9" s="27">
        <f t="shared" si="0"/>
        <v>-18.838190407853844</v>
      </c>
      <c r="H9" s="27">
        <f t="shared" si="0"/>
        <v>4.059270960416776</v>
      </c>
      <c r="I9" s="27">
        <f t="shared" si="0"/>
        <v>0</v>
      </c>
      <c r="J9" s="27">
        <f t="shared" si="0"/>
        <v>0</v>
      </c>
      <c r="K9" s="27">
        <f t="shared" si="0"/>
        <v>0</v>
      </c>
      <c r="L9" s="27">
        <f t="shared" si="0"/>
        <v>0</v>
      </c>
      <c r="M9" s="27">
        <f t="shared" si="0"/>
        <v>0</v>
      </c>
      <c r="N9" s="27">
        <f t="shared" si="0"/>
        <v>0</v>
      </c>
      <c r="O9" s="27">
        <f t="shared" si="0"/>
        <v>0</v>
      </c>
      <c r="P9" s="22">
        <f t="shared" si="5"/>
        <v>0</v>
      </c>
      <c r="R9" s="23">
        <f t="shared" si="1"/>
        <v>1.2856548856548857</v>
      </c>
      <c r="S9" s="24">
        <f t="shared" si="2"/>
        <v>-1.5318087318087323</v>
      </c>
      <c r="T9" s="25">
        <f t="shared" si="3"/>
        <v>1.2440748440748444</v>
      </c>
      <c r="V9" s="26">
        <f t="shared" si="4"/>
        <v>0.99792099792099775</v>
      </c>
    </row>
    <row r="10" spans="1:22">
      <c r="A10" s="12" t="s">
        <v>49</v>
      </c>
      <c r="B10" s="28">
        <f>B6/B8</f>
        <v>10</v>
      </c>
      <c r="D10" s="20">
        <v>190</v>
      </c>
      <c r="E10" s="21">
        <v>19</v>
      </c>
      <c r="F10" s="27">
        <f t="shared" si="0"/>
        <v>-138.96479020686155</v>
      </c>
      <c r="G10" s="27">
        <f t="shared" si="0"/>
        <v>43.013832430102347</v>
      </c>
      <c r="H10" s="27">
        <f t="shared" si="0"/>
        <v>-10.144215813072554</v>
      </c>
      <c r="I10" s="27">
        <f t="shared" si="0"/>
        <v>3.2628832419125482</v>
      </c>
      <c r="J10" s="27">
        <f t="shared" si="0"/>
        <v>0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7">
        <f t="shared" si="0"/>
        <v>0</v>
      </c>
      <c r="O10" s="27">
        <f t="shared" si="0"/>
        <v>0</v>
      </c>
      <c r="P10" s="22">
        <f t="shared" si="5"/>
        <v>0</v>
      </c>
      <c r="R10" s="23">
        <f t="shared" si="1"/>
        <v>1.1612910602910604</v>
      </c>
      <c r="S10" s="24">
        <f t="shared" si="2"/>
        <v>-1.2851600831600836</v>
      </c>
      <c r="T10" s="25">
        <f t="shared" si="3"/>
        <v>1.1217900207900211</v>
      </c>
      <c r="V10" s="26">
        <f t="shared" si="4"/>
        <v>0.99792099792099798</v>
      </c>
    </row>
    <row r="11" spans="1:22">
      <c r="A11" s="12" t="s">
        <v>17</v>
      </c>
      <c r="B11" s="13">
        <v>3.71</v>
      </c>
      <c r="D11" s="20">
        <v>180</v>
      </c>
      <c r="E11" s="21">
        <v>18</v>
      </c>
      <c r="F11" s="27">
        <f t="shared" si="0"/>
        <v>167.40421906915023</v>
      </c>
      <c r="G11" s="27">
        <f t="shared" si="0"/>
        <v>-55.098107921950643</v>
      </c>
      <c r="H11" s="27">
        <f t="shared" si="0"/>
        <v>22.520164778037223</v>
      </c>
      <c r="I11" s="27">
        <f t="shared" si="0"/>
        <v>-5.3048149870005661</v>
      </c>
      <c r="J11" s="27">
        <f t="shared" si="0"/>
        <v>2.908639924978706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7">
        <f t="shared" si="0"/>
        <v>0</v>
      </c>
      <c r="P11" s="22">
        <f t="shared" si="5"/>
        <v>0</v>
      </c>
      <c r="R11" s="23">
        <f t="shared" si="1"/>
        <v>1.0432515592515594</v>
      </c>
      <c r="S11" s="24">
        <f t="shared" si="2"/>
        <v>-1.0511600831600836</v>
      </c>
      <c r="T11" s="25">
        <f t="shared" si="3"/>
        <v>1.0058295218295219</v>
      </c>
      <c r="V11" s="26">
        <f t="shared" si="4"/>
        <v>0.99792099792099775</v>
      </c>
    </row>
    <row r="12" spans="1:22">
      <c r="D12" s="20">
        <v>170</v>
      </c>
      <c r="E12" s="21">
        <v>17</v>
      </c>
      <c r="F12" s="27">
        <f t="shared" si="0"/>
        <v>-138.0930761518126</v>
      </c>
      <c r="G12" s="27">
        <f t="shared" si="0"/>
        <v>64.238559526801225</v>
      </c>
      <c r="H12" s="27">
        <f t="shared" si="0"/>
        <v>-20.722041085855743</v>
      </c>
      <c r="I12" s="27">
        <f t="shared" si="0"/>
        <v>13.461473034459896</v>
      </c>
      <c r="J12" s="27">
        <f t="shared" si="0"/>
        <v>-2.2343436465151965</v>
      </c>
      <c r="K12" s="27">
        <f t="shared" si="0"/>
        <v>2.8917822174160559</v>
      </c>
      <c r="L12" s="27">
        <f t="shared" si="0"/>
        <v>0</v>
      </c>
      <c r="M12" s="27">
        <f t="shared" si="0"/>
        <v>0</v>
      </c>
      <c r="N12" s="27">
        <f t="shared" si="0"/>
        <v>0</v>
      </c>
      <c r="O12" s="27">
        <f t="shared" si="0"/>
        <v>0</v>
      </c>
      <c r="P12" s="22">
        <f t="shared" si="5"/>
        <v>0</v>
      </c>
      <c r="R12" s="23">
        <f t="shared" si="1"/>
        <v>0.93153638253638271</v>
      </c>
      <c r="S12" s="24">
        <f t="shared" si="2"/>
        <v>-0.82980873180873216</v>
      </c>
      <c r="T12" s="25">
        <f t="shared" si="3"/>
        <v>0.89619334719334731</v>
      </c>
      <c r="V12" s="26">
        <f t="shared" si="4"/>
        <v>0.99792099792099787</v>
      </c>
    </row>
    <row r="13" spans="1:22">
      <c r="D13" s="20">
        <v>160</v>
      </c>
      <c r="E13" s="21">
        <v>16</v>
      </c>
      <c r="F13" s="27">
        <f t="shared" si="0"/>
        <v>109.05379124798721</v>
      </c>
      <c r="G13" s="27">
        <f t="shared" si="0"/>
        <v>-37.337329611113191</v>
      </c>
      <c r="H13" s="27">
        <f t="shared" si="0"/>
        <v>29.083987448725686</v>
      </c>
      <c r="I13" s="27">
        <f t="shared" si="0"/>
        <v>-5.1439402783730657</v>
      </c>
      <c r="J13" s="27">
        <f t="shared" si="0"/>
        <v>9.9285397294798337</v>
      </c>
      <c r="K13" s="27">
        <f t="shared" si="0"/>
        <v>0.18442726505779961</v>
      </c>
      <c r="L13" s="27">
        <f t="shared" si="0"/>
        <v>3.2267392147826048</v>
      </c>
      <c r="M13" s="27">
        <f t="shared" si="0"/>
        <v>0</v>
      </c>
      <c r="N13" s="27">
        <f t="shared" si="0"/>
        <v>0</v>
      </c>
      <c r="O13" s="27">
        <f t="shared" si="0"/>
        <v>0</v>
      </c>
      <c r="P13" s="22">
        <f t="shared" si="5"/>
        <v>0</v>
      </c>
      <c r="R13" s="23">
        <f t="shared" si="1"/>
        <v>0.82614553014553027</v>
      </c>
      <c r="S13" s="24">
        <f t="shared" si="2"/>
        <v>-0.6211060291060293</v>
      </c>
      <c r="T13" s="25">
        <f t="shared" si="3"/>
        <v>0.79288149688149689</v>
      </c>
      <c r="V13" s="26">
        <f t="shared" si="4"/>
        <v>0.99792099792099787</v>
      </c>
    </row>
    <row r="14" spans="1:22">
      <c r="D14" s="20">
        <v>150</v>
      </c>
      <c r="E14" s="21">
        <v>15</v>
      </c>
      <c r="F14" s="27">
        <f t="shared" si="0"/>
        <v>-38.851973178347365</v>
      </c>
      <c r="G14" s="27">
        <f t="shared" si="0"/>
        <v>41.359209451513436</v>
      </c>
      <c r="H14" s="27">
        <f t="shared" si="0"/>
        <v>-2.7162546309435704</v>
      </c>
      <c r="I14" s="27">
        <f t="shared" si="0"/>
        <v>18.625632468354084</v>
      </c>
      <c r="J14" s="27">
        <f t="shared" si="0"/>
        <v>3.6179790239599208</v>
      </c>
      <c r="K14" s="27">
        <f t="shared" si="0"/>
        <v>9.6534673753524736</v>
      </c>
      <c r="L14" s="27">
        <f t="shared" si="0"/>
        <v>2.7602793788479998</v>
      </c>
      <c r="M14" s="27">
        <f t="shared" si="0"/>
        <v>4.069636165648685</v>
      </c>
      <c r="N14" s="27">
        <f t="shared" si="0"/>
        <v>0</v>
      </c>
      <c r="O14" s="27">
        <f t="shared" si="0"/>
        <v>0</v>
      </c>
      <c r="P14" s="22">
        <f t="shared" si="5"/>
        <v>0</v>
      </c>
      <c r="R14" s="23">
        <f t="shared" si="1"/>
        <v>0.72707900207900211</v>
      </c>
      <c r="S14" s="24">
        <f t="shared" si="2"/>
        <v>-0.42505197505197528</v>
      </c>
      <c r="T14" s="25">
        <f t="shared" si="3"/>
        <v>0.69589397089397098</v>
      </c>
      <c r="V14" s="26">
        <f t="shared" si="4"/>
        <v>0.99792099792099775</v>
      </c>
    </row>
    <row r="15" spans="1:22">
      <c r="D15" s="20">
        <v>140</v>
      </c>
      <c r="E15" s="21">
        <v>14</v>
      </c>
      <c r="F15" s="27">
        <f t="shared" si="0"/>
        <v>47.112612372872178</v>
      </c>
      <c r="G15" s="27">
        <f t="shared" si="0"/>
        <v>8.4424195139992726</v>
      </c>
      <c r="H15" s="27">
        <f t="shared" si="0"/>
        <v>27.386792072226321</v>
      </c>
      <c r="I15" s="27">
        <f t="shared" si="0"/>
        <v>12.847730508701641</v>
      </c>
      <c r="J15" s="27">
        <f t="shared" si="0"/>
        <v>18.601438410141416</v>
      </c>
      <c r="K15" s="27">
        <f t="shared" si="0"/>
        <v>10.902682769865402</v>
      </c>
      <c r="L15" s="27">
        <f t="shared" si="0"/>
        <v>12.186677286310154</v>
      </c>
      <c r="M15" s="27">
        <f t="shared" si="0"/>
        <v>6.4522563157599864</v>
      </c>
      <c r="N15" s="27">
        <f t="shared" si="0"/>
        <v>5.8480692977131001</v>
      </c>
      <c r="O15" s="27">
        <f t="shared" si="0"/>
        <v>0</v>
      </c>
      <c r="P15" s="22">
        <f t="shared" si="5"/>
        <v>0</v>
      </c>
      <c r="R15" s="23">
        <f t="shared" si="1"/>
        <v>0.63433679833679835</v>
      </c>
      <c r="S15" s="24">
        <f t="shared" si="2"/>
        <v>-0.24164656964656994</v>
      </c>
      <c r="T15" s="25">
        <f t="shared" si="3"/>
        <v>0.60523076923076935</v>
      </c>
      <c r="V15" s="26">
        <f t="shared" si="4"/>
        <v>0.99792099792099775</v>
      </c>
    </row>
    <row r="16" spans="1:22">
      <c r="D16" s="20">
        <v>130</v>
      </c>
      <c r="E16" s="21">
        <v>13</v>
      </c>
      <c r="F16" s="27">
        <f t="shared" si="0"/>
        <v>26.410514574236004</v>
      </c>
      <c r="G16" s="27">
        <f t="shared" si="0"/>
        <v>37.864938049762657</v>
      </c>
      <c r="H16" s="27">
        <f t="shared" si="0"/>
        <v>27.730520309250061</v>
      </c>
      <c r="I16" s="27">
        <f t="shared" si="0"/>
        <v>30.858441044167773</v>
      </c>
      <c r="J16" s="27">
        <f t="shared" si="0"/>
        <v>24.86272645989397</v>
      </c>
      <c r="K16" s="27">
        <f t="shared" si="0"/>
        <v>24.969789181243801</v>
      </c>
      <c r="L16" s="27">
        <f t="shared" si="0"/>
        <v>19.986764326560802</v>
      </c>
      <c r="M16" s="27">
        <f t="shared" si="0"/>
        <v>18.446390176048496</v>
      </c>
      <c r="N16" s="27">
        <f t="shared" si="0"/>
        <v>12.995740799174015</v>
      </c>
      <c r="O16" s="27">
        <f t="shared" si="0"/>
        <v>9.6625445945945962</v>
      </c>
      <c r="P16" s="22">
        <f t="shared" si="5"/>
        <v>0</v>
      </c>
      <c r="R16" s="23">
        <f t="shared" si="1"/>
        <v>0.54791891891891897</v>
      </c>
      <c r="S16" s="24">
        <f t="shared" si="2"/>
        <v>-7.0889812889813192E-2</v>
      </c>
      <c r="T16" s="25">
        <f t="shared" si="3"/>
        <v>0.520891891891892</v>
      </c>
      <c r="V16" s="26">
        <f t="shared" si="4"/>
        <v>0.99792099792099775</v>
      </c>
    </row>
    <row r="17" spans="4:22">
      <c r="D17" s="20">
        <v>120</v>
      </c>
      <c r="E17" s="21">
        <v>12</v>
      </c>
      <c r="F17" s="27">
        <f t="shared" si="0"/>
        <v>52.54889033829231</v>
      </c>
      <c r="G17" s="27">
        <f t="shared" si="0"/>
        <v>46.975182289026627</v>
      </c>
      <c r="H17" s="27">
        <f t="shared" si="0"/>
        <v>47.658656867907965</v>
      </c>
      <c r="I17" s="27">
        <f t="shared" si="0"/>
        <v>43.921886990710419</v>
      </c>
      <c r="J17" s="27">
        <f t="shared" si="0"/>
        <v>43.058598906879709</v>
      </c>
      <c r="K17" s="27">
        <f t="shared" si="0"/>
        <v>39.660905281584817</v>
      </c>
      <c r="L17" s="27">
        <f t="shared" si="0"/>
        <v>37.837671170332285</v>
      </c>
      <c r="M17" s="27">
        <f t="shared" si="0"/>
        <v>34.093662132103574</v>
      </c>
      <c r="N17" s="27">
        <f t="shared" si="0"/>
        <v>31.030216161735119</v>
      </c>
      <c r="O17" s="27">
        <f t="shared" si="0"/>
        <v>26.264023284823281</v>
      </c>
      <c r="P17" s="22">
        <f t="shared" si="5"/>
        <v>18.55</v>
      </c>
      <c r="R17" s="23">
        <f t="shared" si="1"/>
        <v>0.46782536382536383</v>
      </c>
      <c r="S17" s="24">
        <f t="shared" si="2"/>
        <v>8.7218295218295133E-2</v>
      </c>
      <c r="T17" s="25">
        <f t="shared" si="3"/>
        <v>0.44287733887733888</v>
      </c>
      <c r="V17" s="26">
        <f t="shared" si="4"/>
        <v>0.99792099792099775</v>
      </c>
    </row>
    <row r="18" spans="4:22">
      <c r="D18" s="20">
        <v>110</v>
      </c>
      <c r="E18" s="21">
        <v>11</v>
      </c>
      <c r="F18" s="27">
        <f t="shared" si="0"/>
        <v>69.829602533609588</v>
      </c>
      <c r="G18" s="27">
        <f t="shared" si="0"/>
        <v>69.404356249152997</v>
      </c>
      <c r="H18" s="27">
        <f t="shared" si="0"/>
        <v>67.389843895667383</v>
      </c>
      <c r="I18" s="27">
        <f t="shared" si="0"/>
        <v>66.364884298983398</v>
      </c>
      <c r="J18" s="27">
        <f t="shared" si="0"/>
        <v>64.430877001084923</v>
      </c>
      <c r="K18" s="27">
        <f t="shared" si="0"/>
        <v>63.037638646893718</v>
      </c>
      <c r="L18" s="27">
        <f t="shared" si="0"/>
        <v>60.988563747204537</v>
      </c>
      <c r="M18" s="27">
        <f t="shared" si="0"/>
        <v>59.236245757232453</v>
      </c>
      <c r="N18" s="27">
        <f t="shared" si="0"/>
        <v>57.143412383259047</v>
      </c>
      <c r="O18" s="27">
        <f t="shared" si="0"/>
        <v>54.685862785862781</v>
      </c>
      <c r="P18" s="22">
        <f t="shared" si="5"/>
        <v>55.65</v>
      </c>
      <c r="R18" s="23">
        <f t="shared" si="1"/>
        <v>0.39405613305613313</v>
      </c>
      <c r="S18" s="24">
        <f t="shared" si="2"/>
        <v>0.23267775467775448</v>
      </c>
      <c r="T18" s="25">
        <f t="shared" si="3"/>
        <v>0.3711871101871102</v>
      </c>
      <c r="V18" s="26">
        <f t="shared" si="4"/>
        <v>0.99792099792099775</v>
      </c>
    </row>
    <row r="19" spans="4:22">
      <c r="D19" s="20">
        <v>100</v>
      </c>
      <c r="E19" s="21">
        <v>10</v>
      </c>
      <c r="F19" s="27">
        <f t="shared" si="0"/>
        <v>95.636004278732216</v>
      </c>
      <c r="G19" s="27">
        <f t="shared" si="0"/>
        <v>94.749772039638586</v>
      </c>
      <c r="H19" s="27">
        <f t="shared" si="0"/>
        <v>94.141341906492897</v>
      </c>
      <c r="I19" s="27">
        <f t="shared" si="0"/>
        <v>93.323614243989624</v>
      </c>
      <c r="J19" s="27">
        <f t="shared" si="0"/>
        <v>92.691116103274368</v>
      </c>
      <c r="K19" s="27">
        <f t="shared" si="0"/>
        <v>91.961161567717937</v>
      </c>
      <c r="L19" s="27">
        <f t="shared" si="0"/>
        <v>91.42771733327524</v>
      </c>
      <c r="M19" s="27">
        <f t="shared" si="0"/>
        <v>90.980504173082949</v>
      </c>
      <c r="N19" s="27">
        <f t="shared" si="0"/>
        <v>90.823730014998176</v>
      </c>
      <c r="O19" s="27">
        <f t="shared" si="0"/>
        <v>91.785862785862776</v>
      </c>
      <c r="P19" s="22">
        <f t="shared" si="5"/>
        <v>92.75</v>
      </c>
      <c r="R19" s="23">
        <f t="shared" si="1"/>
        <v>0.32661122661122666</v>
      </c>
      <c r="S19" s="24">
        <f t="shared" si="2"/>
        <v>0.36548856548856529</v>
      </c>
      <c r="T19" s="25">
        <f t="shared" si="3"/>
        <v>0.30582120582120587</v>
      </c>
      <c r="V19" s="26">
        <f t="shared" si="4"/>
        <v>0.99792099792099787</v>
      </c>
    </row>
    <row r="20" spans="4:22">
      <c r="D20" s="20">
        <v>90</v>
      </c>
      <c r="E20" s="21">
        <v>9</v>
      </c>
      <c r="F20" s="27">
        <f t="shared" si="0"/>
        <v>125.39048401672922</v>
      </c>
      <c r="G20" s="27">
        <f t="shared" si="0"/>
        <v>125.36018876111352</v>
      </c>
      <c r="H20" s="27">
        <f t="shared" si="0"/>
        <v>125.340910726685</v>
      </c>
      <c r="I20" s="27">
        <f t="shared" si="0"/>
        <v>125.4233225666854</v>
      </c>
      <c r="J20" s="27">
        <f t="shared" si="0"/>
        <v>125.57083251891868</v>
      </c>
      <c r="K20" s="27">
        <f t="shared" si="0"/>
        <v>125.86296132320297</v>
      </c>
      <c r="L20" s="27">
        <f t="shared" si="0"/>
        <v>126.30198940990289</v>
      </c>
      <c r="M20" s="27">
        <f t="shared" si="0"/>
        <v>126.96359752016448</v>
      </c>
      <c r="N20" s="27">
        <f t="shared" si="0"/>
        <v>127.92373001499817</v>
      </c>
      <c r="O20" s="27">
        <f t="shared" si="0"/>
        <v>128.88586278586277</v>
      </c>
      <c r="P20" s="22">
        <f t="shared" si="5"/>
        <v>129.85</v>
      </c>
      <c r="R20" s="23">
        <f t="shared" si="1"/>
        <v>0.26549064449064452</v>
      </c>
      <c r="S20" s="24">
        <f t="shared" si="2"/>
        <v>0.48565072765072748</v>
      </c>
      <c r="T20" s="25">
        <f t="shared" si="3"/>
        <v>0.24677962577962581</v>
      </c>
      <c r="V20" s="26">
        <f t="shared" si="4"/>
        <v>0.99792099792099775</v>
      </c>
    </row>
    <row r="21" spans="4:22">
      <c r="D21" s="20">
        <v>80</v>
      </c>
      <c r="E21" s="21">
        <v>8</v>
      </c>
      <c r="F21" s="27">
        <f t="shared" si="0"/>
        <v>158.97016989934781</v>
      </c>
      <c r="G21" s="27">
        <f t="shared" si="0"/>
        <v>159.47037344752172</v>
      </c>
      <c r="H21" s="27">
        <f t="shared" si="0"/>
        <v>160.0401110973151</v>
      </c>
      <c r="I21" s="27">
        <f t="shared" si="0"/>
        <v>160.67953843717572</v>
      </c>
      <c r="J21" s="27">
        <f t="shared" si="0"/>
        <v>161.40364952542166</v>
      </c>
      <c r="K21" s="27">
        <f t="shared" si="0"/>
        <v>162.21179357430162</v>
      </c>
      <c r="L21" s="27">
        <f t="shared" si="0"/>
        <v>163.10546114278367</v>
      </c>
      <c r="M21" s="27">
        <f t="shared" si="0"/>
        <v>164.06359752016448</v>
      </c>
      <c r="N21" s="27">
        <f t="shared" si="0"/>
        <v>165.02373001499816</v>
      </c>
      <c r="O21" s="27">
        <f t="shared" si="0"/>
        <v>165.98586278586276</v>
      </c>
      <c r="P21" s="22">
        <f t="shared" si="5"/>
        <v>166.95</v>
      </c>
      <c r="R21" s="23">
        <f t="shared" si="1"/>
        <v>0.2106943866943867</v>
      </c>
      <c r="S21" s="24">
        <f t="shared" si="2"/>
        <v>0.59316424116424105</v>
      </c>
      <c r="T21" s="25">
        <f t="shared" si="3"/>
        <v>0.19406237006237009</v>
      </c>
      <c r="V21" s="26">
        <f t="shared" si="4"/>
        <v>0.99792099792099775</v>
      </c>
    </row>
    <row r="22" spans="4:22">
      <c r="D22" s="20">
        <v>70</v>
      </c>
      <c r="E22" s="21">
        <v>7</v>
      </c>
      <c r="F22" s="27">
        <f t="shared" ref="F22:O28" si="6">G21*$R22+G22*$S22+G23*$T22</f>
        <v>194.8142813260948</v>
      </c>
      <c r="G22" s="27">
        <f t="shared" si="6"/>
        <v>195.63482990573246</v>
      </c>
      <c r="H22" s="27">
        <f t="shared" si="6"/>
        <v>196.49186015357847</v>
      </c>
      <c r="I22" s="27">
        <f t="shared" si="6"/>
        <v>197.38378219299508</v>
      </c>
      <c r="J22" s="27">
        <f t="shared" si="6"/>
        <v>198.30529529575693</v>
      </c>
      <c r="K22" s="27">
        <f t="shared" si="6"/>
        <v>199.24931673292332</v>
      </c>
      <c r="L22" s="27">
        <f t="shared" si="6"/>
        <v>200.20546114278361</v>
      </c>
      <c r="M22" s="27">
        <f t="shared" si="6"/>
        <v>201.16359752016447</v>
      </c>
      <c r="N22" s="27">
        <f t="shared" si="6"/>
        <v>202.12373001499819</v>
      </c>
      <c r="O22" s="27">
        <f t="shared" si="6"/>
        <v>203.08586278586279</v>
      </c>
      <c r="P22" s="22">
        <f t="shared" si="5"/>
        <v>204.05</v>
      </c>
      <c r="R22" s="23">
        <f t="shared" si="1"/>
        <v>0.16222245322245324</v>
      </c>
      <c r="S22" s="24">
        <f t="shared" si="2"/>
        <v>0.68802910602910583</v>
      </c>
      <c r="T22" s="25">
        <f t="shared" si="3"/>
        <v>0.14766943866943869</v>
      </c>
      <c r="V22" s="26">
        <f t="shared" si="4"/>
        <v>0.99792099792099775</v>
      </c>
    </row>
    <row r="23" spans="4:22">
      <c r="D23" s="20">
        <v>60</v>
      </c>
      <c r="E23" s="21">
        <v>6</v>
      </c>
      <c r="F23" s="27">
        <f t="shared" si="6"/>
        <v>231.63386954416629</v>
      </c>
      <c r="G23" s="27">
        <f t="shared" si="6"/>
        <v>232.56097748035347</v>
      </c>
      <c r="H23" s="27">
        <f t="shared" si="6"/>
        <v>233.49862975544301</v>
      </c>
      <c r="I23" s="27">
        <f t="shared" si="6"/>
        <v>234.44420423549096</v>
      </c>
      <c r="J23" s="27">
        <f t="shared" si="6"/>
        <v>235.39516014927892</v>
      </c>
      <c r="K23" s="27">
        <f t="shared" si="6"/>
        <v>236.34931673292328</v>
      </c>
      <c r="L23" s="27">
        <f t="shared" si="6"/>
        <v>237.30546114278357</v>
      </c>
      <c r="M23" s="27">
        <f t="shared" si="6"/>
        <v>238.26359752016441</v>
      </c>
      <c r="N23" s="27">
        <f t="shared" si="6"/>
        <v>239.22373001499813</v>
      </c>
      <c r="O23" s="27">
        <f t="shared" si="6"/>
        <v>240.18586278586275</v>
      </c>
      <c r="P23" s="22">
        <f t="shared" si="5"/>
        <v>241.15</v>
      </c>
      <c r="R23" s="23">
        <f t="shared" si="1"/>
        <v>0.12007484407484408</v>
      </c>
      <c r="S23" s="24">
        <f t="shared" si="2"/>
        <v>0.77024532224532205</v>
      </c>
      <c r="T23" s="25">
        <f t="shared" si="3"/>
        <v>0.1076008316008316</v>
      </c>
      <c r="V23" s="26">
        <f t="shared" si="4"/>
        <v>0.99792099792099764</v>
      </c>
    </row>
    <row r="24" spans="4:22">
      <c r="D24" s="20">
        <v>50</v>
      </c>
      <c r="E24" s="21">
        <v>5</v>
      </c>
      <c r="F24" s="27">
        <f t="shared" si="6"/>
        <v>268.7001973623382</v>
      </c>
      <c r="G24" s="27">
        <f t="shared" si="6"/>
        <v>269.64515399117653</v>
      </c>
      <c r="H24" s="27">
        <f t="shared" si="6"/>
        <v>270.59289651799605</v>
      </c>
      <c r="I24" s="27">
        <f t="shared" si="6"/>
        <v>271.54298727163814</v>
      </c>
      <c r="J24" s="27">
        <f t="shared" si="6"/>
        <v>272.49516015115893</v>
      </c>
      <c r="K24" s="27">
        <f t="shared" si="6"/>
        <v>273.44931673292331</v>
      </c>
      <c r="L24" s="27">
        <f t="shared" si="6"/>
        <v>274.40546114278362</v>
      </c>
      <c r="M24" s="27">
        <f t="shared" si="6"/>
        <v>275.36359752016443</v>
      </c>
      <c r="N24" s="27">
        <f t="shared" si="6"/>
        <v>276.32373001499815</v>
      </c>
      <c r="O24" s="27">
        <f t="shared" si="6"/>
        <v>277.28586278586278</v>
      </c>
      <c r="P24" s="22">
        <f t="shared" si="5"/>
        <v>278.25</v>
      </c>
      <c r="R24" s="23">
        <f t="shared" si="1"/>
        <v>8.4251559251559263E-2</v>
      </c>
      <c r="S24" s="24">
        <f t="shared" si="2"/>
        <v>0.83981288981288971</v>
      </c>
      <c r="T24" s="25">
        <f t="shared" si="3"/>
        <v>7.3856548856548868E-2</v>
      </c>
      <c r="V24" s="26">
        <f t="shared" si="4"/>
        <v>0.99792099792099787</v>
      </c>
    </row>
    <row r="25" spans="4:22">
      <c r="D25" s="20">
        <v>40</v>
      </c>
      <c r="E25" s="21">
        <v>4</v>
      </c>
      <c r="F25" s="27">
        <f t="shared" si="6"/>
        <v>305.79837166162616</v>
      </c>
      <c r="G25" s="27">
        <f t="shared" si="6"/>
        <v>306.74458449423253</v>
      </c>
      <c r="H25" s="27">
        <f t="shared" si="6"/>
        <v>307.69279522792607</v>
      </c>
      <c r="I25" s="27">
        <f t="shared" si="6"/>
        <v>308.64298775889125</v>
      </c>
      <c r="J25" s="27">
        <f t="shared" si="6"/>
        <v>309.59516029691139</v>
      </c>
      <c r="K25" s="27">
        <f t="shared" si="6"/>
        <v>310.5493167583777</v>
      </c>
      <c r="L25" s="27">
        <f t="shared" si="6"/>
        <v>311.50546114278359</v>
      </c>
      <c r="M25" s="27">
        <f t="shared" si="6"/>
        <v>312.46359752016446</v>
      </c>
      <c r="N25" s="27">
        <f t="shared" si="6"/>
        <v>313.42373001499817</v>
      </c>
      <c r="O25" s="27">
        <f t="shared" si="6"/>
        <v>314.38586278586274</v>
      </c>
      <c r="P25" s="22">
        <f t="shared" si="5"/>
        <v>315.35000000000002</v>
      </c>
      <c r="R25" s="23">
        <f t="shared" si="1"/>
        <v>5.4752598752598754E-2</v>
      </c>
      <c r="S25" s="24">
        <f t="shared" si="2"/>
        <v>0.89673180873180858</v>
      </c>
      <c r="T25" s="25">
        <f t="shared" si="3"/>
        <v>4.6436590436590444E-2</v>
      </c>
      <c r="V25" s="26">
        <f t="shared" si="4"/>
        <v>0.99792099792099775</v>
      </c>
    </row>
    <row r="26" spans="4:22">
      <c r="D26" s="20">
        <v>30</v>
      </c>
      <c r="E26" s="21">
        <v>3</v>
      </c>
      <c r="F26" s="27">
        <f t="shared" si="6"/>
        <v>342.89843241082559</v>
      </c>
      <c r="G26" s="27">
        <f t="shared" si="6"/>
        <v>343.84463883427048</v>
      </c>
      <c r="H26" s="27">
        <f t="shared" si="6"/>
        <v>344.79282946619827</v>
      </c>
      <c r="I26" s="27">
        <f t="shared" si="6"/>
        <v>345.74300536262291</v>
      </c>
      <c r="J26" s="27">
        <f t="shared" si="6"/>
        <v>346.69516805782621</v>
      </c>
      <c r="K26" s="27">
        <f t="shared" si="6"/>
        <v>347.64931942060355</v>
      </c>
      <c r="L26" s="27">
        <f t="shared" si="6"/>
        <v>348.60546169093823</v>
      </c>
      <c r="M26" s="27">
        <f t="shared" si="6"/>
        <v>349.56359752016454</v>
      </c>
      <c r="N26" s="27">
        <f t="shared" si="6"/>
        <v>350.52373001499819</v>
      </c>
      <c r="O26" s="27">
        <f t="shared" si="6"/>
        <v>351.48586278586276</v>
      </c>
      <c r="P26" s="22">
        <f t="shared" si="5"/>
        <v>352.45</v>
      </c>
      <c r="R26" s="23">
        <f t="shared" si="1"/>
        <v>3.1577962577962582E-2</v>
      </c>
      <c r="S26" s="24">
        <f t="shared" si="2"/>
        <v>0.94100207900207899</v>
      </c>
      <c r="T26" s="25">
        <f t="shared" si="3"/>
        <v>2.5340956340956341E-2</v>
      </c>
      <c r="V26" s="26">
        <f t="shared" si="4"/>
        <v>0.99792099792099798</v>
      </c>
    </row>
    <row r="27" spans="4:22">
      <c r="D27" s="20">
        <v>20</v>
      </c>
      <c r="E27" s="21">
        <v>2</v>
      </c>
      <c r="F27" s="27">
        <f t="shared" si="6"/>
        <v>380.00076139183403</v>
      </c>
      <c r="G27" s="27">
        <f t="shared" si="6"/>
        <v>380.94629397645673</v>
      </c>
      <c r="H27" s="27">
        <f t="shared" si="6"/>
        <v>381.89394978403016</v>
      </c>
      <c r="I27" s="27">
        <f t="shared" si="6"/>
        <v>382.84371637791918</v>
      </c>
      <c r="J27" s="27">
        <f t="shared" si="6"/>
        <v>383.79558068770223</v>
      </c>
      <c r="K27" s="27">
        <f t="shared" si="6"/>
        <v>384.74952898342696</v>
      </c>
      <c r="L27" s="27">
        <f t="shared" si="6"/>
        <v>385.70554684853073</v>
      </c>
      <c r="M27" s="27">
        <f t="shared" si="6"/>
        <v>386.66361915133285</v>
      </c>
      <c r="N27" s="27">
        <f t="shared" si="6"/>
        <v>387.62373001499816</v>
      </c>
      <c r="O27" s="27">
        <f t="shared" si="6"/>
        <v>388.58586278586279</v>
      </c>
      <c r="P27" s="22">
        <f t="shared" si="5"/>
        <v>389.55</v>
      </c>
      <c r="R27" s="23">
        <f t="shared" si="1"/>
        <v>1.4727650727650728E-2</v>
      </c>
      <c r="S27" s="24">
        <f t="shared" si="2"/>
        <v>0.97262370062370052</v>
      </c>
      <c r="T27" s="25">
        <f t="shared" si="3"/>
        <v>1.0569646569646571E-2</v>
      </c>
      <c r="V27" s="26">
        <f t="shared" si="4"/>
        <v>0.99792099792099775</v>
      </c>
    </row>
    <row r="28" spans="4:22">
      <c r="D28" s="20">
        <v>10</v>
      </c>
      <c r="E28" s="21">
        <v>1</v>
      </c>
      <c r="F28" s="27">
        <f t="shared" si="6"/>
        <v>417.18790677667414</v>
      </c>
      <c r="G28" s="27">
        <f t="shared" si="6"/>
        <v>418.1164839450305</v>
      </c>
      <c r="H28" s="27">
        <f t="shared" si="6"/>
        <v>419.04891490455378</v>
      </c>
      <c r="I28" s="27">
        <f t="shared" si="6"/>
        <v>419.98522337038196</v>
      </c>
      <c r="J28" s="27">
        <f t="shared" si="6"/>
        <v>420.92543331401066</v>
      </c>
      <c r="K28" s="27">
        <f t="shared" si="6"/>
        <v>421.86956896826064</v>
      </c>
      <c r="L28" s="27">
        <f t="shared" si="6"/>
        <v>422.81765483240144</v>
      </c>
      <c r="M28" s="27">
        <f t="shared" si="6"/>
        <v>423.76971567743965</v>
      </c>
      <c r="N28" s="27">
        <f t="shared" si="6"/>
        <v>424.72577655157937</v>
      </c>
      <c r="O28" s="27">
        <f t="shared" si="6"/>
        <v>425.6858627858627</v>
      </c>
      <c r="P28" s="22">
        <f t="shared" si="5"/>
        <v>426.65</v>
      </c>
      <c r="R28" s="23">
        <f t="shared" si="1"/>
        <v>4.2016632016632022E-3</v>
      </c>
      <c r="S28" s="24">
        <f t="shared" si="2"/>
        <v>0.99159667359667347</v>
      </c>
      <c r="T28" s="25">
        <f t="shared" si="3"/>
        <v>2.1226611226611227E-3</v>
      </c>
      <c r="V28" s="26">
        <f t="shared" si="4"/>
        <v>0.99792099792099775</v>
      </c>
    </row>
    <row r="29" spans="4:22">
      <c r="D29" s="20">
        <v>0</v>
      </c>
      <c r="E29" s="21">
        <v>0</v>
      </c>
      <c r="F29" s="22">
        <f t="shared" ref="F29:O29" si="7">MAX(($B$2-$B$10*$E$29)*$B$11,0)</f>
        <v>463.75</v>
      </c>
      <c r="G29" s="22">
        <f t="shared" si="7"/>
        <v>463.75</v>
      </c>
      <c r="H29" s="22">
        <f t="shared" si="7"/>
        <v>463.75</v>
      </c>
      <c r="I29" s="22">
        <f t="shared" si="7"/>
        <v>463.75</v>
      </c>
      <c r="J29" s="22">
        <f t="shared" si="7"/>
        <v>463.75</v>
      </c>
      <c r="K29" s="22">
        <f t="shared" si="7"/>
        <v>463.75</v>
      </c>
      <c r="L29" s="22">
        <f t="shared" si="7"/>
        <v>463.75</v>
      </c>
      <c r="M29" s="22">
        <f t="shared" si="7"/>
        <v>463.75</v>
      </c>
      <c r="N29" s="22">
        <f t="shared" si="7"/>
        <v>463.75</v>
      </c>
      <c r="O29" s="22">
        <f t="shared" si="7"/>
        <v>463.75</v>
      </c>
      <c r="P29" s="22">
        <f>MAX(($B$2-$B$10*$E$29)*$B$11,0)</f>
        <v>463.75</v>
      </c>
      <c r="R29" s="29">
        <f t="shared" si="1"/>
        <v>0</v>
      </c>
      <c r="S29" s="30">
        <f t="shared" si="2"/>
        <v>0.99792099792099787</v>
      </c>
      <c r="T29" s="31">
        <f t="shared" si="3"/>
        <v>0</v>
      </c>
      <c r="V29" s="32">
        <f>SUM(R29,S29,T29)</f>
        <v>0.99792099792099787</v>
      </c>
    </row>
    <row r="30" spans="4:22">
      <c r="F30" s="33">
        <v>0</v>
      </c>
      <c r="G30" s="33">
        <v>1</v>
      </c>
      <c r="H30" s="33">
        <v>2</v>
      </c>
      <c r="I30" s="33">
        <v>3</v>
      </c>
      <c r="J30" s="33">
        <v>4</v>
      </c>
      <c r="K30" s="33">
        <v>5</v>
      </c>
      <c r="L30" s="33">
        <v>6</v>
      </c>
      <c r="M30" s="33">
        <v>7</v>
      </c>
      <c r="N30" s="33">
        <v>8</v>
      </c>
      <c r="O30" s="33">
        <v>9</v>
      </c>
      <c r="P30" s="33">
        <v>10</v>
      </c>
    </row>
    <row r="31" spans="4:22">
      <c r="F31" s="20">
        <f>F30*$B$9</f>
        <v>0</v>
      </c>
      <c r="G31" s="20">
        <f t="shared" ref="G31:P31" si="8">G30*$B$9</f>
        <v>4.1666666666666671E-2</v>
      </c>
      <c r="H31" s="20">
        <f t="shared" si="8"/>
        <v>8.3333333333333343E-2</v>
      </c>
      <c r="I31" s="20">
        <f t="shared" si="8"/>
        <v>0.125</v>
      </c>
      <c r="J31" s="20">
        <f t="shared" si="8"/>
        <v>0.16666666666666669</v>
      </c>
      <c r="K31" s="20">
        <f t="shared" si="8"/>
        <v>0.20833333333333337</v>
      </c>
      <c r="L31" s="20">
        <f t="shared" si="8"/>
        <v>0.25</v>
      </c>
      <c r="M31" s="20">
        <f t="shared" si="8"/>
        <v>0.29166666666666669</v>
      </c>
      <c r="N31" s="20">
        <f t="shared" si="8"/>
        <v>0.33333333333333337</v>
      </c>
      <c r="O31" s="20">
        <f t="shared" si="8"/>
        <v>0.37500000000000006</v>
      </c>
      <c r="P31" s="20">
        <f t="shared" si="8"/>
        <v>0.41666666666666674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U41"/>
  <sheetViews>
    <sheetView workbookViewId="0">
      <selection activeCell="K13" sqref="K13"/>
    </sheetView>
  </sheetViews>
  <sheetFormatPr defaultRowHeight="15"/>
  <cols>
    <col min="1" max="1" width="9.85546875" bestFit="1" customWidth="1"/>
  </cols>
  <sheetData>
    <row r="1" spans="1:21">
      <c r="A1" s="38" t="s">
        <v>40</v>
      </c>
      <c r="B1" s="13">
        <v>120</v>
      </c>
      <c r="C1" s="39" t="str">
        <f>[2]Arkusz!C1</f>
        <v>XUAUSD</v>
      </c>
    </row>
    <row r="2" spans="1:21">
      <c r="A2" s="38" t="s">
        <v>19</v>
      </c>
      <c r="B2" s="13">
        <v>125</v>
      </c>
      <c r="C2" s="39" t="str">
        <f>[2]Arkusz!C2</f>
        <v>XUAUSD</v>
      </c>
    </row>
    <row r="3" spans="1:21">
      <c r="A3" s="38" t="s">
        <v>15</v>
      </c>
      <c r="B3" s="13">
        <f>1/12</f>
        <v>8.3333333333333329E-2</v>
      </c>
      <c r="C3" s="39" t="s">
        <v>54</v>
      </c>
    </row>
    <row r="4" spans="1:21">
      <c r="A4" s="38" t="s">
        <v>13</v>
      </c>
      <c r="B4" s="13">
        <v>0.05</v>
      </c>
    </row>
    <row r="5" spans="1:21">
      <c r="A5" s="38" t="s">
        <v>12</v>
      </c>
      <c r="B5" s="13">
        <v>0.39</v>
      </c>
    </row>
    <row r="6" spans="1:21">
      <c r="A6" s="38" t="s">
        <v>56</v>
      </c>
      <c r="B6" s="39">
        <f>B1*2</f>
        <v>240</v>
      </c>
      <c r="C6" s="39" t="str">
        <f>[2]Arkusz!C6</f>
        <v>USDPLN</v>
      </c>
    </row>
    <row r="7" spans="1:21">
      <c r="A7" s="38" t="s">
        <v>11</v>
      </c>
      <c r="B7" s="13">
        <v>10</v>
      </c>
    </row>
    <row r="8" spans="1:21">
      <c r="A8" s="38" t="s">
        <v>47</v>
      </c>
      <c r="B8" s="13">
        <v>24</v>
      </c>
    </row>
    <row r="9" spans="1:21">
      <c r="A9" s="38" t="s">
        <v>10</v>
      </c>
      <c r="B9" s="39">
        <f>B3/B7</f>
        <v>8.3333333333333332E-3</v>
      </c>
    </row>
    <row r="10" spans="1:21">
      <c r="A10" s="38" t="s">
        <v>55</v>
      </c>
      <c r="B10" s="39">
        <f>B6/B8</f>
        <v>10</v>
      </c>
    </row>
    <row r="11" spans="1:21">
      <c r="A11" s="38" t="s">
        <v>28</v>
      </c>
      <c r="B11" s="13">
        <v>3.71</v>
      </c>
      <c r="C11" s="39" t="str">
        <f>[2]Arkusz!C6</f>
        <v>USDPLN</v>
      </c>
    </row>
    <row r="14" spans="1:21">
      <c r="R14" s="11" t="s">
        <v>42</v>
      </c>
      <c r="S14" s="11" t="s">
        <v>50</v>
      </c>
      <c r="T14" s="11" t="s">
        <v>44</v>
      </c>
      <c r="U14" s="11" t="s">
        <v>51</v>
      </c>
    </row>
    <row r="15" spans="1:21">
      <c r="C15" s="9">
        <v>240</v>
      </c>
      <c r="D15" s="34">
        <v>24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R15">
        <v>0.36988588088296542</v>
      </c>
      <c r="S15">
        <v>0.26980758017492712</v>
      </c>
      <c r="T15">
        <v>0.35989004581424411</v>
      </c>
      <c r="U15">
        <v>0.99958350687213671</v>
      </c>
    </row>
    <row r="16" spans="1:21">
      <c r="C16" s="9">
        <v>230</v>
      </c>
      <c r="D16" s="34">
        <v>23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R16">
        <v>0.33990379008746352</v>
      </c>
      <c r="S16">
        <v>0.32935526863806741</v>
      </c>
      <c r="T16">
        <v>0.33032444814660561</v>
      </c>
      <c r="U16">
        <v>0.9995835068721366</v>
      </c>
    </row>
    <row r="17" spans="3:21">
      <c r="C17" s="9">
        <v>220</v>
      </c>
      <c r="D17" s="34">
        <v>22</v>
      </c>
      <c r="E17">
        <v>8.7465933072696415E-7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R17">
        <v>0.31118867138692213</v>
      </c>
      <c r="S17">
        <v>0.38636901291128689</v>
      </c>
      <c r="T17">
        <v>0.30202582257392757</v>
      </c>
      <c r="U17">
        <v>0.9995835068721366</v>
      </c>
    </row>
    <row r="18" spans="3:21">
      <c r="C18" s="9">
        <v>210</v>
      </c>
      <c r="D18" s="34">
        <v>21</v>
      </c>
      <c r="E18">
        <v>1.9426629481652608E-5</v>
      </c>
      <c r="F18">
        <v>2.8959753284435528E-6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R18">
        <v>0.2837405247813411</v>
      </c>
      <c r="S18">
        <v>0.4408488129945855</v>
      </c>
      <c r="T18">
        <v>0.27499416909620988</v>
      </c>
      <c r="U18">
        <v>0.99958350687213648</v>
      </c>
    </row>
    <row r="19" spans="3:21">
      <c r="C19" s="9">
        <v>200</v>
      </c>
      <c r="D19" s="34">
        <v>20</v>
      </c>
      <c r="E19">
        <v>2.3407019990553016E-4</v>
      </c>
      <c r="F19">
        <v>6.6001189244477016E-5</v>
      </c>
      <c r="G19">
        <v>1.0531042668873326E-5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R19">
        <v>0.25755935027072052</v>
      </c>
      <c r="S19">
        <v>0.49279466888796331</v>
      </c>
      <c r="T19">
        <v>0.24922948771345274</v>
      </c>
      <c r="U19">
        <v>0.9995835068721366</v>
      </c>
    </row>
    <row r="20" spans="3:21">
      <c r="C20" s="9">
        <v>190</v>
      </c>
      <c r="D20" s="34">
        <v>19</v>
      </c>
      <c r="E20">
        <v>1.9998607596305013E-3</v>
      </c>
      <c r="F20">
        <v>8.0568026690508551E-4</v>
      </c>
      <c r="G20">
        <v>2.4399820469615371E-4</v>
      </c>
      <c r="H20">
        <v>4.2254400815449284E-5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R20">
        <v>0.23264514785506038</v>
      </c>
      <c r="S20">
        <v>0.54220658059142024</v>
      </c>
      <c r="T20">
        <v>0.22473177842565598</v>
      </c>
      <c r="U20">
        <v>0.9995835068721366</v>
      </c>
    </row>
    <row r="21" spans="3:21">
      <c r="C21" s="9">
        <v>180</v>
      </c>
      <c r="D21" s="34">
        <v>18</v>
      </c>
      <c r="E21">
        <v>1.3400089383201298E-2</v>
      </c>
      <c r="F21">
        <v>6.8867018784506519E-3</v>
      </c>
      <c r="G21">
        <v>2.9854827091555431E-3</v>
      </c>
      <c r="H21">
        <v>9.8378427859150373E-4</v>
      </c>
      <c r="I21">
        <v>1.8802147658626551E-4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R21">
        <v>0.20899791753436067</v>
      </c>
      <c r="S21">
        <v>0.58908454810495614</v>
      </c>
      <c r="T21">
        <v>0.20150104123281967</v>
      </c>
      <c r="U21">
        <v>0.99958350687213648</v>
      </c>
    </row>
    <row r="22" spans="3:21">
      <c r="C22" s="9">
        <v>170</v>
      </c>
      <c r="D22" s="34">
        <v>17</v>
      </c>
      <c r="E22">
        <v>7.389105117485073E-2</v>
      </c>
      <c r="F22">
        <v>4.5532540006173371E-2</v>
      </c>
      <c r="G22">
        <v>2.5195924537793693E-2</v>
      </c>
      <c r="H22">
        <v>1.1896313267294336E-2</v>
      </c>
      <c r="I22">
        <v>4.3326015919388826E-3</v>
      </c>
      <c r="J22">
        <v>9.3310424321341591E-4</v>
      </c>
      <c r="K22">
        <v>0</v>
      </c>
      <c r="L22">
        <v>0</v>
      </c>
      <c r="M22">
        <v>0</v>
      </c>
      <c r="N22">
        <v>0</v>
      </c>
      <c r="O22">
        <v>0</v>
      </c>
      <c r="R22">
        <v>0.1866176593086214</v>
      </c>
      <c r="S22">
        <v>0.63342857142857134</v>
      </c>
      <c r="T22">
        <v>0.17953727613494377</v>
      </c>
      <c r="U22">
        <v>0.99958350687213648</v>
      </c>
    </row>
    <row r="23" spans="3:21">
      <c r="C23" s="9">
        <v>160</v>
      </c>
      <c r="D23" s="34">
        <v>16</v>
      </c>
      <c r="E23">
        <v>0.34335403886058202</v>
      </c>
      <c r="F23">
        <v>0.24376140800654247</v>
      </c>
      <c r="G23">
        <v>0.1616131109368005</v>
      </c>
      <c r="H23">
        <v>9.7343953726653137E-2</v>
      </c>
      <c r="I23">
        <v>5.0779602424349278E-2</v>
      </c>
      <c r="J23">
        <v>2.0839943574470016E-2</v>
      </c>
      <c r="K23">
        <v>5.1972730304322779E-3</v>
      </c>
      <c r="L23">
        <v>0</v>
      </c>
      <c r="M23">
        <v>0</v>
      </c>
      <c r="N23">
        <v>0</v>
      </c>
      <c r="O23">
        <v>0</v>
      </c>
      <c r="R23">
        <v>0.16550437317784256</v>
      </c>
      <c r="S23">
        <v>0.67523865056226562</v>
      </c>
      <c r="T23">
        <v>0.15884048313202834</v>
      </c>
      <c r="U23">
        <v>0.99958350687213648</v>
      </c>
    </row>
    <row r="24" spans="3:21">
      <c r="C24" s="9">
        <v>150</v>
      </c>
      <c r="D24" s="34">
        <v>15</v>
      </c>
      <c r="E24">
        <v>1.3567003263599815</v>
      </c>
      <c r="F24">
        <v>1.0779435871134349</v>
      </c>
      <c r="G24">
        <v>0.82135203063253126</v>
      </c>
      <c r="H24">
        <v>0.59124611849441155</v>
      </c>
      <c r="I24">
        <v>0.39246001881666509</v>
      </c>
      <c r="J24">
        <v>0.23012542831454802</v>
      </c>
      <c r="K24">
        <v>0.1091065930112546</v>
      </c>
      <c r="L24">
        <v>3.2720078206462645E-2</v>
      </c>
      <c r="M24">
        <v>0</v>
      </c>
      <c r="N24">
        <v>0</v>
      </c>
      <c r="O24">
        <v>0</v>
      </c>
      <c r="R24">
        <v>0.14565805914202415</v>
      </c>
      <c r="S24">
        <v>0.71451478550603909</v>
      </c>
      <c r="T24">
        <v>0.13941066222407333</v>
      </c>
      <c r="U24">
        <v>0.9995835068721366</v>
      </c>
    </row>
    <row r="25" spans="3:21">
      <c r="C25" s="9">
        <v>140</v>
      </c>
      <c r="D25" s="34">
        <v>14</v>
      </c>
      <c r="E25">
        <v>4.5510930248335608</v>
      </c>
      <c r="F25">
        <v>3.9522650065061598</v>
      </c>
      <c r="G25">
        <v>3.3536542872069468</v>
      </c>
      <c r="H25">
        <v>2.7596096280485951</v>
      </c>
      <c r="I25">
        <v>2.1765277429719823</v>
      </c>
      <c r="J25">
        <v>1.613911650958872</v>
      </c>
      <c r="K25">
        <v>1.0860728103135528</v>
      </c>
      <c r="L25">
        <v>0.61492867175420196</v>
      </c>
      <c r="M25">
        <v>0.23470283896845706</v>
      </c>
      <c r="N25">
        <v>0</v>
      </c>
      <c r="O25">
        <v>0</v>
      </c>
      <c r="R25">
        <v>0.12707871720116617</v>
      </c>
      <c r="S25">
        <v>0.75125697625989163</v>
      </c>
      <c r="T25">
        <v>0.12124781341107875</v>
      </c>
      <c r="U25">
        <v>0.99958350687213648</v>
      </c>
    </row>
    <row r="26" spans="3:21">
      <c r="C26" s="9">
        <v>130</v>
      </c>
      <c r="D26" s="34">
        <v>13</v>
      </c>
      <c r="E26">
        <v>12.830888739641848</v>
      </c>
      <c r="F26">
        <v>11.917267930460966</v>
      </c>
      <c r="G26">
        <v>10.956341623669307</v>
      </c>
      <c r="H26">
        <v>9.9411566294101998</v>
      </c>
      <c r="I26">
        <v>8.8628786873903334</v>
      </c>
      <c r="J26">
        <v>7.7100055299719878</v>
      </c>
      <c r="K26">
        <v>6.4671413656596437</v>
      </c>
      <c r="L26">
        <v>5.1130433840395701</v>
      </c>
      <c r="M26">
        <v>3.6174386514014443</v>
      </c>
      <c r="N26">
        <v>1.9357284256559766</v>
      </c>
      <c r="O26">
        <v>0</v>
      </c>
      <c r="R26">
        <v>0.10976634735526862</v>
      </c>
      <c r="S26">
        <v>0.78546522282382336</v>
      </c>
      <c r="T26">
        <v>0.10435193669304456</v>
      </c>
      <c r="U26">
        <v>0.99958350687213648</v>
      </c>
    </row>
    <row r="27" spans="3:21">
      <c r="C27" s="9">
        <v>120</v>
      </c>
      <c r="D27" s="34">
        <v>12</v>
      </c>
      <c r="E27">
        <v>29.946931147238843</v>
      </c>
      <c r="F27">
        <v>29.098295938471875</v>
      </c>
      <c r="G27">
        <v>28.205746127649618</v>
      </c>
      <c r="H27">
        <v>27.263476249553868</v>
      </c>
      <c r="I27">
        <v>26.264621749735827</v>
      </c>
      <c r="J27">
        <v>25.201106680690803</v>
      </c>
      <c r="K27">
        <v>24.06353662795367</v>
      </c>
      <c r="L27">
        <v>22.84121604312795</v>
      </c>
      <c r="M27">
        <v>21.522443430292771</v>
      </c>
      <c r="N27">
        <v>20.095374927113703</v>
      </c>
      <c r="O27">
        <v>18.55</v>
      </c>
      <c r="R27">
        <v>9.3720949604331527E-2</v>
      </c>
      <c r="S27">
        <v>0.81713952519783417</v>
      </c>
      <c r="T27">
        <v>8.8723032069970842E-2</v>
      </c>
      <c r="U27">
        <v>0.9995835068721366</v>
      </c>
    </row>
    <row r="28" spans="3:21">
      <c r="C28" s="9">
        <v>110</v>
      </c>
      <c r="D28" s="34">
        <v>11</v>
      </c>
      <c r="E28">
        <v>57.293041256445122</v>
      </c>
      <c r="F28">
        <v>56.948749777769876</v>
      </c>
      <c r="G28">
        <v>56.619201142181112</v>
      </c>
      <c r="H28">
        <v>56.309926901877851</v>
      </c>
      <c r="I28">
        <v>56.028047967786797</v>
      </c>
      <c r="J28">
        <v>55.782723460007453</v>
      </c>
      <c r="K28">
        <v>55.585714789814595</v>
      </c>
      <c r="L28">
        <v>55.452082727860144</v>
      </c>
      <c r="M28">
        <v>55.401026511132507</v>
      </c>
      <c r="N28">
        <v>55.456851311953351</v>
      </c>
      <c r="O28">
        <v>55.65</v>
      </c>
      <c r="R28">
        <v>7.8942523948354854E-2</v>
      </c>
      <c r="S28">
        <v>0.84627988338192417</v>
      </c>
      <c r="T28">
        <v>7.4361099541857559E-2</v>
      </c>
      <c r="U28">
        <v>0.9995835068721366</v>
      </c>
    </row>
    <row r="29" spans="3:21">
      <c r="C29" s="9">
        <v>100</v>
      </c>
      <c r="D29" s="34">
        <v>10</v>
      </c>
      <c r="E29">
        <v>91.415344860642236</v>
      </c>
      <c r="F29">
        <v>91.464045767102448</v>
      </c>
      <c r="G29">
        <v>91.532079148354072</v>
      </c>
      <c r="H29">
        <v>91.620419623225629</v>
      </c>
      <c r="I29">
        <v>91.729701579651888</v>
      </c>
      <c r="J29">
        <v>91.860022750403871</v>
      </c>
      <c r="K29">
        <v>92.010674339162634</v>
      </c>
      <c r="L29">
        <v>92.179775222980751</v>
      </c>
      <c r="M29">
        <v>92.363783069007923</v>
      </c>
      <c r="N29">
        <v>92.556851311953352</v>
      </c>
      <c r="O29">
        <v>92.75</v>
      </c>
      <c r="R29">
        <v>6.5431070387338613E-2</v>
      </c>
      <c r="S29">
        <v>0.87288629737609325</v>
      </c>
      <c r="T29">
        <v>6.1266139108704702E-2</v>
      </c>
      <c r="U29">
        <v>0.9995835068721366</v>
      </c>
    </row>
    <row r="30" spans="3:21">
      <c r="C30" s="9">
        <v>90</v>
      </c>
      <c r="D30" s="34">
        <v>9</v>
      </c>
      <c r="E30">
        <v>127.98024694935192</v>
      </c>
      <c r="F30">
        <v>128.15259892332458</v>
      </c>
      <c r="G30">
        <v>128.33015573253491</v>
      </c>
      <c r="H30">
        <v>128.51228465368351</v>
      </c>
      <c r="I30">
        <v>128.69825023107418</v>
      </c>
      <c r="J30">
        <v>128.88723288158116</v>
      </c>
      <c r="K30">
        <v>129.07836539920316</v>
      </c>
      <c r="L30">
        <v>129.27079523765886</v>
      </c>
      <c r="M30">
        <v>129.46378306900789</v>
      </c>
      <c r="N30">
        <v>129.65685131195332</v>
      </c>
      <c r="O30">
        <v>129.85</v>
      </c>
      <c r="R30">
        <v>5.3186588921282793E-2</v>
      </c>
      <c r="S30">
        <v>0.8969587671803414</v>
      </c>
      <c r="T30">
        <v>4.9438150770512279E-2</v>
      </c>
      <c r="U30">
        <v>0.99958350687213648</v>
      </c>
    </row>
    <row r="31" spans="3:21">
      <c r="C31" s="9">
        <v>80</v>
      </c>
      <c r="D31" s="34">
        <v>8</v>
      </c>
      <c r="E31">
        <v>165.02535523065026</v>
      </c>
      <c r="F31">
        <v>165.21631730832337</v>
      </c>
      <c r="G31">
        <v>165.40791779599721</v>
      </c>
      <c r="H31">
        <v>165.59999917361509</v>
      </c>
      <c r="I31">
        <v>165.79242408176972</v>
      </c>
      <c r="J31">
        <v>165.985080835481</v>
      </c>
      <c r="K31">
        <v>166.17788778441536</v>
      </c>
      <c r="L31">
        <v>166.37079523765888</v>
      </c>
      <c r="M31">
        <v>166.56378306900791</v>
      </c>
      <c r="N31">
        <v>166.75685131195334</v>
      </c>
      <c r="O31">
        <v>166.95</v>
      </c>
      <c r="R31">
        <v>4.220907955018742E-2</v>
      </c>
      <c r="S31">
        <v>0.91849729279466885</v>
      </c>
      <c r="T31">
        <v>3.8877134527280297E-2</v>
      </c>
      <c r="U31">
        <v>0.99958350687213648</v>
      </c>
    </row>
    <row r="32" spans="3:21">
      <c r="C32" s="9">
        <v>70</v>
      </c>
      <c r="D32" s="34">
        <v>7</v>
      </c>
      <c r="E32">
        <v>202.12222602910464</v>
      </c>
      <c r="F32">
        <v>202.31459727087594</v>
      </c>
      <c r="G32">
        <v>202.5070764505511</v>
      </c>
      <c r="H32">
        <v>202.69965155428281</v>
      </c>
      <c r="I32">
        <v>202.89231453351141</v>
      </c>
      <c r="J32">
        <v>203.08506067580049</v>
      </c>
      <c r="K32">
        <v>203.27788778441541</v>
      </c>
      <c r="L32">
        <v>203.4707952376589</v>
      </c>
      <c r="M32">
        <v>203.66378306900793</v>
      </c>
      <c r="N32">
        <v>203.85685131195336</v>
      </c>
      <c r="O32">
        <v>204.05</v>
      </c>
      <c r="R32">
        <v>3.2498542274052487E-2</v>
      </c>
      <c r="S32">
        <v>0.93750187421907538</v>
      </c>
      <c r="T32">
        <v>2.9583090379008751E-2</v>
      </c>
      <c r="U32">
        <v>0.9995835068721366</v>
      </c>
    </row>
    <row r="33" spans="3:21">
      <c r="C33" s="9">
        <v>60</v>
      </c>
      <c r="D33" s="34">
        <v>6</v>
      </c>
      <c r="E33">
        <v>239.22213060604892</v>
      </c>
      <c r="F33">
        <v>239.41455549886757</v>
      </c>
      <c r="G33">
        <v>239.60706119912817</v>
      </c>
      <c r="H33">
        <v>239.79964737437825</v>
      </c>
      <c r="I33">
        <v>239.99231387835115</v>
      </c>
      <c r="J33">
        <v>240.18506067580046</v>
      </c>
      <c r="K33">
        <v>240.37788778441538</v>
      </c>
      <c r="L33">
        <v>240.5707952376589</v>
      </c>
      <c r="M33">
        <v>240.76378306900793</v>
      </c>
      <c r="N33">
        <v>240.95685131195336</v>
      </c>
      <c r="O33">
        <v>241.15</v>
      </c>
      <c r="R33">
        <v>2.4054977092877967E-2</v>
      </c>
      <c r="S33">
        <v>0.95397251145356099</v>
      </c>
      <c r="T33">
        <v>2.1556018325697625E-2</v>
      </c>
      <c r="U33">
        <v>0.9995835068721366</v>
      </c>
    </row>
    <row r="34" spans="3:21">
      <c r="C34" s="9">
        <v>50</v>
      </c>
      <c r="D34" s="34">
        <v>5</v>
      </c>
      <c r="E34">
        <v>276.32212914171276</v>
      </c>
      <c r="F34">
        <v>276.51455502080074</v>
      </c>
      <c r="G34">
        <v>276.70706108343654</v>
      </c>
      <c r="H34">
        <v>276.89964735861935</v>
      </c>
      <c r="I34">
        <v>277.09231387835138</v>
      </c>
      <c r="J34">
        <v>277.28506067580059</v>
      </c>
      <c r="K34">
        <v>277.47788778441549</v>
      </c>
      <c r="L34">
        <v>277.67079523765898</v>
      </c>
      <c r="M34">
        <v>277.86378306900798</v>
      </c>
      <c r="N34">
        <v>278.05685131195338</v>
      </c>
      <c r="O34">
        <v>278.25</v>
      </c>
      <c r="R34">
        <v>1.6878384006663888E-2</v>
      </c>
      <c r="S34">
        <v>0.96790920449812579</v>
      </c>
      <c r="T34">
        <v>1.4795918367346938E-2</v>
      </c>
      <c r="U34">
        <v>0.9995835068721366</v>
      </c>
    </row>
    <row r="35" spans="3:21">
      <c r="C35" s="9">
        <v>40</v>
      </c>
      <c r="D35" s="34">
        <v>4</v>
      </c>
      <c r="E35">
        <v>313.42212913346697</v>
      </c>
      <c r="F35">
        <v>313.61455501958653</v>
      </c>
      <c r="G35">
        <v>313.8070610836179</v>
      </c>
      <c r="H35">
        <v>313.99964735878859</v>
      </c>
      <c r="I35">
        <v>314.19231387840011</v>
      </c>
      <c r="J35">
        <v>314.38506067580869</v>
      </c>
      <c r="K35">
        <v>314.5778877844154</v>
      </c>
      <c r="L35">
        <v>314.77079523765889</v>
      </c>
      <c r="M35">
        <v>314.96378306900795</v>
      </c>
      <c r="N35">
        <v>315.15685131195335</v>
      </c>
      <c r="O35">
        <v>315.35000000000002</v>
      </c>
      <c r="R35">
        <v>1.0968763015410247E-2</v>
      </c>
      <c r="S35">
        <v>0.97931195335276966</v>
      </c>
      <c r="T35">
        <v>9.3027905039566837E-3</v>
      </c>
      <c r="U35">
        <v>0.9995835068721366</v>
      </c>
    </row>
    <row r="36" spans="3:21">
      <c r="C36" s="9">
        <v>30</v>
      </c>
      <c r="D36" s="34">
        <v>3</v>
      </c>
      <c r="E36">
        <v>350.52212931259498</v>
      </c>
      <c r="F36">
        <v>350.7145551276891</v>
      </c>
      <c r="G36">
        <v>350.90706114401951</v>
      </c>
      <c r="H36">
        <v>351.09964738916227</v>
      </c>
      <c r="I36">
        <v>351.29231389149209</v>
      </c>
      <c r="J36">
        <v>351.48506068019771</v>
      </c>
      <c r="K36">
        <v>351.67788778529814</v>
      </c>
      <c r="L36">
        <v>351.8707952376588</v>
      </c>
      <c r="M36">
        <v>352.06378306900785</v>
      </c>
      <c r="N36">
        <v>352.25685131195331</v>
      </c>
      <c r="O36">
        <v>352.45</v>
      </c>
      <c r="R36">
        <v>6.3261141191170355E-3</v>
      </c>
      <c r="S36">
        <v>0.98818075801749261</v>
      </c>
      <c r="T36">
        <v>5.0766347355268642E-3</v>
      </c>
      <c r="U36">
        <v>0.99958350687213648</v>
      </c>
    </row>
    <row r="37" spans="3:21">
      <c r="C37" s="9">
        <v>20</v>
      </c>
      <c r="D37" s="34">
        <v>2</v>
      </c>
      <c r="E37">
        <v>387.62214972701747</v>
      </c>
      <c r="F37">
        <v>387.81456946264444</v>
      </c>
      <c r="G37">
        <v>388.00707073071339</v>
      </c>
      <c r="H37">
        <v>388.1996533997264</v>
      </c>
      <c r="I37">
        <v>388.39231733694356</v>
      </c>
      <c r="J37">
        <v>388.58506240837266</v>
      </c>
      <c r="K37">
        <v>388.77788847875894</v>
      </c>
      <c r="L37">
        <v>388.9707954115745</v>
      </c>
      <c r="M37">
        <v>389.16378306900788</v>
      </c>
      <c r="N37">
        <v>389.35685131195333</v>
      </c>
      <c r="O37">
        <v>389.55</v>
      </c>
      <c r="R37">
        <v>2.9504373177842566E-3</v>
      </c>
      <c r="S37">
        <v>0.99451561849229475</v>
      </c>
      <c r="T37">
        <v>2.1174510620574761E-3</v>
      </c>
      <c r="U37">
        <v>0.99958350687213648</v>
      </c>
    </row>
    <row r="38" spans="3:21">
      <c r="C38" s="9">
        <v>10</v>
      </c>
      <c r="D38" s="34">
        <v>1</v>
      </c>
      <c r="E38">
        <v>424.72580457838342</v>
      </c>
      <c r="F38">
        <v>424.91749742707822</v>
      </c>
      <c r="G38">
        <v>425.10935122036682</v>
      </c>
      <c r="H38">
        <v>425.30136616101737</v>
      </c>
      <c r="I38">
        <v>425.49354245225186</v>
      </c>
      <c r="J38">
        <v>425.68588029774799</v>
      </c>
      <c r="K38">
        <v>425.87837990164087</v>
      </c>
      <c r="L38">
        <v>426.0710414685251</v>
      </c>
      <c r="M38">
        <v>426.26386520345631</v>
      </c>
      <c r="N38">
        <v>426.45685131195336</v>
      </c>
      <c r="O38">
        <v>426.65</v>
      </c>
      <c r="R38">
        <v>8.4173261141191164E-4</v>
      </c>
      <c r="S38">
        <v>0.99831653477717619</v>
      </c>
      <c r="T38">
        <v>4.2523948354852148E-4</v>
      </c>
      <c r="U38">
        <v>0.99958350687213671</v>
      </c>
    </row>
    <row r="39" spans="3:21">
      <c r="C39" s="9">
        <v>0</v>
      </c>
      <c r="D39" s="34">
        <v>0</v>
      </c>
      <c r="E39">
        <v>463.75</v>
      </c>
      <c r="F39">
        <v>463.75</v>
      </c>
      <c r="G39">
        <v>463.75</v>
      </c>
      <c r="H39">
        <v>463.75</v>
      </c>
      <c r="I39">
        <v>463.75</v>
      </c>
      <c r="J39">
        <v>463.75</v>
      </c>
      <c r="K39">
        <v>463.75</v>
      </c>
      <c r="L39">
        <v>463.75</v>
      </c>
      <c r="M39">
        <v>463.75</v>
      </c>
      <c r="N39">
        <v>463.75</v>
      </c>
      <c r="O39">
        <v>463.75</v>
      </c>
      <c r="R39">
        <v>0</v>
      </c>
      <c r="S39">
        <v>0.9995835068721366</v>
      </c>
      <c r="T39">
        <v>0</v>
      </c>
      <c r="U39">
        <v>0.9995835068721366</v>
      </c>
    </row>
    <row r="40" spans="3:21">
      <c r="D40" s="11" t="s">
        <v>52</v>
      </c>
      <c r="E40" s="35">
        <v>0</v>
      </c>
      <c r="F40" s="35">
        <v>1</v>
      </c>
      <c r="G40" s="35">
        <v>2</v>
      </c>
      <c r="H40" s="35">
        <v>3</v>
      </c>
      <c r="I40" s="35">
        <v>4</v>
      </c>
      <c r="J40" s="35">
        <v>5</v>
      </c>
      <c r="K40" s="35">
        <v>6</v>
      </c>
      <c r="L40" s="35">
        <v>7</v>
      </c>
      <c r="M40" s="35">
        <v>8</v>
      </c>
      <c r="N40" s="35">
        <v>9</v>
      </c>
      <c r="O40" s="35">
        <v>10</v>
      </c>
    </row>
    <row r="41" spans="3:21">
      <c r="E41" s="36">
        <v>0</v>
      </c>
      <c r="F41" s="36">
        <v>8.3333333333333332E-3</v>
      </c>
      <c r="G41" s="36">
        <v>1.6666666666666666E-2</v>
      </c>
      <c r="H41" s="36">
        <v>2.5000000000000001E-2</v>
      </c>
      <c r="I41" s="36">
        <v>3.3333333333333333E-2</v>
      </c>
      <c r="J41" s="36">
        <v>4.1666666666666664E-2</v>
      </c>
      <c r="K41" s="36">
        <v>0.05</v>
      </c>
      <c r="L41" s="36">
        <v>5.8333333333333334E-2</v>
      </c>
      <c r="M41" s="36">
        <v>6.6666666666666666E-2</v>
      </c>
      <c r="N41" s="36">
        <v>7.4999999999999997E-2</v>
      </c>
      <c r="O41" s="36">
        <v>8.3333333333333329E-2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10</vt:i4>
      </vt:variant>
    </vt:vector>
  </HeadingPairs>
  <TitlesOfParts>
    <vt:vector size="10" baseType="lpstr">
      <vt:lpstr>DrzewoCALL_ar</vt:lpstr>
      <vt:lpstr>DrzewoCALL</vt:lpstr>
      <vt:lpstr>DrzewoPUT</vt:lpstr>
      <vt:lpstr>MCarlo_ar</vt:lpstr>
      <vt:lpstr>MCarloCALL</vt:lpstr>
      <vt:lpstr>MCarloPUT</vt:lpstr>
      <vt:lpstr>RozniceCALL</vt:lpstr>
      <vt:lpstr>RozniceCALL_spr</vt:lpstr>
      <vt:lpstr>RoznicePUT_spr</vt:lpstr>
      <vt:lpstr>RoznicePUT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2015-01-22T07:22:07Z</dcterms:created>
  <dcterms:modified xsi:type="dcterms:W3CDTF">2015-01-22T15:38:20Z</dcterms:modified>
</cp:coreProperties>
</file>