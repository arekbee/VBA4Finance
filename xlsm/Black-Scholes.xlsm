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45" windowWidth="18195" windowHeight="8520"/>
  </bookViews>
  <sheets>
    <sheet name="Arkusz1" sheetId="1" r:id="rId1"/>
    <sheet name="Makro" sheetId="4" r:id="rId2"/>
    <sheet name="Info" sheetId="5" r:id="rId3"/>
  </sheets>
  <functionGroups builtInGroupCount="17"/>
  <calcPr calcId="145621"/>
</workbook>
</file>

<file path=xl/calcChain.xml><?xml version="1.0" encoding="utf-8"?>
<calcChain xmlns="http://schemas.openxmlformats.org/spreadsheetml/2006/main">
  <c r="B19" i="1" l="1"/>
  <c r="B12" i="1"/>
  <c r="B11" i="1"/>
  <c r="B10" i="1"/>
  <c r="B9" i="1"/>
  <c r="B16" i="4"/>
  <c r="B14" i="4"/>
  <c r="B17" i="1" l="1"/>
  <c r="B16" i="1"/>
</calcChain>
</file>

<file path=xl/sharedStrings.xml><?xml version="1.0" encoding="utf-8"?>
<sst xmlns="http://schemas.openxmlformats.org/spreadsheetml/2006/main" count="23" uniqueCount="15">
  <si>
    <t>S(0)</t>
  </si>
  <si>
    <t>K</t>
  </si>
  <si>
    <t>T</t>
  </si>
  <si>
    <t>r</t>
  </si>
  <si>
    <t>sigma</t>
  </si>
  <si>
    <t>Put</t>
  </si>
  <si>
    <t>Call</t>
  </si>
  <si>
    <t>ln (S/K)</t>
  </si>
  <si>
    <t>sigma * sqrt (T)</t>
  </si>
  <si>
    <t>years</t>
  </si>
  <si>
    <t>sigma^2 /2</t>
  </si>
  <si>
    <t>exp(-rt)</t>
  </si>
  <si>
    <t>&gt;</t>
  </si>
  <si>
    <t>Call - Put</t>
  </si>
  <si>
    <t>K (or 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</si>
</sst>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ny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11</xdr:col>
      <xdr:colOff>285105</xdr:colOff>
      <xdr:row>11</xdr:row>
      <xdr:rowOff>18929</xdr:rowOff>
    </xdr:to>
    <xdr:pic>
      <xdr:nvPicPr>
        <xdr:cNvPr id="2" name="Obraz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143000"/>
          <a:ext cx="5161905" cy="9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409575</xdr:colOff>
      <xdr:row>15</xdr:row>
      <xdr:rowOff>0</xdr:rowOff>
    </xdr:from>
    <xdr:to>
      <xdr:col>11</xdr:col>
      <xdr:colOff>580318</xdr:colOff>
      <xdr:row>20</xdr:row>
      <xdr:rowOff>47500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8775" y="2857500"/>
          <a:ext cx="5657143" cy="10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19"/>
  <sheetViews>
    <sheetView tabSelected="1" workbookViewId="0">
      <selection activeCell="A3" sqref="A3"/>
    </sheetView>
  </sheetViews>
  <sheetFormatPr defaultRowHeight="15" x14ac:dyDescent="0.25"/>
  <cols>
    <col min="1" max="1" width="15.7109375" customWidth="1"/>
    <col min="2" max="2" width="12.7109375" bestFit="1" customWidth="1"/>
    <col min="3" max="3" width="5.7109375" bestFit="1" customWidth="1"/>
    <col min="4" max="4" width="2" bestFit="1" customWidth="1"/>
  </cols>
  <sheetData>
    <row r="1" spans="1:4" x14ac:dyDescent="0.25">
      <c r="A1" t="s">
        <v>0</v>
      </c>
      <c r="B1" s="1">
        <v>155</v>
      </c>
    </row>
    <row r="2" spans="1:4" x14ac:dyDescent="0.25">
      <c r="A2" t="s">
        <v>14</v>
      </c>
      <c r="B2" s="1">
        <v>160</v>
      </c>
    </row>
    <row r="3" spans="1:4" x14ac:dyDescent="0.25">
      <c r="A3" t="s">
        <v>2</v>
      </c>
      <c r="B3" s="1">
        <v>0.5</v>
      </c>
      <c r="C3" s="2" t="s">
        <v>9</v>
      </c>
    </row>
    <row r="4" spans="1:4" x14ac:dyDescent="0.25">
      <c r="A4" t="s">
        <v>3</v>
      </c>
      <c r="B4" s="1">
        <v>0.05</v>
      </c>
      <c r="C4" s="2" t="s">
        <v>12</v>
      </c>
      <c r="D4">
        <v>0</v>
      </c>
    </row>
    <row r="5" spans="1:4" x14ac:dyDescent="0.25">
      <c r="A5" t="s">
        <v>4</v>
      </c>
      <c r="B5" s="1">
        <v>0.37</v>
      </c>
      <c r="C5" s="2" t="s">
        <v>12</v>
      </c>
      <c r="D5">
        <v>0</v>
      </c>
    </row>
    <row r="9" spans="1:4" x14ac:dyDescent="0.25">
      <c r="A9" t="s">
        <v>7</v>
      </c>
      <c r="B9">
        <f>LN(B1/B2)</f>
        <v>-3.1748698314580298E-2</v>
      </c>
    </row>
    <row r="10" spans="1:4" x14ac:dyDescent="0.25">
      <c r="A10" t="s">
        <v>8</v>
      </c>
      <c r="B10">
        <f>B5*SQRT(B3)</f>
        <v>0.2616295090390226</v>
      </c>
    </row>
    <row r="11" spans="1:4" x14ac:dyDescent="0.25">
      <c r="A11" t="s">
        <v>10</v>
      </c>
      <c r="B11">
        <f>B5*B5/2</f>
        <v>6.8449999999999997E-2</v>
      </c>
    </row>
    <row r="12" spans="1:4" x14ac:dyDescent="0.25">
      <c r="A12" t="s">
        <v>11</v>
      </c>
      <c r="B12">
        <f>EXP(-1*B4*B3)</f>
        <v>0.97530991202833262</v>
      </c>
    </row>
    <row r="16" spans="1:4" x14ac:dyDescent="0.25">
      <c r="A16" t="s">
        <v>6</v>
      </c>
      <c r="B16">
        <f>B1*NORMSDIST((B9+(B4+B11)*B3 )/B10) - B2*B12*NORMSDIST((B9+(B4-B11)*B3)/B10)</f>
        <v>15.667293786433731</v>
      </c>
    </row>
    <row r="17" spans="1:2" x14ac:dyDescent="0.25">
      <c r="A17" t="s">
        <v>5</v>
      </c>
      <c r="B17">
        <f>B2*B12*NORMSDIST((-1*B9-(B4-B11)*B3)/B10) - B1*NORMSDIST((-1 *B9 - (B4+B11)*B3)/B10)</f>
        <v>16.716879710966964</v>
      </c>
    </row>
    <row r="19" spans="1:2" x14ac:dyDescent="0.25">
      <c r="A19" t="s">
        <v>13</v>
      </c>
      <c r="B19">
        <f>B16-B17</f>
        <v>-1.0495859245332326</v>
      </c>
    </row>
  </sheetData>
  <conditionalFormatting sqref="C4">
    <cfRule type="cellIs" dxfId="3" priority="4" operator="lessThan">
      <formula>0</formula>
    </cfRule>
    <cfRule type="cellIs" dxfId="2" priority="3" operator="lessThanOrEqual">
      <formula>$B$4</formula>
    </cfRule>
  </conditionalFormatting>
  <conditionalFormatting sqref="B4">
    <cfRule type="cellIs" dxfId="1" priority="2" operator="lessThanOrEqual">
      <formula>$D$4</formula>
    </cfRule>
  </conditionalFormatting>
  <conditionalFormatting sqref="B5">
    <cfRule type="cellIs" dxfId="0" priority="1" operator="lessThanOrEqual">
      <formula>$D$5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C16"/>
  <sheetViews>
    <sheetView workbookViewId="0">
      <selection activeCell="C17" sqref="C17"/>
    </sheetView>
  </sheetViews>
  <sheetFormatPr defaultRowHeight="15" x14ac:dyDescent="0.25"/>
  <cols>
    <col min="2" max="2" width="12" bestFit="1" customWidth="1"/>
  </cols>
  <sheetData>
    <row r="1" spans="1:3" x14ac:dyDescent="0.25">
      <c r="A1" t="s">
        <v>0</v>
      </c>
      <c r="B1" s="1">
        <v>155</v>
      </c>
    </row>
    <row r="2" spans="1:3" x14ac:dyDescent="0.25">
      <c r="A2" t="s">
        <v>1</v>
      </c>
      <c r="B2" s="1">
        <v>160</v>
      </c>
    </row>
    <row r="3" spans="1:3" x14ac:dyDescent="0.25">
      <c r="A3" t="s">
        <v>2</v>
      </c>
      <c r="B3" s="1">
        <v>0.5</v>
      </c>
      <c r="C3" t="s">
        <v>9</v>
      </c>
    </row>
    <row r="4" spans="1:3" x14ac:dyDescent="0.25">
      <c r="A4" t="s">
        <v>3</v>
      </c>
      <c r="B4" s="1">
        <v>0.05</v>
      </c>
    </row>
    <row r="5" spans="1:3" x14ac:dyDescent="0.25">
      <c r="A5" t="s">
        <v>4</v>
      </c>
      <c r="B5" s="1">
        <v>0.37</v>
      </c>
    </row>
    <row r="14" spans="1:3" x14ac:dyDescent="0.25">
      <c r="A14" t="s">
        <v>6</v>
      </c>
      <c r="B14">
        <f>GetCall(B1,B2,B3,B4,B5)</f>
        <v>15.667293786433731</v>
      </c>
    </row>
    <row r="16" spans="1:3" x14ac:dyDescent="0.25">
      <c r="A16" t="s">
        <v>5</v>
      </c>
      <c r="B16">
        <f>GetPut(B1,B2,B3,B4,B5)</f>
        <v>16.716879710966964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>
      <selection activeCell="B11" sqref="B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Makro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2014-10-28T07:38:34Z</dcterms:created>
  <dcterms:modified xsi:type="dcterms:W3CDTF">2014-10-30T15:16:16Z</dcterms:modified>
</cp:coreProperties>
</file>